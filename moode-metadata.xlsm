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files\jupyter\development\radio-moode\"/>
    </mc:Choice>
  </mc:AlternateContent>
  <xr:revisionPtr revIDLastSave="0" documentId="13_ncr:1_{2BD12F1F-7027-42A0-843E-645329DBF4A7}" xr6:coauthVersionLast="47" xr6:coauthVersionMax="47" xr10:uidLastSave="{00000000-0000-0000-0000-000000000000}"/>
  <bookViews>
    <workbookView xWindow="-96" yWindow="-96" windowWidth="23232" windowHeight="13872" activeTab="1" xr2:uid="{00000000-000D-0000-FFFF-FFFF00000000}"/>
  </bookViews>
  <sheets>
    <sheet name="Export" sheetId="5" r:id="rId1"/>
    <sheet name="master" sheetId="3" r:id="rId2"/>
    <sheet name="stations" sheetId="4" r:id="rId3"/>
    <sheet name="logos" sheetId="2" r:id="rId4"/>
    <sheet name="master Bauer" sheetId="8" r:id="rId5"/>
    <sheet name="VLC Checker" sheetId="9" r:id="rId6"/>
    <sheet name="moode-metadata old" sheetId="1" state="hidden" r:id="rId7"/>
    <sheet name="bauer keys" sheetId="6" state="hidden" r:id="rId8"/>
    <sheet name="radioplayer_streams master" sheetId="7" state="hidden" r:id="rId9"/>
  </sheets>
  <definedNames>
    <definedName name="_xlnm._FilterDatabase" localSheetId="7" hidden="1">'bauer keys'!$A$1:$G$258</definedName>
    <definedName name="_xlnm._FilterDatabase" localSheetId="3" hidden="1">logos!$A$1:$G$386</definedName>
    <definedName name="_xlnm._FilterDatabase" localSheetId="1" hidden="1">master!$A$1:$U$108</definedName>
    <definedName name="_xlnm._FilterDatabase" localSheetId="4" hidden="1">'master Bauer'!$A$1:$U$73</definedName>
    <definedName name="_xlnm._FilterDatabase" localSheetId="8" hidden="1">'radioplayer_streams master'!$A$1:$G$604</definedName>
    <definedName name="_xlnm._FilterDatabase" localSheetId="2" hidden="1">stations!$A$1:$E$2896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2897" i="4" l="1"/>
  <c r="F2897" i="4"/>
  <c r="M2896" i="4"/>
  <c r="F2896" i="4"/>
  <c r="U108" i="3" a="1"/>
  <c r="U108" i="3" s="1"/>
  <c r="A108" i="9" s="1"/>
  <c r="R108" i="3"/>
  <c r="Q108" i="3"/>
  <c r="P108" i="3"/>
  <c r="R107" i="3"/>
  <c r="U107" i="3" s="1" a="1"/>
  <c r="U107" i="3" s="1"/>
  <c r="A107" i="9" s="1"/>
  <c r="Q107" i="3"/>
  <c r="P107" i="3"/>
  <c r="K108" i="3" a="1"/>
  <c r="K108" i="3" s="1"/>
  <c r="K107" i="3" a="1"/>
  <c r="K107" i="3" s="1"/>
  <c r="G108" i="3"/>
  <c r="G107" i="3"/>
  <c r="B108" i="3" a="1"/>
  <c r="B108" i="3" s="1"/>
  <c r="B108" i="9" s="1"/>
  <c r="B107" i="3" a="1"/>
  <c r="B107" i="3" s="1"/>
  <c r="B107" i="9" s="1"/>
  <c r="E388" i="2"/>
  <c r="E387" i="2"/>
  <c r="E383" i="2"/>
  <c r="E125" i="2"/>
  <c r="E315" i="2"/>
  <c r="P79" i="3"/>
  <c r="Q79" i="3"/>
  <c r="R79" i="3"/>
  <c r="B79" i="3" s="1" a="1"/>
  <c r="B79" i="3" s="1"/>
  <c r="B79" i="9" s="1"/>
  <c r="P80" i="3"/>
  <c r="Q80" i="3"/>
  <c r="R80" i="3"/>
  <c r="B80" i="3" s="1" a="1"/>
  <c r="B80" i="3" s="1"/>
  <c r="B80" i="9" s="1"/>
  <c r="P81" i="3"/>
  <c r="Q81" i="3"/>
  <c r="R81" i="3"/>
  <c r="K81" i="3" s="1" a="1"/>
  <c r="K81" i="3" s="1"/>
  <c r="P82" i="3"/>
  <c r="Q82" i="3"/>
  <c r="R82" i="3"/>
  <c r="K82" i="3" s="1" a="1"/>
  <c r="K82" i="3" s="1"/>
  <c r="P83" i="3"/>
  <c r="Q83" i="3"/>
  <c r="R83" i="3"/>
  <c r="K83" i="3" s="1" a="1"/>
  <c r="K83" i="3" s="1"/>
  <c r="P84" i="3"/>
  <c r="Q84" i="3"/>
  <c r="R84" i="3"/>
  <c r="U84" i="3" s="1" a="1"/>
  <c r="U84" i="3" s="1"/>
  <c r="A84" i="9" s="1"/>
  <c r="P85" i="3"/>
  <c r="Q85" i="3"/>
  <c r="R85" i="3"/>
  <c r="U85" i="3" s="1" a="1"/>
  <c r="U85" i="3" s="1"/>
  <c r="A85" i="9" s="1"/>
  <c r="P86" i="3"/>
  <c r="Q86" i="3"/>
  <c r="R86" i="3"/>
  <c r="U86" i="3" s="1" a="1"/>
  <c r="U86" i="3" s="1"/>
  <c r="A86" i="9" s="1"/>
  <c r="P87" i="3"/>
  <c r="Q87" i="3"/>
  <c r="R87" i="3"/>
  <c r="K87" i="3" s="1" a="1"/>
  <c r="K87" i="3" s="1"/>
  <c r="P88" i="3"/>
  <c r="Q88" i="3"/>
  <c r="R88" i="3"/>
  <c r="B88" i="3" s="1" a="1"/>
  <c r="B88" i="3" s="1"/>
  <c r="B88" i="9" s="1"/>
  <c r="P89" i="3"/>
  <c r="Q89" i="3"/>
  <c r="R89" i="3"/>
  <c r="U89" i="3" s="1" a="1"/>
  <c r="U89" i="3" s="1"/>
  <c r="A89" i="9" s="1"/>
  <c r="P90" i="3"/>
  <c r="Q90" i="3"/>
  <c r="R90" i="3"/>
  <c r="B90" i="3" s="1" a="1"/>
  <c r="B90" i="3" s="1"/>
  <c r="B90" i="9" s="1"/>
  <c r="P91" i="3"/>
  <c r="Q91" i="3"/>
  <c r="R91" i="3"/>
  <c r="B91" i="3" s="1" a="1"/>
  <c r="B91" i="3" s="1"/>
  <c r="B91" i="9" s="1"/>
  <c r="P92" i="3"/>
  <c r="Q92" i="3"/>
  <c r="R92" i="3"/>
  <c r="K92" i="3" s="1" a="1"/>
  <c r="K92" i="3" s="1"/>
  <c r="P93" i="3"/>
  <c r="Q93" i="3"/>
  <c r="R93" i="3"/>
  <c r="K93" i="3" s="1" a="1"/>
  <c r="K93" i="3" s="1"/>
  <c r="P94" i="3"/>
  <c r="Q94" i="3"/>
  <c r="R94" i="3"/>
  <c r="B94" i="3" s="1" a="1"/>
  <c r="B94" i="3" s="1"/>
  <c r="B94" i="9" s="1"/>
  <c r="P95" i="3"/>
  <c r="Q95" i="3"/>
  <c r="R95" i="3"/>
  <c r="B95" i="3" s="1" a="1"/>
  <c r="B95" i="3" s="1"/>
  <c r="B95" i="9" s="1"/>
  <c r="P96" i="3"/>
  <c r="Q96" i="3"/>
  <c r="R96" i="3"/>
  <c r="B96" i="3" s="1" a="1"/>
  <c r="B96" i="3" s="1"/>
  <c r="B96" i="9" s="1"/>
  <c r="P97" i="3"/>
  <c r="Q97" i="3"/>
  <c r="R97" i="3"/>
  <c r="U97" i="3" s="1" a="1"/>
  <c r="U97" i="3" s="1"/>
  <c r="A97" i="9" s="1"/>
  <c r="P98" i="3"/>
  <c r="Q98" i="3"/>
  <c r="R98" i="3"/>
  <c r="K98" i="3" s="1" a="1"/>
  <c r="K98" i="3" s="1"/>
  <c r="P99" i="3"/>
  <c r="Q99" i="3"/>
  <c r="R99" i="3"/>
  <c r="K99" i="3" s="1" a="1"/>
  <c r="K99" i="3" s="1"/>
  <c r="P100" i="3"/>
  <c r="Q100" i="3"/>
  <c r="R100" i="3"/>
  <c r="K100" i="3" s="1" a="1"/>
  <c r="K100" i="3" s="1"/>
  <c r="P101" i="3"/>
  <c r="Q101" i="3"/>
  <c r="R101" i="3"/>
  <c r="K101" i="3" s="1" a="1"/>
  <c r="K101" i="3" s="1"/>
  <c r="P102" i="3"/>
  <c r="Q102" i="3"/>
  <c r="R102" i="3"/>
  <c r="K102" i="3" s="1" a="1"/>
  <c r="K102" i="3" s="1"/>
  <c r="P103" i="3"/>
  <c r="Q103" i="3"/>
  <c r="R103" i="3"/>
  <c r="K103" i="3" s="1" a="1"/>
  <c r="K103" i="3" s="1"/>
  <c r="P104" i="3"/>
  <c r="Q104" i="3"/>
  <c r="R104" i="3"/>
  <c r="B104" i="3" s="1" a="1"/>
  <c r="B104" i="3" s="1"/>
  <c r="B104" i="9" s="1"/>
  <c r="P105" i="3"/>
  <c r="Q105" i="3"/>
  <c r="R105" i="3"/>
  <c r="U105" i="3" s="1" a="1"/>
  <c r="U105" i="3" s="1"/>
  <c r="A105" i="9" s="1"/>
  <c r="P106" i="3"/>
  <c r="Q106" i="3"/>
  <c r="R106" i="3"/>
  <c r="B106" i="3" s="1" a="1"/>
  <c r="B106" i="3" s="1"/>
  <c r="B106" i="9" s="1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Q78" i="3"/>
  <c r="P78" i="3"/>
  <c r="Q77" i="3"/>
  <c r="P77" i="3"/>
  <c r="G78" i="3"/>
  <c r="G77" i="3"/>
  <c r="R78" i="3"/>
  <c r="U78" i="3" s="1" a="1"/>
  <c r="U78" i="3" s="1"/>
  <c r="A78" i="9" s="1"/>
  <c r="R77" i="3"/>
  <c r="U77" i="3" s="1" a="1"/>
  <c r="U77" i="3" s="1"/>
  <c r="A77" i="9" s="1"/>
  <c r="E386" i="2"/>
  <c r="E385" i="2"/>
  <c r="Q76" i="3"/>
  <c r="P76" i="3"/>
  <c r="Q75" i="3"/>
  <c r="P75" i="3"/>
  <c r="G76" i="3"/>
  <c r="G75" i="3"/>
  <c r="R76" i="3"/>
  <c r="U76" i="3" s="1" a="1"/>
  <c r="U76" i="3" s="1"/>
  <c r="A76" i="9" s="1"/>
  <c r="R75" i="3"/>
  <c r="U75" i="3" s="1" a="1"/>
  <c r="U75" i="3" s="1"/>
  <c r="A75" i="9" s="1"/>
  <c r="F2832" i="4"/>
  <c r="F2833" i="4"/>
  <c r="F2834" i="4"/>
  <c r="F2835" i="4"/>
  <c r="F2836" i="4"/>
  <c r="F2837" i="4"/>
  <c r="F2838" i="4"/>
  <c r="F2839" i="4"/>
  <c r="F2840" i="4"/>
  <c r="F2841" i="4"/>
  <c r="F2842" i="4"/>
  <c r="F2843" i="4"/>
  <c r="F2844" i="4"/>
  <c r="F2845" i="4"/>
  <c r="F2846" i="4"/>
  <c r="F2847" i="4"/>
  <c r="F2848" i="4"/>
  <c r="F2849" i="4"/>
  <c r="F2850" i="4"/>
  <c r="F2851" i="4"/>
  <c r="F2852" i="4"/>
  <c r="F2853" i="4"/>
  <c r="F2854" i="4"/>
  <c r="F2855" i="4"/>
  <c r="F2856" i="4"/>
  <c r="F2857" i="4"/>
  <c r="F2858" i="4"/>
  <c r="F2859" i="4"/>
  <c r="F2860" i="4"/>
  <c r="F2861" i="4"/>
  <c r="F2862" i="4"/>
  <c r="F2863" i="4"/>
  <c r="F2864" i="4"/>
  <c r="F2865" i="4"/>
  <c r="F2866" i="4"/>
  <c r="F2867" i="4"/>
  <c r="F2868" i="4"/>
  <c r="F2869" i="4"/>
  <c r="F2870" i="4"/>
  <c r="F2871" i="4"/>
  <c r="F2872" i="4"/>
  <c r="F2873" i="4"/>
  <c r="F2874" i="4"/>
  <c r="F2875" i="4"/>
  <c r="F2876" i="4"/>
  <c r="F2877" i="4"/>
  <c r="F2878" i="4"/>
  <c r="F2879" i="4"/>
  <c r="F2880" i="4"/>
  <c r="F2881" i="4"/>
  <c r="F2882" i="4"/>
  <c r="F2883" i="4"/>
  <c r="F2884" i="4"/>
  <c r="F2885" i="4"/>
  <c r="F2886" i="4"/>
  <c r="F2887" i="4"/>
  <c r="F2888" i="4"/>
  <c r="F2889" i="4"/>
  <c r="F2890" i="4"/>
  <c r="F2891" i="4"/>
  <c r="F2892" i="4"/>
  <c r="F2893" i="4"/>
  <c r="F2894" i="4"/>
  <c r="F2895" i="4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4" i="9"/>
  <c r="B124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B419" i="9"/>
  <c r="A420" i="9"/>
  <c r="B420" i="9"/>
  <c r="A421" i="9"/>
  <c r="B421" i="9"/>
  <c r="A422" i="9"/>
  <c r="B422" i="9"/>
  <c r="A423" i="9"/>
  <c r="B423" i="9"/>
  <c r="A424" i="9"/>
  <c r="B424" i="9"/>
  <c r="A425" i="9"/>
  <c r="B425" i="9"/>
  <c r="A426" i="9"/>
  <c r="B426" i="9"/>
  <c r="A427" i="9"/>
  <c r="B427" i="9"/>
  <c r="A428" i="9"/>
  <c r="B428" i="9"/>
  <c r="A429" i="9"/>
  <c r="B429" i="9"/>
  <c r="A430" i="9"/>
  <c r="B430" i="9"/>
  <c r="A431" i="9"/>
  <c r="B431" i="9"/>
  <c r="A432" i="9"/>
  <c r="B432" i="9"/>
  <c r="A433" i="9"/>
  <c r="B433" i="9"/>
  <c r="A434" i="9"/>
  <c r="B434" i="9"/>
  <c r="A435" i="9"/>
  <c r="B435" i="9"/>
  <c r="A436" i="9"/>
  <c r="B436" i="9"/>
  <c r="A437" i="9"/>
  <c r="B437" i="9"/>
  <c r="A438" i="9"/>
  <c r="B438" i="9"/>
  <c r="A439" i="9"/>
  <c r="B439" i="9"/>
  <c r="A440" i="9"/>
  <c r="B440" i="9"/>
  <c r="A441" i="9"/>
  <c r="B441" i="9"/>
  <c r="A442" i="9"/>
  <c r="B442" i="9"/>
  <c r="A443" i="9"/>
  <c r="B443" i="9"/>
  <c r="A444" i="9"/>
  <c r="B444" i="9"/>
  <c r="A445" i="9"/>
  <c r="B445" i="9"/>
  <c r="A446" i="9"/>
  <c r="B446" i="9"/>
  <c r="A447" i="9"/>
  <c r="B447" i="9"/>
  <c r="A448" i="9"/>
  <c r="B448" i="9"/>
  <c r="A449" i="9"/>
  <c r="B449" i="9"/>
  <c r="A450" i="9"/>
  <c r="B450" i="9"/>
  <c r="A451" i="9"/>
  <c r="B451" i="9"/>
  <c r="A452" i="9"/>
  <c r="B452" i="9"/>
  <c r="A453" i="9"/>
  <c r="B453" i="9"/>
  <c r="A454" i="9"/>
  <c r="B454" i="9"/>
  <c r="A455" i="9"/>
  <c r="B455" i="9"/>
  <c r="A456" i="9"/>
  <c r="B456" i="9"/>
  <c r="A457" i="9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B475" i="9"/>
  <c r="A476" i="9"/>
  <c r="B476" i="9"/>
  <c r="A477" i="9"/>
  <c r="B477" i="9"/>
  <c r="A478" i="9"/>
  <c r="B478" i="9"/>
  <c r="A479" i="9"/>
  <c r="B479" i="9"/>
  <c r="A480" i="9"/>
  <c r="B480" i="9"/>
  <c r="A481" i="9"/>
  <c r="B481" i="9"/>
  <c r="A482" i="9"/>
  <c r="B482" i="9"/>
  <c r="A483" i="9"/>
  <c r="B483" i="9"/>
  <c r="A484" i="9"/>
  <c r="B484" i="9"/>
  <c r="A485" i="9"/>
  <c r="B485" i="9"/>
  <c r="A486" i="9"/>
  <c r="B486" i="9"/>
  <c r="A487" i="9"/>
  <c r="B487" i="9"/>
  <c r="A488" i="9"/>
  <c r="B488" i="9"/>
  <c r="A489" i="9"/>
  <c r="B489" i="9"/>
  <c r="A490" i="9"/>
  <c r="B490" i="9"/>
  <c r="A491" i="9"/>
  <c r="B491" i="9"/>
  <c r="A492" i="9"/>
  <c r="B492" i="9"/>
  <c r="A493" i="9"/>
  <c r="B493" i="9"/>
  <c r="A494" i="9"/>
  <c r="B494" i="9"/>
  <c r="A495" i="9"/>
  <c r="B495" i="9"/>
  <c r="A496" i="9"/>
  <c r="B496" i="9"/>
  <c r="A497" i="9"/>
  <c r="B497" i="9"/>
  <c r="A498" i="9"/>
  <c r="B498" i="9"/>
  <c r="A499" i="9"/>
  <c r="B499" i="9"/>
  <c r="A500" i="9"/>
  <c r="B500" i="9"/>
  <c r="A501" i="9"/>
  <c r="B501" i="9"/>
  <c r="A502" i="9"/>
  <c r="B502" i="9"/>
  <c r="A503" i="9"/>
  <c r="B503" i="9"/>
  <c r="A504" i="9"/>
  <c r="B504" i="9"/>
  <c r="A505" i="9"/>
  <c r="B505" i="9"/>
  <c r="A506" i="9"/>
  <c r="B506" i="9"/>
  <c r="A507" i="9"/>
  <c r="B507" i="9"/>
  <c r="A508" i="9"/>
  <c r="B508" i="9"/>
  <c r="A509" i="9"/>
  <c r="B509" i="9"/>
  <c r="A510" i="9"/>
  <c r="B510" i="9"/>
  <c r="A511" i="9"/>
  <c r="B511" i="9"/>
  <c r="A512" i="9"/>
  <c r="B512" i="9"/>
  <c r="A513" i="9"/>
  <c r="B513" i="9"/>
  <c r="A514" i="9"/>
  <c r="B514" i="9"/>
  <c r="A515" i="9"/>
  <c r="B515" i="9"/>
  <c r="A516" i="9"/>
  <c r="B516" i="9"/>
  <c r="A517" i="9"/>
  <c r="B517" i="9"/>
  <c r="A518" i="9"/>
  <c r="B518" i="9"/>
  <c r="A519" i="9"/>
  <c r="B519" i="9"/>
  <c r="A520" i="9"/>
  <c r="B520" i="9"/>
  <c r="A521" i="9"/>
  <c r="B521" i="9"/>
  <c r="A522" i="9"/>
  <c r="B522" i="9"/>
  <c r="A523" i="9"/>
  <c r="B523" i="9"/>
  <c r="A524" i="9"/>
  <c r="B524" i="9"/>
  <c r="A525" i="9"/>
  <c r="B525" i="9"/>
  <c r="A526" i="9"/>
  <c r="B526" i="9"/>
  <c r="A527" i="9"/>
  <c r="B527" i="9"/>
  <c r="A528" i="9"/>
  <c r="B528" i="9"/>
  <c r="A529" i="9"/>
  <c r="B529" i="9"/>
  <c r="A530" i="9"/>
  <c r="B530" i="9"/>
  <c r="A531" i="9"/>
  <c r="B531" i="9"/>
  <c r="A532" i="9"/>
  <c r="B532" i="9"/>
  <c r="A533" i="9"/>
  <c r="B533" i="9"/>
  <c r="A534" i="9"/>
  <c r="B534" i="9"/>
  <c r="A535" i="9"/>
  <c r="B535" i="9"/>
  <c r="A536" i="9"/>
  <c r="B536" i="9"/>
  <c r="A537" i="9"/>
  <c r="B537" i="9"/>
  <c r="A538" i="9"/>
  <c r="B538" i="9"/>
  <c r="A539" i="9"/>
  <c r="B539" i="9"/>
  <c r="A540" i="9"/>
  <c r="B540" i="9"/>
  <c r="A541" i="9"/>
  <c r="B541" i="9"/>
  <c r="A542" i="9"/>
  <c r="B542" i="9"/>
  <c r="A543" i="9"/>
  <c r="B543" i="9"/>
  <c r="A544" i="9"/>
  <c r="B544" i="9"/>
  <c r="A545" i="9"/>
  <c r="B545" i="9"/>
  <c r="A546" i="9"/>
  <c r="B546" i="9"/>
  <c r="A547" i="9"/>
  <c r="B547" i="9"/>
  <c r="A548" i="9"/>
  <c r="B548" i="9"/>
  <c r="A549" i="9"/>
  <c r="B549" i="9"/>
  <c r="A550" i="9"/>
  <c r="B550" i="9"/>
  <c r="A551" i="9"/>
  <c r="B551" i="9"/>
  <c r="A552" i="9"/>
  <c r="B552" i="9"/>
  <c r="A553" i="9"/>
  <c r="B553" i="9"/>
  <c r="A554" i="9"/>
  <c r="B554" i="9"/>
  <c r="A555" i="9"/>
  <c r="B555" i="9"/>
  <c r="A556" i="9"/>
  <c r="B556" i="9"/>
  <c r="A557" i="9"/>
  <c r="B557" i="9"/>
  <c r="A558" i="9"/>
  <c r="B558" i="9"/>
  <c r="A559" i="9"/>
  <c r="B559" i="9"/>
  <c r="A560" i="9"/>
  <c r="B560" i="9"/>
  <c r="A561" i="9"/>
  <c r="B561" i="9"/>
  <c r="A562" i="9"/>
  <c r="B562" i="9"/>
  <c r="A563" i="9"/>
  <c r="B563" i="9"/>
  <c r="A564" i="9"/>
  <c r="B564" i="9"/>
  <c r="A565" i="9"/>
  <c r="B565" i="9"/>
  <c r="A566" i="9"/>
  <c r="B566" i="9"/>
  <c r="A567" i="9"/>
  <c r="B567" i="9"/>
  <c r="A568" i="9"/>
  <c r="B568" i="9"/>
  <c r="A569" i="9"/>
  <c r="B569" i="9"/>
  <c r="A570" i="9"/>
  <c r="B570" i="9"/>
  <c r="A571" i="9"/>
  <c r="B571" i="9"/>
  <c r="A572" i="9"/>
  <c r="B572" i="9"/>
  <c r="A573" i="9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B629" i="9"/>
  <c r="A630" i="9"/>
  <c r="B630" i="9"/>
  <c r="A631" i="9"/>
  <c r="B631" i="9"/>
  <c r="A632" i="9"/>
  <c r="B632" i="9"/>
  <c r="A633" i="9"/>
  <c r="B633" i="9"/>
  <c r="A634" i="9"/>
  <c r="B634" i="9"/>
  <c r="A635" i="9"/>
  <c r="B635" i="9"/>
  <c r="A636" i="9"/>
  <c r="B636" i="9"/>
  <c r="A637" i="9"/>
  <c r="B637" i="9"/>
  <c r="A638" i="9"/>
  <c r="B638" i="9"/>
  <c r="A639" i="9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A743" i="9"/>
  <c r="B743" i="9"/>
  <c r="A744" i="9"/>
  <c r="B744" i="9"/>
  <c r="A745" i="9"/>
  <c r="B745" i="9"/>
  <c r="A746" i="9"/>
  <c r="B746" i="9"/>
  <c r="A747" i="9"/>
  <c r="B747" i="9"/>
  <c r="A748" i="9"/>
  <c r="B748" i="9"/>
  <c r="A749" i="9"/>
  <c r="B749" i="9"/>
  <c r="A750" i="9"/>
  <c r="B750" i="9"/>
  <c r="A751" i="9"/>
  <c r="B751" i="9"/>
  <c r="A752" i="9"/>
  <c r="B752" i="9"/>
  <c r="A753" i="9"/>
  <c r="B753" i="9"/>
  <c r="A754" i="9"/>
  <c r="B754" i="9"/>
  <c r="A755" i="9"/>
  <c r="B755" i="9"/>
  <c r="A756" i="9"/>
  <c r="B756" i="9"/>
  <c r="A757" i="9"/>
  <c r="B757" i="9"/>
  <c r="A758" i="9"/>
  <c r="B758" i="9"/>
  <c r="A759" i="9"/>
  <c r="B759" i="9"/>
  <c r="A760" i="9"/>
  <c r="B760" i="9"/>
  <c r="A761" i="9"/>
  <c r="B761" i="9"/>
  <c r="A762" i="9"/>
  <c r="B762" i="9"/>
  <c r="A763" i="9"/>
  <c r="B763" i="9"/>
  <c r="A764" i="9"/>
  <c r="B764" i="9"/>
  <c r="A765" i="9"/>
  <c r="B765" i="9"/>
  <c r="A766" i="9"/>
  <c r="B766" i="9"/>
  <c r="A767" i="9"/>
  <c r="B767" i="9"/>
  <c r="A768" i="9"/>
  <c r="B768" i="9"/>
  <c r="A769" i="9"/>
  <c r="B769" i="9"/>
  <c r="A770" i="9"/>
  <c r="B770" i="9"/>
  <c r="A771" i="9"/>
  <c r="B771" i="9"/>
  <c r="A772" i="9"/>
  <c r="B772" i="9"/>
  <c r="A773" i="9"/>
  <c r="B773" i="9"/>
  <c r="A774" i="9"/>
  <c r="B774" i="9"/>
  <c r="A775" i="9"/>
  <c r="B775" i="9"/>
  <c r="A776" i="9"/>
  <c r="B776" i="9"/>
  <c r="A777" i="9"/>
  <c r="B777" i="9"/>
  <c r="A778" i="9"/>
  <c r="B778" i="9"/>
  <c r="A779" i="9"/>
  <c r="B779" i="9"/>
  <c r="A780" i="9"/>
  <c r="B780" i="9"/>
  <c r="A781" i="9"/>
  <c r="B781" i="9"/>
  <c r="A782" i="9"/>
  <c r="B782" i="9"/>
  <c r="A783" i="9"/>
  <c r="B783" i="9"/>
  <c r="A784" i="9"/>
  <c r="B784" i="9"/>
  <c r="A785" i="9"/>
  <c r="B785" i="9"/>
  <c r="A786" i="9"/>
  <c r="B786" i="9"/>
  <c r="A787" i="9"/>
  <c r="B787" i="9"/>
  <c r="A788" i="9"/>
  <c r="B788" i="9"/>
  <c r="A789" i="9"/>
  <c r="B789" i="9"/>
  <c r="A790" i="9"/>
  <c r="B790" i="9"/>
  <c r="A791" i="9"/>
  <c r="B791" i="9"/>
  <c r="A792" i="9"/>
  <c r="B792" i="9"/>
  <c r="A793" i="9"/>
  <c r="B793" i="9"/>
  <c r="A794" i="9"/>
  <c r="B794" i="9"/>
  <c r="A795" i="9"/>
  <c r="B795" i="9"/>
  <c r="A796" i="9"/>
  <c r="B796" i="9"/>
  <c r="A797" i="9"/>
  <c r="B797" i="9"/>
  <c r="A798" i="9"/>
  <c r="B798" i="9"/>
  <c r="A799" i="9"/>
  <c r="B799" i="9"/>
  <c r="A800" i="9"/>
  <c r="B800" i="9"/>
  <c r="A801" i="9"/>
  <c r="B801" i="9"/>
  <c r="A802" i="9"/>
  <c r="B802" i="9"/>
  <c r="A803" i="9"/>
  <c r="B803" i="9"/>
  <c r="A804" i="9"/>
  <c r="B804" i="9"/>
  <c r="A805" i="9"/>
  <c r="B805" i="9"/>
  <c r="A806" i="9"/>
  <c r="B806" i="9"/>
  <c r="A807" i="9"/>
  <c r="B807" i="9"/>
  <c r="A808" i="9"/>
  <c r="B808" i="9"/>
  <c r="A809" i="9"/>
  <c r="B809" i="9"/>
  <c r="A810" i="9"/>
  <c r="B810" i="9"/>
  <c r="A811" i="9"/>
  <c r="B811" i="9"/>
  <c r="A812" i="9"/>
  <c r="B812" i="9"/>
  <c r="A813" i="9"/>
  <c r="B813" i="9"/>
  <c r="A814" i="9"/>
  <c r="B814" i="9"/>
  <c r="A815" i="9"/>
  <c r="B815" i="9"/>
  <c r="A816" i="9"/>
  <c r="B816" i="9"/>
  <c r="A817" i="9"/>
  <c r="B817" i="9"/>
  <c r="A818" i="9"/>
  <c r="B818" i="9"/>
  <c r="A819" i="9"/>
  <c r="B819" i="9"/>
  <c r="A820" i="9"/>
  <c r="B820" i="9"/>
  <c r="A821" i="9"/>
  <c r="B821" i="9"/>
  <c r="A822" i="9"/>
  <c r="B822" i="9"/>
  <c r="A823" i="9"/>
  <c r="B823" i="9"/>
  <c r="A824" i="9"/>
  <c r="B824" i="9"/>
  <c r="A825" i="9"/>
  <c r="B825" i="9"/>
  <c r="A826" i="9"/>
  <c r="B826" i="9"/>
  <c r="A827" i="9"/>
  <c r="B827" i="9"/>
  <c r="A828" i="9"/>
  <c r="B828" i="9"/>
  <c r="A829" i="9"/>
  <c r="B829" i="9"/>
  <c r="A830" i="9"/>
  <c r="B830" i="9"/>
  <c r="A831" i="9"/>
  <c r="B831" i="9"/>
  <c r="A832" i="9"/>
  <c r="B832" i="9"/>
  <c r="A833" i="9"/>
  <c r="B833" i="9"/>
  <c r="A834" i="9"/>
  <c r="B834" i="9"/>
  <c r="A835" i="9"/>
  <c r="B835" i="9"/>
  <c r="A836" i="9"/>
  <c r="B836" i="9"/>
  <c r="A837" i="9"/>
  <c r="B837" i="9"/>
  <c r="A838" i="9"/>
  <c r="B838" i="9"/>
  <c r="A839" i="9"/>
  <c r="B839" i="9"/>
  <c r="A840" i="9"/>
  <c r="B840" i="9"/>
  <c r="A841" i="9"/>
  <c r="B841" i="9"/>
  <c r="A842" i="9"/>
  <c r="B842" i="9"/>
  <c r="A843" i="9"/>
  <c r="B843" i="9"/>
  <c r="A844" i="9"/>
  <c r="B844" i="9"/>
  <c r="A845" i="9"/>
  <c r="B845" i="9"/>
  <c r="A846" i="9"/>
  <c r="B846" i="9"/>
  <c r="A847" i="9"/>
  <c r="B847" i="9"/>
  <c r="A848" i="9"/>
  <c r="B848" i="9"/>
  <c r="A849" i="9"/>
  <c r="B849" i="9"/>
  <c r="A850" i="9"/>
  <c r="B850" i="9"/>
  <c r="A851" i="9"/>
  <c r="B851" i="9"/>
  <c r="A852" i="9"/>
  <c r="B852" i="9"/>
  <c r="A853" i="9"/>
  <c r="B853" i="9"/>
  <c r="A854" i="9"/>
  <c r="B854" i="9"/>
  <c r="A855" i="9"/>
  <c r="B855" i="9"/>
  <c r="A856" i="9"/>
  <c r="B856" i="9"/>
  <c r="A857" i="9"/>
  <c r="B857" i="9"/>
  <c r="A858" i="9"/>
  <c r="B858" i="9"/>
  <c r="A859" i="9"/>
  <c r="B859" i="9"/>
  <c r="A860" i="9"/>
  <c r="B860" i="9"/>
  <c r="A861" i="9"/>
  <c r="B861" i="9"/>
  <c r="A862" i="9"/>
  <c r="B862" i="9"/>
  <c r="A863" i="9"/>
  <c r="B863" i="9"/>
  <c r="A864" i="9"/>
  <c r="B864" i="9"/>
  <c r="A865" i="9"/>
  <c r="B865" i="9"/>
  <c r="A866" i="9"/>
  <c r="B866" i="9"/>
  <c r="A867" i="9"/>
  <c r="B867" i="9"/>
  <c r="A868" i="9"/>
  <c r="B868" i="9"/>
  <c r="A869" i="9"/>
  <c r="B869" i="9"/>
  <c r="A870" i="9"/>
  <c r="B870" i="9"/>
  <c r="A871" i="9"/>
  <c r="B871" i="9"/>
  <c r="A872" i="9"/>
  <c r="B872" i="9"/>
  <c r="A873" i="9"/>
  <c r="B873" i="9"/>
  <c r="A874" i="9"/>
  <c r="B874" i="9"/>
  <c r="A875" i="9"/>
  <c r="B875" i="9"/>
  <c r="A876" i="9"/>
  <c r="B876" i="9"/>
  <c r="A877" i="9"/>
  <c r="B877" i="9"/>
  <c r="A878" i="9"/>
  <c r="B878" i="9"/>
  <c r="A879" i="9"/>
  <c r="B879" i="9"/>
  <c r="A880" i="9"/>
  <c r="B880" i="9"/>
  <c r="A881" i="9"/>
  <c r="B881" i="9"/>
  <c r="A882" i="9"/>
  <c r="B882" i="9"/>
  <c r="A883" i="9"/>
  <c r="B883" i="9"/>
  <c r="A884" i="9"/>
  <c r="B884" i="9"/>
  <c r="A885" i="9"/>
  <c r="B885" i="9"/>
  <c r="A886" i="9"/>
  <c r="B886" i="9"/>
  <c r="A887" i="9"/>
  <c r="B887" i="9"/>
  <c r="A888" i="9"/>
  <c r="B888" i="9"/>
  <c r="A889" i="9"/>
  <c r="B889" i="9"/>
  <c r="A890" i="9"/>
  <c r="B890" i="9"/>
  <c r="A891" i="9"/>
  <c r="B891" i="9"/>
  <c r="A892" i="9"/>
  <c r="B892" i="9"/>
  <c r="A893" i="9"/>
  <c r="B893" i="9"/>
  <c r="A894" i="9"/>
  <c r="B894" i="9"/>
  <c r="A895" i="9"/>
  <c r="B895" i="9"/>
  <c r="A896" i="9"/>
  <c r="B896" i="9"/>
  <c r="A897" i="9"/>
  <c r="B897" i="9"/>
  <c r="A898" i="9"/>
  <c r="B898" i="9"/>
  <c r="A899" i="9"/>
  <c r="B899" i="9"/>
  <c r="A900" i="9"/>
  <c r="B900" i="9"/>
  <c r="A901" i="9"/>
  <c r="B901" i="9"/>
  <c r="A902" i="9"/>
  <c r="B902" i="9"/>
  <c r="A903" i="9"/>
  <c r="B903" i="9"/>
  <c r="A904" i="9"/>
  <c r="B904" i="9"/>
  <c r="A905" i="9"/>
  <c r="B905" i="9"/>
  <c r="A906" i="9"/>
  <c r="B906" i="9"/>
  <c r="A907" i="9"/>
  <c r="B907" i="9"/>
  <c r="A908" i="9"/>
  <c r="B908" i="9"/>
  <c r="A909" i="9"/>
  <c r="B909" i="9"/>
  <c r="A910" i="9"/>
  <c r="B910" i="9"/>
  <c r="A911" i="9"/>
  <c r="B911" i="9"/>
  <c r="A912" i="9"/>
  <c r="B912" i="9"/>
  <c r="A913" i="9"/>
  <c r="B913" i="9"/>
  <c r="A914" i="9"/>
  <c r="B914" i="9"/>
  <c r="A915" i="9"/>
  <c r="B915" i="9"/>
  <c r="A916" i="9"/>
  <c r="B916" i="9"/>
  <c r="A917" i="9"/>
  <c r="B917" i="9"/>
  <c r="A918" i="9"/>
  <c r="B918" i="9"/>
  <c r="A919" i="9"/>
  <c r="B919" i="9"/>
  <c r="A920" i="9"/>
  <c r="B920" i="9"/>
  <c r="A921" i="9"/>
  <c r="B921" i="9"/>
  <c r="A922" i="9"/>
  <c r="B922" i="9"/>
  <c r="A923" i="9"/>
  <c r="B923" i="9"/>
  <c r="A924" i="9"/>
  <c r="B924" i="9"/>
  <c r="A925" i="9"/>
  <c r="B925" i="9"/>
  <c r="A926" i="9"/>
  <c r="B926" i="9"/>
  <c r="A927" i="9"/>
  <c r="B927" i="9"/>
  <c r="A928" i="9"/>
  <c r="B928" i="9"/>
  <c r="A929" i="9"/>
  <c r="B929" i="9"/>
  <c r="A930" i="9"/>
  <c r="B930" i="9"/>
  <c r="A931" i="9"/>
  <c r="B931" i="9"/>
  <c r="A932" i="9"/>
  <c r="B932" i="9"/>
  <c r="A933" i="9"/>
  <c r="B933" i="9"/>
  <c r="A934" i="9"/>
  <c r="B934" i="9"/>
  <c r="A935" i="9"/>
  <c r="B935" i="9"/>
  <c r="A936" i="9"/>
  <c r="B936" i="9"/>
  <c r="A937" i="9"/>
  <c r="B937" i="9"/>
  <c r="A938" i="9"/>
  <c r="B938" i="9"/>
  <c r="A939" i="9"/>
  <c r="B939" i="9"/>
  <c r="A940" i="9"/>
  <c r="B940" i="9"/>
  <c r="A941" i="9"/>
  <c r="B941" i="9"/>
  <c r="A942" i="9"/>
  <c r="B942" i="9"/>
  <c r="A943" i="9"/>
  <c r="B943" i="9"/>
  <c r="A944" i="9"/>
  <c r="B944" i="9"/>
  <c r="A945" i="9"/>
  <c r="B945" i="9"/>
  <c r="A946" i="9"/>
  <c r="B946" i="9"/>
  <c r="A947" i="9"/>
  <c r="B947" i="9"/>
  <c r="A948" i="9"/>
  <c r="B948" i="9"/>
  <c r="A949" i="9"/>
  <c r="B949" i="9"/>
  <c r="A950" i="9"/>
  <c r="B950" i="9"/>
  <c r="A951" i="9"/>
  <c r="B951" i="9"/>
  <c r="A952" i="9"/>
  <c r="B952" i="9"/>
  <c r="A953" i="9"/>
  <c r="B953" i="9"/>
  <c r="A954" i="9"/>
  <c r="B954" i="9"/>
  <c r="A955" i="9"/>
  <c r="B955" i="9"/>
  <c r="A956" i="9"/>
  <c r="B956" i="9"/>
  <c r="A957" i="9"/>
  <c r="B957" i="9"/>
  <c r="A958" i="9"/>
  <c r="B958" i="9"/>
  <c r="A959" i="9"/>
  <c r="B959" i="9"/>
  <c r="A960" i="9"/>
  <c r="B960" i="9"/>
  <c r="A961" i="9"/>
  <c r="B961" i="9"/>
  <c r="A962" i="9"/>
  <c r="B962" i="9"/>
  <c r="A963" i="9"/>
  <c r="B963" i="9"/>
  <c r="A964" i="9"/>
  <c r="B964" i="9"/>
  <c r="A965" i="9"/>
  <c r="B965" i="9"/>
  <c r="A966" i="9"/>
  <c r="B966" i="9"/>
  <c r="E300" i="2"/>
  <c r="G51" i="3"/>
  <c r="P51" i="3"/>
  <c r="Q51" i="3"/>
  <c r="R51" i="3"/>
  <c r="U51" i="3" s="1" a="1"/>
  <c r="U51" i="3" s="1"/>
  <c r="A51" i="9" s="1"/>
  <c r="G52" i="3"/>
  <c r="P52" i="3"/>
  <c r="Q52" i="3"/>
  <c r="R52" i="3"/>
  <c r="U52" i="3" s="1" a="1"/>
  <c r="U52" i="3" s="1"/>
  <c r="A52" i="9" s="1"/>
  <c r="G53" i="3"/>
  <c r="P53" i="3"/>
  <c r="Q53" i="3"/>
  <c r="R53" i="3"/>
  <c r="K53" i="3" s="1" a="1"/>
  <c r="K53" i="3" s="1"/>
  <c r="G54" i="3"/>
  <c r="P54" i="3"/>
  <c r="Q54" i="3"/>
  <c r="R54" i="3"/>
  <c r="B54" i="3" s="1" a="1"/>
  <c r="B54" i="3" s="1"/>
  <c r="B54" i="9" s="1"/>
  <c r="G55" i="3"/>
  <c r="P55" i="3"/>
  <c r="Q55" i="3"/>
  <c r="R55" i="3"/>
  <c r="U55" i="3" s="1" a="1"/>
  <c r="U55" i="3" s="1"/>
  <c r="A55" i="9" s="1"/>
  <c r="G56" i="3"/>
  <c r="P56" i="3"/>
  <c r="Q56" i="3"/>
  <c r="R56" i="3"/>
  <c r="B56" i="3" s="1" a="1"/>
  <c r="B56" i="3" s="1"/>
  <c r="B56" i="9" s="1"/>
  <c r="G57" i="3"/>
  <c r="P57" i="3"/>
  <c r="Q57" i="3"/>
  <c r="R57" i="3"/>
  <c r="B57" i="3" s="1" a="1"/>
  <c r="B57" i="3" s="1"/>
  <c r="B57" i="9" s="1"/>
  <c r="G58" i="3"/>
  <c r="P58" i="3"/>
  <c r="Q58" i="3"/>
  <c r="R58" i="3"/>
  <c r="U58" i="3" s="1" a="1"/>
  <c r="U58" i="3" s="1"/>
  <c r="A58" i="9" s="1"/>
  <c r="G59" i="3"/>
  <c r="P59" i="3"/>
  <c r="Q59" i="3"/>
  <c r="R59" i="3"/>
  <c r="U59" i="3" s="1" a="1"/>
  <c r="U59" i="3" s="1"/>
  <c r="A59" i="9" s="1"/>
  <c r="G60" i="3"/>
  <c r="P60" i="3"/>
  <c r="Q60" i="3"/>
  <c r="R60" i="3"/>
  <c r="B60" i="3" s="1" a="1"/>
  <c r="B60" i="3" s="1"/>
  <c r="B60" i="9" s="1"/>
  <c r="G61" i="3"/>
  <c r="P61" i="3"/>
  <c r="Q61" i="3"/>
  <c r="R61" i="3"/>
  <c r="K61" i="3" s="1" a="1"/>
  <c r="K61" i="3" s="1"/>
  <c r="G62" i="3"/>
  <c r="P62" i="3"/>
  <c r="Q62" i="3"/>
  <c r="R62" i="3"/>
  <c r="B62" i="3" s="1" a="1"/>
  <c r="B62" i="3" s="1"/>
  <c r="B62" i="9" s="1"/>
  <c r="G63" i="3"/>
  <c r="P63" i="3"/>
  <c r="Q63" i="3"/>
  <c r="R63" i="3"/>
  <c r="K63" i="3" s="1" a="1"/>
  <c r="K63" i="3" s="1"/>
  <c r="G64" i="3"/>
  <c r="P64" i="3"/>
  <c r="Q64" i="3"/>
  <c r="R64" i="3"/>
  <c r="B64" i="3" s="1" a="1"/>
  <c r="B64" i="3" s="1"/>
  <c r="B64" i="9" s="1"/>
  <c r="G65" i="3"/>
  <c r="P65" i="3"/>
  <c r="Q65" i="3"/>
  <c r="R65" i="3"/>
  <c r="K65" i="3" s="1" a="1"/>
  <c r="K65" i="3" s="1"/>
  <c r="G66" i="3"/>
  <c r="P66" i="3"/>
  <c r="Q66" i="3"/>
  <c r="R66" i="3"/>
  <c r="B66" i="3" s="1" a="1"/>
  <c r="B66" i="3" s="1"/>
  <c r="B66" i="9" s="1"/>
  <c r="G67" i="3"/>
  <c r="P67" i="3"/>
  <c r="Q67" i="3"/>
  <c r="R67" i="3"/>
  <c r="U67" i="3" s="1" a="1"/>
  <c r="U67" i="3" s="1"/>
  <c r="A67" i="9" s="1"/>
  <c r="G68" i="3"/>
  <c r="P68" i="3"/>
  <c r="Q68" i="3"/>
  <c r="R68" i="3"/>
  <c r="B68" i="3" s="1" a="1"/>
  <c r="B68" i="3" s="1"/>
  <c r="B68" i="9" s="1"/>
  <c r="G69" i="3"/>
  <c r="P69" i="3"/>
  <c r="Q69" i="3"/>
  <c r="R69" i="3"/>
  <c r="B69" i="3" s="1" a="1"/>
  <c r="B69" i="3" s="1"/>
  <c r="B69" i="9" s="1"/>
  <c r="G70" i="3"/>
  <c r="P70" i="3"/>
  <c r="Q70" i="3"/>
  <c r="R70" i="3"/>
  <c r="B70" i="3" s="1" a="1"/>
  <c r="B70" i="3" s="1"/>
  <c r="B70" i="9" s="1"/>
  <c r="G71" i="3"/>
  <c r="P71" i="3"/>
  <c r="Q71" i="3"/>
  <c r="R71" i="3"/>
  <c r="B71" i="3" s="1" a="1"/>
  <c r="B71" i="3" s="1"/>
  <c r="B71" i="9" s="1"/>
  <c r="G72" i="3"/>
  <c r="P72" i="3"/>
  <c r="Q72" i="3"/>
  <c r="R72" i="3"/>
  <c r="U72" i="3" s="1" a="1"/>
  <c r="U72" i="3" s="1"/>
  <c r="A72" i="9" s="1"/>
  <c r="G73" i="3"/>
  <c r="P73" i="3"/>
  <c r="Q73" i="3"/>
  <c r="R73" i="3"/>
  <c r="B73" i="3" s="1" a="1"/>
  <c r="B73" i="3" s="1"/>
  <c r="B73" i="9" s="1"/>
  <c r="G74" i="3"/>
  <c r="P74" i="3"/>
  <c r="Q74" i="3"/>
  <c r="R74" i="3"/>
  <c r="K74" i="3" s="1" a="1"/>
  <c r="K74" i="3" s="1"/>
  <c r="M2819" i="4"/>
  <c r="M2820" i="4"/>
  <c r="M2821" i="4"/>
  <c r="M2822" i="4"/>
  <c r="M2823" i="4"/>
  <c r="M2824" i="4"/>
  <c r="M2825" i="4"/>
  <c r="M2826" i="4"/>
  <c r="M2827" i="4"/>
  <c r="M2828" i="4"/>
  <c r="M2829" i="4"/>
  <c r="M2830" i="4"/>
  <c r="M2831" i="4"/>
  <c r="F2829" i="4"/>
  <c r="F2827" i="4"/>
  <c r="F2828" i="4"/>
  <c r="F2826" i="4"/>
  <c r="F2831" i="4"/>
  <c r="F2830" i="4"/>
  <c r="M2776" i="4"/>
  <c r="M2777" i="4"/>
  <c r="M2778" i="4"/>
  <c r="M2779" i="4"/>
  <c r="M2780" i="4"/>
  <c r="M2781" i="4"/>
  <c r="M2782" i="4"/>
  <c r="M2783" i="4"/>
  <c r="M2784" i="4"/>
  <c r="M2785" i="4"/>
  <c r="M2786" i="4"/>
  <c r="M2787" i="4"/>
  <c r="M2788" i="4"/>
  <c r="M2789" i="4"/>
  <c r="M2790" i="4"/>
  <c r="M2791" i="4"/>
  <c r="M2792" i="4"/>
  <c r="M2793" i="4"/>
  <c r="M2794" i="4"/>
  <c r="M2795" i="4"/>
  <c r="M2796" i="4"/>
  <c r="M2797" i="4"/>
  <c r="M2798" i="4"/>
  <c r="M2799" i="4"/>
  <c r="M2800" i="4"/>
  <c r="M2801" i="4"/>
  <c r="M2802" i="4"/>
  <c r="M2803" i="4"/>
  <c r="M2804" i="4"/>
  <c r="M2805" i="4"/>
  <c r="M2806" i="4"/>
  <c r="M2807" i="4"/>
  <c r="M2808" i="4"/>
  <c r="M2809" i="4"/>
  <c r="M2810" i="4"/>
  <c r="M2811" i="4"/>
  <c r="M2812" i="4"/>
  <c r="M2813" i="4"/>
  <c r="M2814" i="4"/>
  <c r="M2815" i="4"/>
  <c r="M2816" i="4"/>
  <c r="M2817" i="4"/>
  <c r="M2818" i="4"/>
  <c r="M2763" i="4"/>
  <c r="M2764" i="4"/>
  <c r="M2765" i="4"/>
  <c r="M2766" i="4"/>
  <c r="M2767" i="4"/>
  <c r="M2768" i="4"/>
  <c r="M2769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M1282" i="4"/>
  <c r="M1283" i="4"/>
  <c r="M1284" i="4"/>
  <c r="M1285" i="4"/>
  <c r="M1286" i="4"/>
  <c r="M1287" i="4"/>
  <c r="M1288" i="4"/>
  <c r="M1289" i="4"/>
  <c r="M1290" i="4"/>
  <c r="M1291" i="4"/>
  <c r="M1292" i="4"/>
  <c r="M1293" i="4"/>
  <c r="M1294" i="4"/>
  <c r="M1295" i="4"/>
  <c r="M1296" i="4"/>
  <c r="M1297" i="4"/>
  <c r="M1298" i="4"/>
  <c r="M1299" i="4"/>
  <c r="M1300" i="4"/>
  <c r="M1301" i="4"/>
  <c r="M1302" i="4"/>
  <c r="M1303" i="4"/>
  <c r="M1304" i="4"/>
  <c r="M1305" i="4"/>
  <c r="M1306" i="4"/>
  <c r="M1307" i="4"/>
  <c r="M1308" i="4"/>
  <c r="M1309" i="4"/>
  <c r="M1310" i="4"/>
  <c r="M1311" i="4"/>
  <c r="M1312" i="4"/>
  <c r="M1313" i="4"/>
  <c r="M1314" i="4"/>
  <c r="M1315" i="4"/>
  <c r="M1316" i="4"/>
  <c r="M1317" i="4"/>
  <c r="M1318" i="4"/>
  <c r="M1319" i="4"/>
  <c r="M1320" i="4"/>
  <c r="M1321" i="4"/>
  <c r="M1322" i="4"/>
  <c r="M1323" i="4"/>
  <c r="M1324" i="4"/>
  <c r="M1325" i="4"/>
  <c r="M1326" i="4"/>
  <c r="M1327" i="4"/>
  <c r="M1328" i="4"/>
  <c r="M1329" i="4"/>
  <c r="M1330" i="4"/>
  <c r="M1331" i="4"/>
  <c r="M1332" i="4"/>
  <c r="M1333" i="4"/>
  <c r="M1334" i="4"/>
  <c r="M1335" i="4"/>
  <c r="M1336" i="4"/>
  <c r="M1337" i="4"/>
  <c r="M1338" i="4"/>
  <c r="M1339" i="4"/>
  <c r="M1340" i="4"/>
  <c r="M1341" i="4"/>
  <c r="M1342" i="4"/>
  <c r="M1343" i="4"/>
  <c r="M1344" i="4"/>
  <c r="M1345" i="4"/>
  <c r="M1346" i="4"/>
  <c r="M1347" i="4"/>
  <c r="M1348" i="4"/>
  <c r="M1349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M1402" i="4"/>
  <c r="M1403" i="4"/>
  <c r="M1404" i="4"/>
  <c r="M1405" i="4"/>
  <c r="M1406" i="4"/>
  <c r="M1407" i="4"/>
  <c r="M1408" i="4"/>
  <c r="M1409" i="4"/>
  <c r="M1410" i="4"/>
  <c r="M1411" i="4"/>
  <c r="M1412" i="4"/>
  <c r="M1413" i="4"/>
  <c r="M1414" i="4"/>
  <c r="M1415" i="4"/>
  <c r="M1416" i="4"/>
  <c r="M1417" i="4"/>
  <c r="M1418" i="4"/>
  <c r="M1419" i="4"/>
  <c r="M1420" i="4"/>
  <c r="M1421" i="4"/>
  <c r="M1422" i="4"/>
  <c r="M1423" i="4"/>
  <c r="M1424" i="4"/>
  <c r="M1425" i="4"/>
  <c r="M1426" i="4"/>
  <c r="M1427" i="4"/>
  <c r="M1428" i="4"/>
  <c r="M1429" i="4"/>
  <c r="M1430" i="4"/>
  <c r="M1431" i="4"/>
  <c r="M1432" i="4"/>
  <c r="M1433" i="4"/>
  <c r="M1434" i="4"/>
  <c r="M1435" i="4"/>
  <c r="M1436" i="4"/>
  <c r="M1437" i="4"/>
  <c r="M1438" i="4"/>
  <c r="M1439" i="4"/>
  <c r="M1440" i="4"/>
  <c r="M1441" i="4"/>
  <c r="M1442" i="4"/>
  <c r="M1443" i="4"/>
  <c r="M1444" i="4"/>
  <c r="M1445" i="4"/>
  <c r="M1446" i="4"/>
  <c r="M1447" i="4"/>
  <c r="M1448" i="4"/>
  <c r="M1449" i="4"/>
  <c r="M1450" i="4"/>
  <c r="M1451" i="4"/>
  <c r="M1452" i="4"/>
  <c r="M1453" i="4"/>
  <c r="M1454" i="4"/>
  <c r="M1455" i="4"/>
  <c r="M1456" i="4"/>
  <c r="M1457" i="4"/>
  <c r="M1458" i="4"/>
  <c r="M1459" i="4"/>
  <c r="M1460" i="4"/>
  <c r="M1461" i="4"/>
  <c r="M1462" i="4"/>
  <c r="M1463" i="4"/>
  <c r="M1464" i="4"/>
  <c r="M1465" i="4"/>
  <c r="M1466" i="4"/>
  <c r="M1467" i="4"/>
  <c r="M1468" i="4"/>
  <c r="M1469" i="4"/>
  <c r="M1470" i="4"/>
  <c r="M1471" i="4"/>
  <c r="M1472" i="4"/>
  <c r="M1473" i="4"/>
  <c r="M1474" i="4"/>
  <c r="M1475" i="4"/>
  <c r="M1476" i="4"/>
  <c r="M1477" i="4"/>
  <c r="M1478" i="4"/>
  <c r="M1479" i="4"/>
  <c r="M1480" i="4"/>
  <c r="M1481" i="4"/>
  <c r="M1482" i="4"/>
  <c r="M1483" i="4"/>
  <c r="M1484" i="4"/>
  <c r="M1485" i="4"/>
  <c r="M1486" i="4"/>
  <c r="M1487" i="4"/>
  <c r="M1488" i="4"/>
  <c r="M1489" i="4"/>
  <c r="M1490" i="4"/>
  <c r="M1491" i="4"/>
  <c r="M1492" i="4"/>
  <c r="M1493" i="4"/>
  <c r="M1494" i="4"/>
  <c r="M1495" i="4"/>
  <c r="M1496" i="4"/>
  <c r="M1497" i="4"/>
  <c r="M1498" i="4"/>
  <c r="M1499" i="4"/>
  <c r="M1500" i="4"/>
  <c r="M1501" i="4"/>
  <c r="M1502" i="4"/>
  <c r="M1503" i="4"/>
  <c r="M1504" i="4"/>
  <c r="M1505" i="4"/>
  <c r="M1506" i="4"/>
  <c r="M1507" i="4"/>
  <c r="M1508" i="4"/>
  <c r="M1509" i="4"/>
  <c r="M1510" i="4"/>
  <c r="M1511" i="4"/>
  <c r="M1512" i="4"/>
  <c r="M1513" i="4"/>
  <c r="M1514" i="4"/>
  <c r="M1515" i="4"/>
  <c r="M1516" i="4"/>
  <c r="M1517" i="4"/>
  <c r="M1518" i="4"/>
  <c r="M1519" i="4"/>
  <c r="M1520" i="4"/>
  <c r="M1521" i="4"/>
  <c r="M1522" i="4"/>
  <c r="M1523" i="4"/>
  <c r="M1524" i="4"/>
  <c r="M1525" i="4"/>
  <c r="M1526" i="4"/>
  <c r="M1527" i="4"/>
  <c r="M1528" i="4"/>
  <c r="M1529" i="4"/>
  <c r="M1530" i="4"/>
  <c r="M1531" i="4"/>
  <c r="M1532" i="4"/>
  <c r="M1533" i="4"/>
  <c r="M1534" i="4"/>
  <c r="M1535" i="4"/>
  <c r="M1536" i="4"/>
  <c r="M1537" i="4"/>
  <c r="M1538" i="4"/>
  <c r="M1539" i="4"/>
  <c r="M1540" i="4"/>
  <c r="M1541" i="4"/>
  <c r="M1542" i="4"/>
  <c r="M1543" i="4"/>
  <c r="M1544" i="4"/>
  <c r="M1545" i="4"/>
  <c r="M1546" i="4"/>
  <c r="M1547" i="4"/>
  <c r="M1548" i="4"/>
  <c r="M1549" i="4"/>
  <c r="M1550" i="4"/>
  <c r="M1551" i="4"/>
  <c r="M1552" i="4"/>
  <c r="M1553" i="4"/>
  <c r="M1554" i="4"/>
  <c r="M1555" i="4"/>
  <c r="M1556" i="4"/>
  <c r="M1557" i="4"/>
  <c r="M1558" i="4"/>
  <c r="M1559" i="4"/>
  <c r="M1560" i="4"/>
  <c r="M1561" i="4"/>
  <c r="M1562" i="4"/>
  <c r="M1563" i="4"/>
  <c r="M1564" i="4"/>
  <c r="M1565" i="4"/>
  <c r="M1566" i="4"/>
  <c r="M1567" i="4"/>
  <c r="M1568" i="4"/>
  <c r="M1569" i="4"/>
  <c r="M1570" i="4"/>
  <c r="M1571" i="4"/>
  <c r="M1572" i="4"/>
  <c r="M1573" i="4"/>
  <c r="M1574" i="4"/>
  <c r="M1575" i="4"/>
  <c r="M1576" i="4"/>
  <c r="M1577" i="4"/>
  <c r="M1578" i="4"/>
  <c r="M1579" i="4"/>
  <c r="M1580" i="4"/>
  <c r="M1581" i="4"/>
  <c r="M1582" i="4"/>
  <c r="M1583" i="4"/>
  <c r="M1584" i="4"/>
  <c r="M1585" i="4"/>
  <c r="M1586" i="4"/>
  <c r="M1587" i="4"/>
  <c r="M1588" i="4"/>
  <c r="M1589" i="4"/>
  <c r="M1590" i="4"/>
  <c r="M1591" i="4"/>
  <c r="M1592" i="4"/>
  <c r="M1593" i="4"/>
  <c r="M1594" i="4"/>
  <c r="M1595" i="4"/>
  <c r="M1596" i="4"/>
  <c r="M1597" i="4"/>
  <c r="M1598" i="4"/>
  <c r="M1599" i="4"/>
  <c r="M1600" i="4"/>
  <c r="M1601" i="4"/>
  <c r="M1602" i="4"/>
  <c r="M1603" i="4"/>
  <c r="M1604" i="4"/>
  <c r="M1605" i="4"/>
  <c r="M1606" i="4"/>
  <c r="M1607" i="4"/>
  <c r="M1608" i="4"/>
  <c r="M1609" i="4"/>
  <c r="M1610" i="4"/>
  <c r="M1611" i="4"/>
  <c r="M1612" i="4"/>
  <c r="M1613" i="4"/>
  <c r="M1614" i="4"/>
  <c r="M1615" i="4"/>
  <c r="M1616" i="4"/>
  <c r="M1617" i="4"/>
  <c r="M1618" i="4"/>
  <c r="M1619" i="4"/>
  <c r="M1620" i="4"/>
  <c r="M1621" i="4"/>
  <c r="M1622" i="4"/>
  <c r="M1623" i="4"/>
  <c r="M1624" i="4"/>
  <c r="M1625" i="4"/>
  <c r="M1626" i="4"/>
  <c r="M1627" i="4"/>
  <c r="M1628" i="4"/>
  <c r="M1629" i="4"/>
  <c r="M1630" i="4"/>
  <c r="M1631" i="4"/>
  <c r="M1632" i="4"/>
  <c r="M1633" i="4"/>
  <c r="M1634" i="4"/>
  <c r="M1635" i="4"/>
  <c r="M1636" i="4"/>
  <c r="M1637" i="4"/>
  <c r="M1638" i="4"/>
  <c r="M1639" i="4"/>
  <c r="M1640" i="4"/>
  <c r="M1641" i="4"/>
  <c r="M1642" i="4"/>
  <c r="M1643" i="4"/>
  <c r="M1644" i="4"/>
  <c r="M1645" i="4"/>
  <c r="M1646" i="4"/>
  <c r="M1647" i="4"/>
  <c r="M1648" i="4"/>
  <c r="M1649" i="4"/>
  <c r="M1650" i="4"/>
  <c r="M1651" i="4"/>
  <c r="M1652" i="4"/>
  <c r="M1653" i="4"/>
  <c r="M1654" i="4"/>
  <c r="M1655" i="4"/>
  <c r="M1656" i="4"/>
  <c r="M1657" i="4"/>
  <c r="M1658" i="4"/>
  <c r="M1659" i="4"/>
  <c r="M1660" i="4"/>
  <c r="M1661" i="4"/>
  <c r="M1662" i="4"/>
  <c r="M1663" i="4"/>
  <c r="M1664" i="4"/>
  <c r="M1665" i="4"/>
  <c r="M1666" i="4"/>
  <c r="M1667" i="4"/>
  <c r="M1668" i="4"/>
  <c r="M1669" i="4"/>
  <c r="M1670" i="4"/>
  <c r="M1671" i="4"/>
  <c r="M1672" i="4"/>
  <c r="M1673" i="4"/>
  <c r="M1674" i="4"/>
  <c r="M1675" i="4"/>
  <c r="M1676" i="4"/>
  <c r="M1677" i="4"/>
  <c r="M1678" i="4"/>
  <c r="M1679" i="4"/>
  <c r="M1680" i="4"/>
  <c r="M1681" i="4"/>
  <c r="M1682" i="4"/>
  <c r="M1683" i="4"/>
  <c r="M1684" i="4"/>
  <c r="M1685" i="4"/>
  <c r="M1686" i="4"/>
  <c r="M1687" i="4"/>
  <c r="M1688" i="4"/>
  <c r="M1689" i="4"/>
  <c r="M1690" i="4"/>
  <c r="M1691" i="4"/>
  <c r="M1692" i="4"/>
  <c r="M1693" i="4"/>
  <c r="M1694" i="4"/>
  <c r="M1695" i="4"/>
  <c r="M1696" i="4"/>
  <c r="M1697" i="4"/>
  <c r="M1698" i="4"/>
  <c r="M1699" i="4"/>
  <c r="M1700" i="4"/>
  <c r="M1701" i="4"/>
  <c r="M1702" i="4"/>
  <c r="M1703" i="4"/>
  <c r="M1704" i="4"/>
  <c r="M1705" i="4"/>
  <c r="M1706" i="4"/>
  <c r="M1707" i="4"/>
  <c r="M1708" i="4"/>
  <c r="M1709" i="4"/>
  <c r="M1710" i="4"/>
  <c r="M1711" i="4"/>
  <c r="M1712" i="4"/>
  <c r="M1713" i="4"/>
  <c r="M1714" i="4"/>
  <c r="M1715" i="4"/>
  <c r="M1716" i="4"/>
  <c r="M1717" i="4"/>
  <c r="M1718" i="4"/>
  <c r="M1719" i="4"/>
  <c r="M1720" i="4"/>
  <c r="M1721" i="4"/>
  <c r="M1722" i="4"/>
  <c r="M1723" i="4"/>
  <c r="M1724" i="4"/>
  <c r="M1725" i="4"/>
  <c r="M1726" i="4"/>
  <c r="M1727" i="4"/>
  <c r="M1728" i="4"/>
  <c r="M1729" i="4"/>
  <c r="M1730" i="4"/>
  <c r="M1731" i="4"/>
  <c r="M1732" i="4"/>
  <c r="M1733" i="4"/>
  <c r="M1734" i="4"/>
  <c r="M1735" i="4"/>
  <c r="M1736" i="4"/>
  <c r="M1737" i="4"/>
  <c r="M1738" i="4"/>
  <c r="M1739" i="4"/>
  <c r="M1740" i="4"/>
  <c r="M1741" i="4"/>
  <c r="M1742" i="4"/>
  <c r="M1743" i="4"/>
  <c r="M1744" i="4"/>
  <c r="M1745" i="4"/>
  <c r="M1746" i="4"/>
  <c r="M1747" i="4"/>
  <c r="M1748" i="4"/>
  <c r="M1749" i="4"/>
  <c r="M1750" i="4"/>
  <c r="M1751" i="4"/>
  <c r="M1752" i="4"/>
  <c r="M1753" i="4"/>
  <c r="M1754" i="4"/>
  <c r="M1755" i="4"/>
  <c r="M1756" i="4"/>
  <c r="M1757" i="4"/>
  <c r="M1758" i="4"/>
  <c r="M1759" i="4"/>
  <c r="M1760" i="4"/>
  <c r="M1761" i="4"/>
  <c r="M1762" i="4"/>
  <c r="M1763" i="4"/>
  <c r="M1764" i="4"/>
  <c r="M1765" i="4"/>
  <c r="M1766" i="4"/>
  <c r="M1767" i="4"/>
  <c r="M1768" i="4"/>
  <c r="M1769" i="4"/>
  <c r="M1770" i="4"/>
  <c r="M1771" i="4"/>
  <c r="M1772" i="4"/>
  <c r="M1773" i="4"/>
  <c r="M1774" i="4"/>
  <c r="M1775" i="4"/>
  <c r="M1776" i="4"/>
  <c r="M1777" i="4"/>
  <c r="M1778" i="4"/>
  <c r="M1779" i="4"/>
  <c r="M1780" i="4"/>
  <c r="M1781" i="4"/>
  <c r="M1782" i="4"/>
  <c r="M1783" i="4"/>
  <c r="M1784" i="4"/>
  <c r="M1785" i="4"/>
  <c r="M1786" i="4"/>
  <c r="M1787" i="4"/>
  <c r="M1788" i="4"/>
  <c r="M1789" i="4"/>
  <c r="M1790" i="4"/>
  <c r="M1791" i="4"/>
  <c r="M1792" i="4"/>
  <c r="M1793" i="4"/>
  <c r="M1794" i="4"/>
  <c r="M1795" i="4"/>
  <c r="M1796" i="4"/>
  <c r="M1797" i="4"/>
  <c r="M1798" i="4"/>
  <c r="M1799" i="4"/>
  <c r="M1800" i="4"/>
  <c r="M1801" i="4"/>
  <c r="M1802" i="4"/>
  <c r="M1803" i="4"/>
  <c r="M1804" i="4"/>
  <c r="M1805" i="4"/>
  <c r="M1806" i="4"/>
  <c r="M1807" i="4"/>
  <c r="M1808" i="4"/>
  <c r="M1809" i="4"/>
  <c r="M1810" i="4"/>
  <c r="M1811" i="4"/>
  <c r="M1812" i="4"/>
  <c r="M1813" i="4"/>
  <c r="M1814" i="4"/>
  <c r="M1815" i="4"/>
  <c r="M1816" i="4"/>
  <c r="M1817" i="4"/>
  <c r="M1818" i="4"/>
  <c r="M1819" i="4"/>
  <c r="M1820" i="4"/>
  <c r="M1821" i="4"/>
  <c r="M1822" i="4"/>
  <c r="M1823" i="4"/>
  <c r="M1824" i="4"/>
  <c r="M1825" i="4"/>
  <c r="M1826" i="4"/>
  <c r="M1827" i="4"/>
  <c r="M1828" i="4"/>
  <c r="M1829" i="4"/>
  <c r="M1830" i="4"/>
  <c r="M1831" i="4"/>
  <c r="M1832" i="4"/>
  <c r="M1833" i="4"/>
  <c r="M1834" i="4"/>
  <c r="M1835" i="4"/>
  <c r="M1836" i="4"/>
  <c r="M1837" i="4"/>
  <c r="M1838" i="4"/>
  <c r="M1839" i="4"/>
  <c r="M1840" i="4"/>
  <c r="M1841" i="4"/>
  <c r="M1842" i="4"/>
  <c r="M1843" i="4"/>
  <c r="M1844" i="4"/>
  <c r="M1845" i="4"/>
  <c r="M1846" i="4"/>
  <c r="M1847" i="4"/>
  <c r="M1848" i="4"/>
  <c r="M1849" i="4"/>
  <c r="M1850" i="4"/>
  <c r="M1851" i="4"/>
  <c r="M1852" i="4"/>
  <c r="M1853" i="4"/>
  <c r="M1854" i="4"/>
  <c r="M1855" i="4"/>
  <c r="M1856" i="4"/>
  <c r="M1857" i="4"/>
  <c r="M1858" i="4"/>
  <c r="M1859" i="4"/>
  <c r="M1860" i="4"/>
  <c r="M1861" i="4"/>
  <c r="M1862" i="4"/>
  <c r="M1863" i="4"/>
  <c r="M1864" i="4"/>
  <c r="M1865" i="4"/>
  <c r="M1866" i="4"/>
  <c r="M1867" i="4"/>
  <c r="M1868" i="4"/>
  <c r="M1869" i="4"/>
  <c r="M1870" i="4"/>
  <c r="M1871" i="4"/>
  <c r="M1872" i="4"/>
  <c r="M1873" i="4"/>
  <c r="M1874" i="4"/>
  <c r="M1875" i="4"/>
  <c r="M1876" i="4"/>
  <c r="M1877" i="4"/>
  <c r="M1878" i="4"/>
  <c r="M1879" i="4"/>
  <c r="M1880" i="4"/>
  <c r="M1881" i="4"/>
  <c r="M1882" i="4"/>
  <c r="M1883" i="4"/>
  <c r="M1884" i="4"/>
  <c r="M1885" i="4"/>
  <c r="M1886" i="4"/>
  <c r="M1887" i="4"/>
  <c r="M1888" i="4"/>
  <c r="M1889" i="4"/>
  <c r="M1890" i="4"/>
  <c r="M1891" i="4"/>
  <c r="M1892" i="4"/>
  <c r="M1893" i="4"/>
  <c r="M1894" i="4"/>
  <c r="M1895" i="4"/>
  <c r="M1896" i="4"/>
  <c r="M1897" i="4"/>
  <c r="M1898" i="4"/>
  <c r="M1899" i="4"/>
  <c r="M1900" i="4"/>
  <c r="M1901" i="4"/>
  <c r="M1902" i="4"/>
  <c r="M1903" i="4"/>
  <c r="M1904" i="4"/>
  <c r="M1905" i="4"/>
  <c r="M1906" i="4"/>
  <c r="M1907" i="4"/>
  <c r="M1908" i="4"/>
  <c r="M1909" i="4"/>
  <c r="M1910" i="4"/>
  <c r="M1911" i="4"/>
  <c r="M1912" i="4"/>
  <c r="M1913" i="4"/>
  <c r="M1914" i="4"/>
  <c r="M1915" i="4"/>
  <c r="M1916" i="4"/>
  <c r="M1917" i="4"/>
  <c r="M1918" i="4"/>
  <c r="M1919" i="4"/>
  <c r="M1920" i="4"/>
  <c r="M1921" i="4"/>
  <c r="M1922" i="4"/>
  <c r="M1923" i="4"/>
  <c r="M1924" i="4"/>
  <c r="M1925" i="4"/>
  <c r="M1926" i="4"/>
  <c r="M1927" i="4"/>
  <c r="M1928" i="4"/>
  <c r="M1929" i="4"/>
  <c r="M1930" i="4"/>
  <c r="M1931" i="4"/>
  <c r="M1932" i="4"/>
  <c r="M1933" i="4"/>
  <c r="M1934" i="4"/>
  <c r="M1935" i="4"/>
  <c r="M1936" i="4"/>
  <c r="M1937" i="4"/>
  <c r="M1938" i="4"/>
  <c r="M1939" i="4"/>
  <c r="M1940" i="4"/>
  <c r="M1941" i="4"/>
  <c r="M1942" i="4"/>
  <c r="M1943" i="4"/>
  <c r="M1944" i="4"/>
  <c r="M1945" i="4"/>
  <c r="M1946" i="4"/>
  <c r="M1947" i="4"/>
  <c r="M1948" i="4"/>
  <c r="M1949" i="4"/>
  <c r="M1950" i="4"/>
  <c r="M1951" i="4"/>
  <c r="M1952" i="4"/>
  <c r="M1953" i="4"/>
  <c r="M1954" i="4"/>
  <c r="M1955" i="4"/>
  <c r="M1956" i="4"/>
  <c r="M1957" i="4"/>
  <c r="M1958" i="4"/>
  <c r="M1959" i="4"/>
  <c r="M1960" i="4"/>
  <c r="M1961" i="4"/>
  <c r="M1962" i="4"/>
  <c r="M1963" i="4"/>
  <c r="M1964" i="4"/>
  <c r="M1965" i="4"/>
  <c r="M1966" i="4"/>
  <c r="M1967" i="4"/>
  <c r="M1968" i="4"/>
  <c r="M1969" i="4"/>
  <c r="M1970" i="4"/>
  <c r="M1971" i="4"/>
  <c r="M1972" i="4"/>
  <c r="M1973" i="4"/>
  <c r="M1974" i="4"/>
  <c r="M1975" i="4"/>
  <c r="M1976" i="4"/>
  <c r="M1977" i="4"/>
  <c r="M1978" i="4"/>
  <c r="M1979" i="4"/>
  <c r="M1980" i="4"/>
  <c r="M1981" i="4"/>
  <c r="M1982" i="4"/>
  <c r="M1983" i="4"/>
  <c r="M1984" i="4"/>
  <c r="M1985" i="4"/>
  <c r="M1986" i="4"/>
  <c r="M1987" i="4"/>
  <c r="M1988" i="4"/>
  <c r="M1989" i="4"/>
  <c r="M1990" i="4"/>
  <c r="M1991" i="4"/>
  <c r="M1992" i="4"/>
  <c r="M1993" i="4"/>
  <c r="M1994" i="4"/>
  <c r="M1995" i="4"/>
  <c r="M1996" i="4"/>
  <c r="M1997" i="4"/>
  <c r="M1998" i="4"/>
  <c r="M1999" i="4"/>
  <c r="M2000" i="4"/>
  <c r="M2001" i="4"/>
  <c r="M2002" i="4"/>
  <c r="M2003" i="4"/>
  <c r="M2004" i="4"/>
  <c r="M2005" i="4"/>
  <c r="M2006" i="4"/>
  <c r="M2007" i="4"/>
  <c r="M2008" i="4"/>
  <c r="M2009" i="4"/>
  <c r="M2010" i="4"/>
  <c r="M2011" i="4"/>
  <c r="M2012" i="4"/>
  <c r="M2013" i="4"/>
  <c r="M2014" i="4"/>
  <c r="M2015" i="4"/>
  <c r="M2016" i="4"/>
  <c r="M2017" i="4"/>
  <c r="M2018" i="4"/>
  <c r="M2019" i="4"/>
  <c r="M2020" i="4"/>
  <c r="M2021" i="4"/>
  <c r="M2022" i="4"/>
  <c r="M2023" i="4"/>
  <c r="M2024" i="4"/>
  <c r="M2025" i="4"/>
  <c r="M2026" i="4"/>
  <c r="M2027" i="4"/>
  <c r="M2028" i="4"/>
  <c r="M2029" i="4"/>
  <c r="M2030" i="4"/>
  <c r="M2031" i="4"/>
  <c r="M2032" i="4"/>
  <c r="M2033" i="4"/>
  <c r="M2034" i="4"/>
  <c r="M2035" i="4"/>
  <c r="M2036" i="4"/>
  <c r="M2037" i="4"/>
  <c r="M2038" i="4"/>
  <c r="M2039" i="4"/>
  <c r="M2040" i="4"/>
  <c r="M2041" i="4"/>
  <c r="M2042" i="4"/>
  <c r="M2043" i="4"/>
  <c r="M2044" i="4"/>
  <c r="M2045" i="4"/>
  <c r="M2046" i="4"/>
  <c r="M2047" i="4"/>
  <c r="M2048" i="4"/>
  <c r="M2049" i="4"/>
  <c r="M2050" i="4"/>
  <c r="M2051" i="4"/>
  <c r="M2052" i="4"/>
  <c r="M2053" i="4"/>
  <c r="M2054" i="4"/>
  <c r="M2055" i="4"/>
  <c r="M2056" i="4"/>
  <c r="M2057" i="4"/>
  <c r="M2058" i="4"/>
  <c r="M2059" i="4"/>
  <c r="M2060" i="4"/>
  <c r="M2061" i="4"/>
  <c r="M2062" i="4"/>
  <c r="M2063" i="4"/>
  <c r="M2064" i="4"/>
  <c r="M2065" i="4"/>
  <c r="M2066" i="4"/>
  <c r="M2067" i="4"/>
  <c r="M2068" i="4"/>
  <c r="M2069" i="4"/>
  <c r="M2070" i="4"/>
  <c r="M2071" i="4"/>
  <c r="M2072" i="4"/>
  <c r="M2073" i="4"/>
  <c r="M2074" i="4"/>
  <c r="M2075" i="4"/>
  <c r="M2076" i="4"/>
  <c r="M2077" i="4"/>
  <c r="M2078" i="4"/>
  <c r="M2079" i="4"/>
  <c r="M2080" i="4"/>
  <c r="M2081" i="4"/>
  <c r="M2082" i="4"/>
  <c r="M2083" i="4"/>
  <c r="M2084" i="4"/>
  <c r="M2085" i="4"/>
  <c r="M2086" i="4"/>
  <c r="M2087" i="4"/>
  <c r="M2088" i="4"/>
  <c r="M2089" i="4"/>
  <c r="M2090" i="4"/>
  <c r="M2091" i="4"/>
  <c r="M2092" i="4"/>
  <c r="M2093" i="4"/>
  <c r="M2094" i="4"/>
  <c r="M2095" i="4"/>
  <c r="M2096" i="4"/>
  <c r="M2097" i="4"/>
  <c r="M2098" i="4"/>
  <c r="M2099" i="4"/>
  <c r="M2100" i="4"/>
  <c r="M2101" i="4"/>
  <c r="M2102" i="4"/>
  <c r="M2103" i="4"/>
  <c r="M2104" i="4"/>
  <c r="M2105" i="4"/>
  <c r="M2106" i="4"/>
  <c r="M2107" i="4"/>
  <c r="M2108" i="4"/>
  <c r="M2109" i="4"/>
  <c r="M2110" i="4"/>
  <c r="M2111" i="4"/>
  <c r="M2112" i="4"/>
  <c r="M2113" i="4"/>
  <c r="M2114" i="4"/>
  <c r="M2115" i="4"/>
  <c r="M2116" i="4"/>
  <c r="M2117" i="4"/>
  <c r="M2118" i="4"/>
  <c r="M2119" i="4"/>
  <c r="M2120" i="4"/>
  <c r="M2121" i="4"/>
  <c r="M2122" i="4"/>
  <c r="M2123" i="4"/>
  <c r="M2124" i="4"/>
  <c r="M2125" i="4"/>
  <c r="M2126" i="4"/>
  <c r="M2127" i="4"/>
  <c r="M2128" i="4"/>
  <c r="M2129" i="4"/>
  <c r="M2130" i="4"/>
  <c r="M2131" i="4"/>
  <c r="M2132" i="4"/>
  <c r="M2133" i="4"/>
  <c r="M2134" i="4"/>
  <c r="M2135" i="4"/>
  <c r="M2136" i="4"/>
  <c r="M2137" i="4"/>
  <c r="M2138" i="4"/>
  <c r="M2139" i="4"/>
  <c r="M2140" i="4"/>
  <c r="M2141" i="4"/>
  <c r="M2142" i="4"/>
  <c r="M2143" i="4"/>
  <c r="M2144" i="4"/>
  <c r="M2145" i="4"/>
  <c r="M2146" i="4"/>
  <c r="M2147" i="4"/>
  <c r="M2148" i="4"/>
  <c r="M2149" i="4"/>
  <c r="M2150" i="4"/>
  <c r="M2151" i="4"/>
  <c r="M2152" i="4"/>
  <c r="M2153" i="4"/>
  <c r="M2154" i="4"/>
  <c r="M2155" i="4"/>
  <c r="M2156" i="4"/>
  <c r="M2157" i="4"/>
  <c r="M2158" i="4"/>
  <c r="M2159" i="4"/>
  <c r="M2160" i="4"/>
  <c r="M2161" i="4"/>
  <c r="M2162" i="4"/>
  <c r="M2163" i="4"/>
  <c r="M2164" i="4"/>
  <c r="M2165" i="4"/>
  <c r="M2166" i="4"/>
  <c r="M2167" i="4"/>
  <c r="M2168" i="4"/>
  <c r="M2169" i="4"/>
  <c r="M2170" i="4"/>
  <c r="M2171" i="4"/>
  <c r="M2172" i="4"/>
  <c r="M2173" i="4"/>
  <c r="M2174" i="4"/>
  <c r="M2175" i="4"/>
  <c r="M2176" i="4"/>
  <c r="M2177" i="4"/>
  <c r="M2178" i="4"/>
  <c r="M2179" i="4"/>
  <c r="M2180" i="4"/>
  <c r="M2181" i="4"/>
  <c r="M2182" i="4"/>
  <c r="M2183" i="4"/>
  <c r="M2184" i="4"/>
  <c r="M2185" i="4"/>
  <c r="M2186" i="4"/>
  <c r="M2187" i="4"/>
  <c r="M2188" i="4"/>
  <c r="M2189" i="4"/>
  <c r="M2190" i="4"/>
  <c r="M2191" i="4"/>
  <c r="M2192" i="4"/>
  <c r="M2193" i="4"/>
  <c r="M2194" i="4"/>
  <c r="M2195" i="4"/>
  <c r="M2196" i="4"/>
  <c r="M2197" i="4"/>
  <c r="M2198" i="4"/>
  <c r="M2199" i="4"/>
  <c r="M2200" i="4"/>
  <c r="M2201" i="4"/>
  <c r="M2202" i="4"/>
  <c r="M2203" i="4"/>
  <c r="M2204" i="4"/>
  <c r="M2205" i="4"/>
  <c r="M2206" i="4"/>
  <c r="M2207" i="4"/>
  <c r="M2208" i="4"/>
  <c r="M2209" i="4"/>
  <c r="M2210" i="4"/>
  <c r="M2211" i="4"/>
  <c r="M2212" i="4"/>
  <c r="M2213" i="4"/>
  <c r="M2214" i="4"/>
  <c r="M2215" i="4"/>
  <c r="M2216" i="4"/>
  <c r="M2217" i="4"/>
  <c r="M2218" i="4"/>
  <c r="M2219" i="4"/>
  <c r="M2220" i="4"/>
  <c r="M2221" i="4"/>
  <c r="M2222" i="4"/>
  <c r="M2223" i="4"/>
  <c r="M2224" i="4"/>
  <c r="M2225" i="4"/>
  <c r="M2226" i="4"/>
  <c r="M2227" i="4"/>
  <c r="M2228" i="4"/>
  <c r="M2229" i="4"/>
  <c r="M2230" i="4"/>
  <c r="M2231" i="4"/>
  <c r="M2232" i="4"/>
  <c r="M2233" i="4"/>
  <c r="M2234" i="4"/>
  <c r="M2235" i="4"/>
  <c r="M2236" i="4"/>
  <c r="M2237" i="4"/>
  <c r="M2238" i="4"/>
  <c r="M2239" i="4"/>
  <c r="M2240" i="4"/>
  <c r="M2241" i="4"/>
  <c r="M2242" i="4"/>
  <c r="M2243" i="4"/>
  <c r="M2244" i="4"/>
  <c r="M2245" i="4"/>
  <c r="M2246" i="4"/>
  <c r="M2247" i="4"/>
  <c r="M2248" i="4"/>
  <c r="M2249" i="4"/>
  <c r="M2250" i="4"/>
  <c r="M2251" i="4"/>
  <c r="M2252" i="4"/>
  <c r="M2253" i="4"/>
  <c r="M2254" i="4"/>
  <c r="M2255" i="4"/>
  <c r="M2256" i="4"/>
  <c r="M2257" i="4"/>
  <c r="M2258" i="4"/>
  <c r="M2259" i="4"/>
  <c r="M2260" i="4"/>
  <c r="M2261" i="4"/>
  <c r="M2262" i="4"/>
  <c r="M2263" i="4"/>
  <c r="M2264" i="4"/>
  <c r="M2265" i="4"/>
  <c r="M2266" i="4"/>
  <c r="M2267" i="4"/>
  <c r="M2268" i="4"/>
  <c r="M2269" i="4"/>
  <c r="M2270" i="4"/>
  <c r="M2271" i="4"/>
  <c r="M2272" i="4"/>
  <c r="M2273" i="4"/>
  <c r="M2274" i="4"/>
  <c r="M2275" i="4"/>
  <c r="M2276" i="4"/>
  <c r="M2277" i="4"/>
  <c r="M2278" i="4"/>
  <c r="M2279" i="4"/>
  <c r="M2280" i="4"/>
  <c r="M2281" i="4"/>
  <c r="M2282" i="4"/>
  <c r="M2283" i="4"/>
  <c r="M2284" i="4"/>
  <c r="M2285" i="4"/>
  <c r="M2286" i="4"/>
  <c r="M2287" i="4"/>
  <c r="M2288" i="4"/>
  <c r="M2289" i="4"/>
  <c r="M2290" i="4"/>
  <c r="M2291" i="4"/>
  <c r="M2292" i="4"/>
  <c r="M2293" i="4"/>
  <c r="M2294" i="4"/>
  <c r="M2295" i="4"/>
  <c r="M2296" i="4"/>
  <c r="M2297" i="4"/>
  <c r="M2298" i="4"/>
  <c r="M2299" i="4"/>
  <c r="M2300" i="4"/>
  <c r="M2301" i="4"/>
  <c r="M2302" i="4"/>
  <c r="M2303" i="4"/>
  <c r="M2304" i="4"/>
  <c r="M2305" i="4"/>
  <c r="M2306" i="4"/>
  <c r="M2307" i="4"/>
  <c r="M2308" i="4"/>
  <c r="M2309" i="4"/>
  <c r="M2310" i="4"/>
  <c r="M2311" i="4"/>
  <c r="M2312" i="4"/>
  <c r="M2313" i="4"/>
  <c r="M2314" i="4"/>
  <c r="M2315" i="4"/>
  <c r="M2316" i="4"/>
  <c r="M2317" i="4"/>
  <c r="M2318" i="4"/>
  <c r="M2319" i="4"/>
  <c r="M2320" i="4"/>
  <c r="M2321" i="4"/>
  <c r="M2322" i="4"/>
  <c r="M2323" i="4"/>
  <c r="M2324" i="4"/>
  <c r="M2325" i="4"/>
  <c r="M2326" i="4"/>
  <c r="M2327" i="4"/>
  <c r="M2328" i="4"/>
  <c r="M2329" i="4"/>
  <c r="M2330" i="4"/>
  <c r="M2331" i="4"/>
  <c r="M2332" i="4"/>
  <c r="M2333" i="4"/>
  <c r="M2334" i="4"/>
  <c r="M2335" i="4"/>
  <c r="M2336" i="4"/>
  <c r="M2337" i="4"/>
  <c r="M2338" i="4"/>
  <c r="M2339" i="4"/>
  <c r="M2340" i="4"/>
  <c r="M2341" i="4"/>
  <c r="M2342" i="4"/>
  <c r="M2343" i="4"/>
  <c r="M2344" i="4"/>
  <c r="M2345" i="4"/>
  <c r="M2346" i="4"/>
  <c r="M2347" i="4"/>
  <c r="M2348" i="4"/>
  <c r="M2349" i="4"/>
  <c r="M2350" i="4"/>
  <c r="M2351" i="4"/>
  <c r="M2352" i="4"/>
  <c r="M2353" i="4"/>
  <c r="M2354" i="4"/>
  <c r="M2355" i="4"/>
  <c r="M2356" i="4"/>
  <c r="M2357" i="4"/>
  <c r="M2358" i="4"/>
  <c r="M2359" i="4"/>
  <c r="M2360" i="4"/>
  <c r="M2361" i="4"/>
  <c r="M2362" i="4"/>
  <c r="M2363" i="4"/>
  <c r="M2364" i="4"/>
  <c r="M2365" i="4"/>
  <c r="M2366" i="4"/>
  <c r="M2367" i="4"/>
  <c r="M2368" i="4"/>
  <c r="M2369" i="4"/>
  <c r="M2370" i="4"/>
  <c r="M2371" i="4"/>
  <c r="M2372" i="4"/>
  <c r="M2373" i="4"/>
  <c r="M2374" i="4"/>
  <c r="M2375" i="4"/>
  <c r="M2376" i="4"/>
  <c r="M2377" i="4"/>
  <c r="M2378" i="4"/>
  <c r="M2379" i="4"/>
  <c r="M2380" i="4"/>
  <c r="M2381" i="4"/>
  <c r="M2382" i="4"/>
  <c r="M2383" i="4"/>
  <c r="M2384" i="4"/>
  <c r="M2385" i="4"/>
  <c r="M2386" i="4"/>
  <c r="M2387" i="4"/>
  <c r="M2388" i="4"/>
  <c r="M2389" i="4"/>
  <c r="M2390" i="4"/>
  <c r="M2391" i="4"/>
  <c r="M2392" i="4"/>
  <c r="M2393" i="4"/>
  <c r="M2394" i="4"/>
  <c r="M2395" i="4"/>
  <c r="M2396" i="4"/>
  <c r="M2397" i="4"/>
  <c r="M2398" i="4"/>
  <c r="M2399" i="4"/>
  <c r="M2400" i="4"/>
  <c r="M2401" i="4"/>
  <c r="M2402" i="4"/>
  <c r="M2403" i="4"/>
  <c r="M2404" i="4"/>
  <c r="M2405" i="4"/>
  <c r="M2406" i="4"/>
  <c r="M2407" i="4"/>
  <c r="M2408" i="4"/>
  <c r="M2409" i="4"/>
  <c r="M2410" i="4"/>
  <c r="M2411" i="4"/>
  <c r="M2412" i="4"/>
  <c r="M2413" i="4"/>
  <c r="M2414" i="4"/>
  <c r="M2415" i="4"/>
  <c r="M2416" i="4"/>
  <c r="M2417" i="4"/>
  <c r="M2418" i="4"/>
  <c r="M2419" i="4"/>
  <c r="M2420" i="4"/>
  <c r="M2421" i="4"/>
  <c r="M2422" i="4"/>
  <c r="M2423" i="4"/>
  <c r="M2424" i="4"/>
  <c r="M2425" i="4"/>
  <c r="M2426" i="4"/>
  <c r="M2427" i="4"/>
  <c r="M2428" i="4"/>
  <c r="M2429" i="4"/>
  <c r="M2430" i="4"/>
  <c r="M2431" i="4"/>
  <c r="M2432" i="4"/>
  <c r="M2433" i="4"/>
  <c r="M2434" i="4"/>
  <c r="M2435" i="4"/>
  <c r="M2436" i="4"/>
  <c r="M2437" i="4"/>
  <c r="M2438" i="4"/>
  <c r="M2439" i="4"/>
  <c r="M2440" i="4"/>
  <c r="M2441" i="4"/>
  <c r="M2442" i="4"/>
  <c r="M2443" i="4"/>
  <c r="M2444" i="4"/>
  <c r="M2445" i="4"/>
  <c r="M2446" i="4"/>
  <c r="M2447" i="4"/>
  <c r="M2448" i="4"/>
  <c r="M2449" i="4"/>
  <c r="M2450" i="4"/>
  <c r="M2451" i="4"/>
  <c r="M2452" i="4"/>
  <c r="M2453" i="4"/>
  <c r="M2454" i="4"/>
  <c r="M2455" i="4"/>
  <c r="M2456" i="4"/>
  <c r="M2457" i="4"/>
  <c r="M2458" i="4"/>
  <c r="M2459" i="4"/>
  <c r="M2460" i="4"/>
  <c r="M2461" i="4"/>
  <c r="M2462" i="4"/>
  <c r="M2463" i="4"/>
  <c r="M2464" i="4"/>
  <c r="M2465" i="4"/>
  <c r="M2466" i="4"/>
  <c r="M2467" i="4"/>
  <c r="M2468" i="4"/>
  <c r="M2469" i="4"/>
  <c r="M2470" i="4"/>
  <c r="M2471" i="4"/>
  <c r="M2472" i="4"/>
  <c r="M2473" i="4"/>
  <c r="M2474" i="4"/>
  <c r="M2475" i="4"/>
  <c r="M2476" i="4"/>
  <c r="M2477" i="4"/>
  <c r="M2478" i="4"/>
  <c r="M2479" i="4"/>
  <c r="M2480" i="4"/>
  <c r="M2481" i="4"/>
  <c r="M2482" i="4"/>
  <c r="M2483" i="4"/>
  <c r="M2484" i="4"/>
  <c r="M2485" i="4"/>
  <c r="M2486" i="4"/>
  <c r="M2487" i="4"/>
  <c r="M2488" i="4"/>
  <c r="M2489" i="4"/>
  <c r="M2490" i="4"/>
  <c r="M2491" i="4"/>
  <c r="M2492" i="4"/>
  <c r="M2493" i="4"/>
  <c r="M2494" i="4"/>
  <c r="M2495" i="4"/>
  <c r="M2496" i="4"/>
  <c r="M2497" i="4"/>
  <c r="M2498" i="4"/>
  <c r="M2499" i="4"/>
  <c r="M2500" i="4"/>
  <c r="M2501" i="4"/>
  <c r="M2502" i="4"/>
  <c r="M2503" i="4"/>
  <c r="M2504" i="4"/>
  <c r="M2505" i="4"/>
  <c r="M2506" i="4"/>
  <c r="M2507" i="4"/>
  <c r="M2508" i="4"/>
  <c r="M2509" i="4"/>
  <c r="M2510" i="4"/>
  <c r="M2511" i="4"/>
  <c r="M2512" i="4"/>
  <c r="M2513" i="4"/>
  <c r="M2514" i="4"/>
  <c r="M2515" i="4"/>
  <c r="M2516" i="4"/>
  <c r="M2517" i="4"/>
  <c r="M2518" i="4"/>
  <c r="M2519" i="4"/>
  <c r="M2520" i="4"/>
  <c r="M2521" i="4"/>
  <c r="M2522" i="4"/>
  <c r="M2523" i="4"/>
  <c r="M2524" i="4"/>
  <c r="M2525" i="4"/>
  <c r="M2526" i="4"/>
  <c r="M2527" i="4"/>
  <c r="M2528" i="4"/>
  <c r="M2529" i="4"/>
  <c r="M2530" i="4"/>
  <c r="M2531" i="4"/>
  <c r="M2532" i="4"/>
  <c r="M2533" i="4"/>
  <c r="M2534" i="4"/>
  <c r="M2535" i="4"/>
  <c r="M2536" i="4"/>
  <c r="M2537" i="4"/>
  <c r="M2538" i="4"/>
  <c r="M2539" i="4"/>
  <c r="M2540" i="4"/>
  <c r="M2541" i="4"/>
  <c r="M2542" i="4"/>
  <c r="M2543" i="4"/>
  <c r="M2544" i="4"/>
  <c r="M2545" i="4"/>
  <c r="M2546" i="4"/>
  <c r="M2547" i="4"/>
  <c r="M2548" i="4"/>
  <c r="M2549" i="4"/>
  <c r="M2550" i="4"/>
  <c r="M2551" i="4"/>
  <c r="M2552" i="4"/>
  <c r="M2553" i="4"/>
  <c r="M2554" i="4"/>
  <c r="M2555" i="4"/>
  <c r="M2556" i="4"/>
  <c r="M2557" i="4"/>
  <c r="M2558" i="4"/>
  <c r="M2559" i="4"/>
  <c r="M2560" i="4"/>
  <c r="M2561" i="4"/>
  <c r="M2562" i="4"/>
  <c r="M2563" i="4"/>
  <c r="M2564" i="4"/>
  <c r="M2565" i="4"/>
  <c r="M2566" i="4"/>
  <c r="M2567" i="4"/>
  <c r="M2568" i="4"/>
  <c r="M2569" i="4"/>
  <c r="M2570" i="4"/>
  <c r="M2571" i="4"/>
  <c r="M2572" i="4"/>
  <c r="M2573" i="4"/>
  <c r="M2574" i="4"/>
  <c r="M2575" i="4"/>
  <c r="M2576" i="4"/>
  <c r="M2577" i="4"/>
  <c r="M2578" i="4"/>
  <c r="M2579" i="4"/>
  <c r="M2580" i="4"/>
  <c r="M2581" i="4"/>
  <c r="M2582" i="4"/>
  <c r="M2583" i="4"/>
  <c r="M2584" i="4"/>
  <c r="M2585" i="4"/>
  <c r="M2586" i="4"/>
  <c r="M2587" i="4"/>
  <c r="M2588" i="4"/>
  <c r="M2589" i="4"/>
  <c r="M2590" i="4"/>
  <c r="M2591" i="4"/>
  <c r="M2592" i="4"/>
  <c r="M2593" i="4"/>
  <c r="M2594" i="4"/>
  <c r="M2595" i="4"/>
  <c r="M2596" i="4"/>
  <c r="M2597" i="4"/>
  <c r="M2598" i="4"/>
  <c r="M2599" i="4"/>
  <c r="M2600" i="4"/>
  <c r="M2601" i="4"/>
  <c r="M2602" i="4"/>
  <c r="M2603" i="4"/>
  <c r="M2604" i="4"/>
  <c r="M2605" i="4"/>
  <c r="M2606" i="4"/>
  <c r="M2607" i="4"/>
  <c r="M2608" i="4"/>
  <c r="M2609" i="4"/>
  <c r="M2610" i="4"/>
  <c r="M2611" i="4"/>
  <c r="M2612" i="4"/>
  <c r="M2613" i="4"/>
  <c r="M2614" i="4"/>
  <c r="M2615" i="4"/>
  <c r="M2616" i="4"/>
  <c r="M2617" i="4"/>
  <c r="M2618" i="4"/>
  <c r="M2619" i="4"/>
  <c r="M2620" i="4"/>
  <c r="M2621" i="4"/>
  <c r="M2622" i="4"/>
  <c r="M2623" i="4"/>
  <c r="M2624" i="4"/>
  <c r="M2625" i="4"/>
  <c r="M2626" i="4"/>
  <c r="M2627" i="4"/>
  <c r="M2628" i="4"/>
  <c r="M2629" i="4"/>
  <c r="M2630" i="4"/>
  <c r="M2631" i="4"/>
  <c r="M2632" i="4"/>
  <c r="M2633" i="4"/>
  <c r="M2634" i="4"/>
  <c r="M2635" i="4"/>
  <c r="M2636" i="4"/>
  <c r="M2637" i="4"/>
  <c r="M2638" i="4"/>
  <c r="M2639" i="4"/>
  <c r="M2640" i="4"/>
  <c r="M2641" i="4"/>
  <c r="M2642" i="4"/>
  <c r="M2643" i="4"/>
  <c r="M2644" i="4"/>
  <c r="M2645" i="4"/>
  <c r="M2646" i="4"/>
  <c r="M2647" i="4"/>
  <c r="M2648" i="4"/>
  <c r="M2649" i="4"/>
  <c r="M2650" i="4"/>
  <c r="M2651" i="4"/>
  <c r="M2652" i="4"/>
  <c r="M2653" i="4"/>
  <c r="M2654" i="4"/>
  <c r="M2655" i="4"/>
  <c r="M2656" i="4"/>
  <c r="M2657" i="4"/>
  <c r="M2658" i="4"/>
  <c r="M2659" i="4"/>
  <c r="M2660" i="4"/>
  <c r="M2661" i="4"/>
  <c r="M2662" i="4"/>
  <c r="M2663" i="4"/>
  <c r="M2664" i="4"/>
  <c r="M2665" i="4"/>
  <c r="M2666" i="4"/>
  <c r="M2667" i="4"/>
  <c r="M2668" i="4"/>
  <c r="M2669" i="4"/>
  <c r="M2670" i="4"/>
  <c r="M2671" i="4"/>
  <c r="M2672" i="4"/>
  <c r="M2673" i="4"/>
  <c r="M2674" i="4"/>
  <c r="M2675" i="4"/>
  <c r="M2676" i="4"/>
  <c r="M2677" i="4"/>
  <c r="M2678" i="4"/>
  <c r="M2679" i="4"/>
  <c r="M2680" i="4"/>
  <c r="M2681" i="4"/>
  <c r="M2682" i="4"/>
  <c r="M2683" i="4"/>
  <c r="M2684" i="4"/>
  <c r="M2685" i="4"/>
  <c r="M2686" i="4"/>
  <c r="M2687" i="4"/>
  <c r="M2688" i="4"/>
  <c r="M2689" i="4"/>
  <c r="M2690" i="4"/>
  <c r="M2691" i="4"/>
  <c r="M2692" i="4"/>
  <c r="M2693" i="4"/>
  <c r="M2694" i="4"/>
  <c r="M2695" i="4"/>
  <c r="M2696" i="4"/>
  <c r="M2697" i="4"/>
  <c r="M2698" i="4"/>
  <c r="M2699" i="4"/>
  <c r="M2700" i="4"/>
  <c r="M2701" i="4"/>
  <c r="M2702" i="4"/>
  <c r="M2703" i="4"/>
  <c r="M2704" i="4"/>
  <c r="M2705" i="4"/>
  <c r="M2706" i="4"/>
  <c r="M2707" i="4"/>
  <c r="M2708" i="4"/>
  <c r="M2709" i="4"/>
  <c r="M2710" i="4"/>
  <c r="M2711" i="4"/>
  <c r="M2712" i="4"/>
  <c r="M2713" i="4"/>
  <c r="M2714" i="4"/>
  <c r="M2715" i="4"/>
  <c r="M2716" i="4"/>
  <c r="M2717" i="4"/>
  <c r="M2718" i="4"/>
  <c r="M2719" i="4"/>
  <c r="M2720" i="4"/>
  <c r="M2721" i="4"/>
  <c r="M2722" i="4"/>
  <c r="M2723" i="4"/>
  <c r="M2724" i="4"/>
  <c r="M2725" i="4"/>
  <c r="M2726" i="4"/>
  <c r="M2727" i="4"/>
  <c r="M2728" i="4"/>
  <c r="M2729" i="4"/>
  <c r="M2730" i="4"/>
  <c r="M2731" i="4"/>
  <c r="M2732" i="4"/>
  <c r="M2733" i="4"/>
  <c r="M2734" i="4"/>
  <c r="M2735" i="4"/>
  <c r="M2736" i="4"/>
  <c r="M2737" i="4"/>
  <c r="M2738" i="4"/>
  <c r="M2739" i="4"/>
  <c r="M2740" i="4"/>
  <c r="M2741" i="4"/>
  <c r="M2742" i="4"/>
  <c r="M2743" i="4"/>
  <c r="M2744" i="4"/>
  <c r="M2745" i="4"/>
  <c r="M2746" i="4"/>
  <c r="M2747" i="4"/>
  <c r="M2748" i="4"/>
  <c r="M2749" i="4"/>
  <c r="M2750" i="4"/>
  <c r="M2751" i="4"/>
  <c r="M2752" i="4"/>
  <c r="M2753" i="4"/>
  <c r="M2754" i="4"/>
  <c r="M2755" i="4"/>
  <c r="M2756" i="4"/>
  <c r="M2757" i="4"/>
  <c r="M2758" i="4"/>
  <c r="M2759" i="4"/>
  <c r="M2760" i="4"/>
  <c r="M2761" i="4"/>
  <c r="M2762" i="4"/>
  <c r="M2" i="4"/>
  <c r="F2781" i="4"/>
  <c r="F2782" i="4"/>
  <c r="F2783" i="4"/>
  <c r="F2784" i="4"/>
  <c r="F2785" i="4"/>
  <c r="F2786" i="4"/>
  <c r="F2787" i="4"/>
  <c r="F2788" i="4"/>
  <c r="F2789" i="4"/>
  <c r="F2790" i="4"/>
  <c r="F2791" i="4"/>
  <c r="F2792" i="4"/>
  <c r="F2793" i="4"/>
  <c r="F2794" i="4"/>
  <c r="F2795" i="4"/>
  <c r="F2796" i="4"/>
  <c r="F2797" i="4"/>
  <c r="F2798" i="4"/>
  <c r="F2799" i="4"/>
  <c r="F2800" i="4"/>
  <c r="F2801" i="4"/>
  <c r="F2802" i="4"/>
  <c r="F2803" i="4"/>
  <c r="F2804" i="4"/>
  <c r="F2805" i="4"/>
  <c r="F2806" i="4"/>
  <c r="F2807" i="4"/>
  <c r="F2808" i="4"/>
  <c r="F2809" i="4"/>
  <c r="F2810" i="4"/>
  <c r="F2811" i="4"/>
  <c r="F2812" i="4"/>
  <c r="F2813" i="4"/>
  <c r="F2814" i="4"/>
  <c r="F2815" i="4"/>
  <c r="F2816" i="4"/>
  <c r="F2817" i="4"/>
  <c r="F2818" i="4"/>
  <c r="F2819" i="4"/>
  <c r="F2820" i="4"/>
  <c r="F2821" i="4"/>
  <c r="F2822" i="4"/>
  <c r="F2823" i="4"/>
  <c r="F2824" i="4"/>
  <c r="F2825" i="4"/>
  <c r="F2780" i="4"/>
  <c r="F2777" i="4"/>
  <c r="F2778" i="4"/>
  <c r="F2779" i="4"/>
  <c r="F2776" i="4"/>
  <c r="M2775" i="4"/>
  <c r="F2775" i="4"/>
  <c r="M2774" i="4"/>
  <c r="F2774" i="4"/>
  <c r="M2773" i="4"/>
  <c r="F2773" i="4"/>
  <c r="M2772" i="4"/>
  <c r="F2772" i="4"/>
  <c r="M2771" i="4"/>
  <c r="F2771" i="4"/>
  <c r="M2770" i="4"/>
  <c r="F2770" i="4"/>
  <c r="F2769" i="4"/>
  <c r="F2768" i="4"/>
  <c r="F2767" i="4"/>
  <c r="F2766" i="4"/>
  <c r="U54" i="8" a="1"/>
  <c r="U54" i="8" s="1"/>
  <c r="R54" i="8"/>
  <c r="Q54" i="8"/>
  <c r="P54" i="8"/>
  <c r="K54" i="8" a="1"/>
  <c r="K54" i="8" s="1"/>
  <c r="G54" i="8"/>
  <c r="B54" i="8" a="1"/>
  <c r="B54" i="8" s="1"/>
  <c r="V54" i="8" s="1"/>
  <c r="U53" i="8" a="1"/>
  <c r="U53" i="8" s="1"/>
  <c r="R53" i="8"/>
  <c r="Q53" i="8"/>
  <c r="P53" i="8"/>
  <c r="K53" i="8" a="1"/>
  <c r="K53" i="8" s="1"/>
  <c r="G53" i="8"/>
  <c r="B53" i="8" a="1"/>
  <c r="B53" i="8" s="1"/>
  <c r="V53" i="8" s="1"/>
  <c r="U52" i="8" a="1"/>
  <c r="U52" i="8" s="1"/>
  <c r="R52" i="8"/>
  <c r="Q52" i="8"/>
  <c r="P52" i="8"/>
  <c r="K52" i="8" a="1"/>
  <c r="K52" i="8" s="1"/>
  <c r="G52" i="8"/>
  <c r="B52" i="8" a="1"/>
  <c r="B52" i="8" s="1"/>
  <c r="V52" i="8" s="1"/>
  <c r="R51" i="8"/>
  <c r="K51" i="8" s="1" a="1"/>
  <c r="K51" i="8" s="1"/>
  <c r="Q51" i="8"/>
  <c r="P51" i="8"/>
  <c r="G51" i="8"/>
  <c r="R50" i="8"/>
  <c r="U50" i="8" s="1" a="1"/>
  <c r="U50" i="8" s="1"/>
  <c r="Q50" i="8"/>
  <c r="P50" i="8"/>
  <c r="K50" i="8" a="1"/>
  <c r="K50" i="8" s="1"/>
  <c r="G50" i="8"/>
  <c r="B50" i="8" a="1"/>
  <c r="B50" i="8" s="1"/>
  <c r="V50" i="8" s="1"/>
  <c r="R49" i="8"/>
  <c r="B49" i="8" s="1" a="1"/>
  <c r="B49" i="8" s="1"/>
  <c r="V49" i="8" s="1"/>
  <c r="Q49" i="8"/>
  <c r="P49" i="8"/>
  <c r="K49" i="8" a="1"/>
  <c r="K49" i="8" s="1"/>
  <c r="G49" i="8"/>
  <c r="R48" i="8"/>
  <c r="U48" i="8" s="1" a="1"/>
  <c r="U48" i="8" s="1"/>
  <c r="Q48" i="8"/>
  <c r="P48" i="8"/>
  <c r="G48" i="8"/>
  <c r="R47" i="8"/>
  <c r="K47" i="8" s="1" a="1"/>
  <c r="K47" i="8" s="1"/>
  <c r="Q47" i="8"/>
  <c r="P47" i="8"/>
  <c r="G47" i="8"/>
  <c r="B47" i="8" a="1"/>
  <c r="B47" i="8" s="1"/>
  <c r="V47" i="8" s="1"/>
  <c r="R46" i="8"/>
  <c r="U46" i="8" s="1" a="1"/>
  <c r="U46" i="8" s="1"/>
  <c r="Q46" i="8"/>
  <c r="P46" i="8"/>
  <c r="G46" i="8"/>
  <c r="B46" i="8" a="1"/>
  <c r="B46" i="8" s="1"/>
  <c r="V46" i="8" s="1"/>
  <c r="R45" i="8"/>
  <c r="U45" i="8" s="1" a="1"/>
  <c r="U45" i="8" s="1"/>
  <c r="Q45" i="8"/>
  <c r="P45" i="8"/>
  <c r="G45" i="8"/>
  <c r="U44" i="8" a="1"/>
  <c r="U44" i="8" s="1"/>
  <c r="R44" i="8"/>
  <c r="K44" i="8" s="1" a="1"/>
  <c r="K44" i="8" s="1"/>
  <c r="Q44" i="8"/>
  <c r="P44" i="8"/>
  <c r="G44" i="8"/>
  <c r="B44" i="8" a="1"/>
  <c r="B44" i="8" s="1"/>
  <c r="V44" i="8" s="1"/>
  <c r="U43" i="8" a="1"/>
  <c r="U43" i="8" s="1"/>
  <c r="R43" i="8"/>
  <c r="Q43" i="8"/>
  <c r="P43" i="8"/>
  <c r="K43" i="8" a="1"/>
  <c r="K43" i="8" s="1"/>
  <c r="G43" i="8"/>
  <c r="B43" i="8" a="1"/>
  <c r="B43" i="8" s="1"/>
  <c r="V43" i="8" s="1"/>
  <c r="R42" i="8"/>
  <c r="U42" i="8" s="1" a="1"/>
  <c r="U42" i="8" s="1"/>
  <c r="Q42" i="8"/>
  <c r="P42" i="8"/>
  <c r="G42" i="8"/>
  <c r="B42" i="8" a="1"/>
  <c r="B42" i="8" s="1"/>
  <c r="V42" i="8" s="1"/>
  <c r="R41" i="8"/>
  <c r="U41" i="8" s="1" a="1"/>
  <c r="U41" i="8" s="1"/>
  <c r="Q41" i="8"/>
  <c r="P41" i="8"/>
  <c r="G41" i="8"/>
  <c r="R40" i="8"/>
  <c r="K40" i="8" s="1" a="1"/>
  <c r="K40" i="8" s="1"/>
  <c r="Q40" i="8"/>
  <c r="P40" i="8"/>
  <c r="G40" i="8"/>
  <c r="R39" i="8"/>
  <c r="U39" i="8" s="1" a="1"/>
  <c r="U39" i="8" s="1"/>
  <c r="Q39" i="8"/>
  <c r="P39" i="8"/>
  <c r="G39" i="8"/>
  <c r="R38" i="8"/>
  <c r="U38" i="8" s="1" a="1"/>
  <c r="U38" i="8" s="1"/>
  <c r="Q38" i="8"/>
  <c r="P38" i="8"/>
  <c r="G38" i="8"/>
  <c r="R37" i="8"/>
  <c r="K37" i="8" s="1" a="1"/>
  <c r="K37" i="8" s="1"/>
  <c r="Q37" i="8"/>
  <c r="P37" i="8"/>
  <c r="G37" i="8"/>
  <c r="U36" i="8" a="1"/>
  <c r="U36" i="8" s="1"/>
  <c r="R36" i="8"/>
  <c r="Q36" i="8"/>
  <c r="P36" i="8"/>
  <c r="K36" i="8" a="1"/>
  <c r="K36" i="8" s="1"/>
  <c r="G36" i="8"/>
  <c r="B36" i="8" a="1"/>
  <c r="B36" i="8" s="1"/>
  <c r="V36" i="8" s="1"/>
  <c r="U35" i="8" a="1"/>
  <c r="U35" i="8" s="1"/>
  <c r="R35" i="8"/>
  <c r="B35" i="8" s="1" a="1"/>
  <c r="B35" i="8" s="1"/>
  <c r="V35" i="8" s="1"/>
  <c r="Q35" i="8"/>
  <c r="P35" i="8"/>
  <c r="K35" i="8" a="1"/>
  <c r="K35" i="8" s="1"/>
  <c r="G35" i="8"/>
  <c r="U34" i="8" a="1"/>
  <c r="U34" i="8" s="1"/>
  <c r="R34" i="8"/>
  <c r="Q34" i="8"/>
  <c r="P34" i="8"/>
  <c r="K34" i="8" a="1"/>
  <c r="K34" i="8" s="1"/>
  <c r="G34" i="8"/>
  <c r="B34" i="8" a="1"/>
  <c r="B34" i="8" s="1"/>
  <c r="V34" i="8" s="1"/>
  <c r="R33" i="8"/>
  <c r="B33" i="8" s="1" a="1"/>
  <c r="B33" i="8" s="1"/>
  <c r="V33" i="8" s="1"/>
  <c r="Q33" i="8"/>
  <c r="P33" i="8"/>
  <c r="G33" i="8"/>
  <c r="R32" i="8"/>
  <c r="U32" i="8" s="1" a="1"/>
  <c r="U32" i="8" s="1"/>
  <c r="Q32" i="8"/>
  <c r="P32" i="8"/>
  <c r="G32" i="8"/>
  <c r="R31" i="8"/>
  <c r="K31" i="8" s="1" a="1"/>
  <c r="K31" i="8" s="1"/>
  <c r="Q31" i="8"/>
  <c r="P31" i="8"/>
  <c r="G31" i="8"/>
  <c r="R30" i="8"/>
  <c r="U30" i="8" s="1" a="1"/>
  <c r="U30" i="8" s="1"/>
  <c r="Q30" i="8"/>
  <c r="P30" i="8"/>
  <c r="G30" i="8"/>
  <c r="B30" i="8" a="1"/>
  <c r="B30" i="8" s="1"/>
  <c r="V30" i="8" s="1"/>
  <c r="R29" i="8"/>
  <c r="U29" i="8" s="1" a="1"/>
  <c r="U29" i="8" s="1"/>
  <c r="Q29" i="8"/>
  <c r="P29" i="8"/>
  <c r="G29" i="8"/>
  <c r="B29" i="8" a="1"/>
  <c r="B29" i="8" s="1"/>
  <c r="V29" i="8" s="1"/>
  <c r="F2765" i="4"/>
  <c r="F2764" i="4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U7" i="8" a="1"/>
  <c r="U7" i="8" s="1"/>
  <c r="U8" i="8" a="1"/>
  <c r="U8" i="8" s="1"/>
  <c r="U9" i="8" a="1"/>
  <c r="U9" i="8" s="1"/>
  <c r="U11" i="8" a="1"/>
  <c r="U11" i="8" s="1"/>
  <c r="U12" i="8" a="1"/>
  <c r="U12" i="8" s="1"/>
  <c r="U16" i="8" a="1"/>
  <c r="U16" i="8" s="1"/>
  <c r="U23" i="8" a="1"/>
  <c r="U23" i="8" s="1"/>
  <c r="U24" i="8" a="1"/>
  <c r="U24" i="8" s="1"/>
  <c r="U25" i="8" a="1"/>
  <c r="U25" i="8" s="1"/>
  <c r="U27" i="8" a="1"/>
  <c r="U27" i="8" s="1"/>
  <c r="K3" i="8" a="1"/>
  <c r="K3" i="8" s="1"/>
  <c r="K7" i="8" a="1"/>
  <c r="K7" i="8" s="1"/>
  <c r="K8" i="8" a="1"/>
  <c r="K8" i="8" s="1"/>
  <c r="K12" i="8" a="1"/>
  <c r="K12" i="8" s="1"/>
  <c r="K15" i="8" a="1"/>
  <c r="K15" i="8" s="1"/>
  <c r="K16" i="8" a="1"/>
  <c r="K16" i="8" s="1"/>
  <c r="K18" i="8" a="1"/>
  <c r="K18" i="8" s="1"/>
  <c r="K19" i="8" a="1"/>
  <c r="K19" i="8" s="1"/>
  <c r="K23" i="8" a="1"/>
  <c r="K23" i="8" s="1"/>
  <c r="K24" i="8" a="1"/>
  <c r="K24" i="8" s="1"/>
  <c r="B3" i="8" a="1"/>
  <c r="B3" i="8" s="1"/>
  <c r="B6" i="8" a="1"/>
  <c r="B6" i="8" s="1"/>
  <c r="B7" i="8" a="1"/>
  <c r="B7" i="8" s="1"/>
  <c r="B10" i="8" a="1"/>
  <c r="B10" i="8" s="1"/>
  <c r="B15" i="8" a="1"/>
  <c r="B15" i="8" s="1"/>
  <c r="B19" i="8" a="1"/>
  <c r="B19" i="8" s="1"/>
  <c r="B22" i="8" a="1"/>
  <c r="B22" i="8" s="1"/>
  <c r="B23" i="8" a="1"/>
  <c r="B23" i="8" s="1"/>
  <c r="B26" i="8" a="1"/>
  <c r="B26" i="8" s="1"/>
  <c r="R37" i="3"/>
  <c r="B37" i="3" s="1" a="1"/>
  <c r="B37" i="3" s="1"/>
  <c r="B37" i="9" s="1"/>
  <c r="Q37" i="3"/>
  <c r="P37" i="3"/>
  <c r="E384" i="2"/>
  <c r="F2763" i="4"/>
  <c r="R27" i="8"/>
  <c r="B27" i="8" s="1" a="1"/>
  <c r="B27" i="8" s="1"/>
  <c r="Q27" i="8"/>
  <c r="P27" i="8"/>
  <c r="G27" i="8"/>
  <c r="R26" i="8"/>
  <c r="U26" i="8" s="1" a="1"/>
  <c r="U26" i="8" s="1"/>
  <c r="Q26" i="8"/>
  <c r="P26" i="8"/>
  <c r="G26" i="8"/>
  <c r="R25" i="8"/>
  <c r="B25" i="8" s="1" a="1"/>
  <c r="B25" i="8" s="1"/>
  <c r="Q25" i="8"/>
  <c r="P25" i="8"/>
  <c r="G25" i="8"/>
  <c r="R24" i="8"/>
  <c r="B24" i="8" s="1" a="1"/>
  <c r="B24" i="8" s="1"/>
  <c r="Q24" i="8"/>
  <c r="P24" i="8"/>
  <c r="G24" i="8"/>
  <c r="R23" i="8"/>
  <c r="Q23" i="8"/>
  <c r="P23" i="8"/>
  <c r="G23" i="8"/>
  <c r="R22" i="8"/>
  <c r="K22" i="8" s="1" a="1"/>
  <c r="K22" i="8" s="1"/>
  <c r="Q22" i="8"/>
  <c r="P22" i="8"/>
  <c r="G22" i="8"/>
  <c r="R21" i="8"/>
  <c r="K21" i="8" s="1" a="1"/>
  <c r="K21" i="8" s="1"/>
  <c r="Q21" i="8"/>
  <c r="P21" i="8"/>
  <c r="G21" i="8"/>
  <c r="R20" i="8"/>
  <c r="K20" i="8" s="1" a="1"/>
  <c r="K20" i="8" s="1"/>
  <c r="Q20" i="8"/>
  <c r="P20" i="8"/>
  <c r="G20" i="8"/>
  <c r="R19" i="8"/>
  <c r="U19" i="8" s="1" a="1"/>
  <c r="U19" i="8" s="1"/>
  <c r="Q19" i="8"/>
  <c r="P19" i="8"/>
  <c r="G19" i="8"/>
  <c r="R18" i="8"/>
  <c r="U18" i="8" s="1" a="1"/>
  <c r="U18" i="8" s="1"/>
  <c r="Q18" i="8"/>
  <c r="P18" i="8"/>
  <c r="G18" i="8"/>
  <c r="R17" i="8"/>
  <c r="K17" i="8" s="1" a="1"/>
  <c r="K17" i="8" s="1"/>
  <c r="Q17" i="8"/>
  <c r="P17" i="8"/>
  <c r="G17" i="8"/>
  <c r="R16" i="8"/>
  <c r="B16" i="8" s="1" a="1"/>
  <c r="B16" i="8" s="1"/>
  <c r="Q16" i="8"/>
  <c r="P16" i="8"/>
  <c r="G16" i="8"/>
  <c r="R15" i="8"/>
  <c r="U15" i="8" s="1" a="1"/>
  <c r="U15" i="8" s="1"/>
  <c r="Q15" i="8"/>
  <c r="P15" i="8"/>
  <c r="G15" i="8"/>
  <c r="R14" i="8"/>
  <c r="U14" i="8" s="1" a="1"/>
  <c r="U14" i="8" s="1"/>
  <c r="Q14" i="8"/>
  <c r="P14" i="8"/>
  <c r="G14" i="8"/>
  <c r="R13" i="8"/>
  <c r="U13" i="8" s="1" a="1"/>
  <c r="U13" i="8" s="1"/>
  <c r="Q13" i="8"/>
  <c r="P13" i="8"/>
  <c r="G13" i="8"/>
  <c r="R12" i="8"/>
  <c r="B12" i="8" s="1" a="1"/>
  <c r="B12" i="8" s="1"/>
  <c r="Q12" i="8"/>
  <c r="P12" i="8"/>
  <c r="G12" i="8"/>
  <c r="R11" i="8"/>
  <c r="B11" i="8" s="1" a="1"/>
  <c r="B11" i="8" s="1"/>
  <c r="Q11" i="8"/>
  <c r="P11" i="8"/>
  <c r="G11" i="8"/>
  <c r="R10" i="8"/>
  <c r="U10" i="8" s="1" a="1"/>
  <c r="U10" i="8" s="1"/>
  <c r="Q10" i="8"/>
  <c r="P10" i="8"/>
  <c r="G10" i="8"/>
  <c r="R9" i="8"/>
  <c r="B9" i="8" s="1" a="1"/>
  <c r="B9" i="8" s="1"/>
  <c r="Q9" i="8"/>
  <c r="P9" i="8"/>
  <c r="G9" i="8"/>
  <c r="R8" i="8"/>
  <c r="B8" i="8" s="1" a="1"/>
  <c r="B8" i="8" s="1"/>
  <c r="Q8" i="8"/>
  <c r="P8" i="8"/>
  <c r="G8" i="8"/>
  <c r="R7" i="8"/>
  <c r="Q7" i="8"/>
  <c r="P7" i="8"/>
  <c r="G7" i="8"/>
  <c r="R6" i="8"/>
  <c r="K6" i="8" s="1" a="1"/>
  <c r="K6" i="8" s="1"/>
  <c r="Q6" i="8"/>
  <c r="P6" i="8"/>
  <c r="G6" i="8"/>
  <c r="R5" i="8"/>
  <c r="K5" i="8" s="1" a="1"/>
  <c r="K5" i="8" s="1"/>
  <c r="Q5" i="8"/>
  <c r="P5" i="8"/>
  <c r="G5" i="8"/>
  <c r="R4" i="8"/>
  <c r="K4" i="8" s="1" a="1"/>
  <c r="K4" i="8" s="1"/>
  <c r="Q4" i="8"/>
  <c r="P4" i="8"/>
  <c r="G4" i="8"/>
  <c r="R3" i="8"/>
  <c r="U3" i="8" s="1" a="1"/>
  <c r="U3" i="8" s="1"/>
  <c r="Q3" i="8"/>
  <c r="P3" i="8"/>
  <c r="G3" i="8"/>
  <c r="R2" i="8"/>
  <c r="K2" i="8" s="1" a="1"/>
  <c r="K2" i="8" s="1"/>
  <c r="Q2" i="8"/>
  <c r="P2" i="8"/>
  <c r="G2" i="8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852" i="4"/>
  <c r="F1853" i="4"/>
  <c r="F1854" i="4"/>
  <c r="F1855" i="4"/>
  <c r="F1856" i="4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F1871" i="4"/>
  <c r="F1872" i="4"/>
  <c r="F1873" i="4"/>
  <c r="F1874" i="4"/>
  <c r="F1875" i="4"/>
  <c r="F1876" i="4"/>
  <c r="F1877" i="4"/>
  <c r="F1878" i="4"/>
  <c r="F1879" i="4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F1895" i="4"/>
  <c r="F1896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F1920" i="4"/>
  <c r="F1921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5" i="4"/>
  <c r="F1936" i="4"/>
  <c r="F1937" i="4"/>
  <c r="F1938" i="4"/>
  <c r="F1939" i="4"/>
  <c r="F1940" i="4"/>
  <c r="F1941" i="4"/>
  <c r="F1942" i="4"/>
  <c r="F1943" i="4"/>
  <c r="F1944" i="4"/>
  <c r="F1945" i="4"/>
  <c r="F1946" i="4"/>
  <c r="F1947" i="4"/>
  <c r="F1948" i="4"/>
  <c r="F1949" i="4"/>
  <c r="F1950" i="4"/>
  <c r="F1951" i="4"/>
  <c r="F1952" i="4"/>
  <c r="F1953" i="4"/>
  <c r="F1954" i="4"/>
  <c r="F1955" i="4"/>
  <c r="F1956" i="4"/>
  <c r="F1957" i="4"/>
  <c r="F1958" i="4"/>
  <c r="F1959" i="4"/>
  <c r="F1960" i="4"/>
  <c r="F1961" i="4"/>
  <c r="F1962" i="4"/>
  <c r="F1963" i="4"/>
  <c r="F1964" i="4"/>
  <c r="F1965" i="4"/>
  <c r="F1966" i="4"/>
  <c r="F1967" i="4"/>
  <c r="F1968" i="4"/>
  <c r="F1969" i="4"/>
  <c r="F1970" i="4"/>
  <c r="F1971" i="4"/>
  <c r="F1972" i="4"/>
  <c r="F1973" i="4"/>
  <c r="F1974" i="4"/>
  <c r="F1975" i="4"/>
  <c r="F1976" i="4"/>
  <c r="F1977" i="4"/>
  <c r="F1978" i="4"/>
  <c r="F1979" i="4"/>
  <c r="F1980" i="4"/>
  <c r="F1981" i="4"/>
  <c r="F1982" i="4"/>
  <c r="F1983" i="4"/>
  <c r="F1984" i="4"/>
  <c r="F1985" i="4"/>
  <c r="F1986" i="4"/>
  <c r="F1987" i="4"/>
  <c r="F1988" i="4"/>
  <c r="F1989" i="4"/>
  <c r="F1990" i="4"/>
  <c r="F1991" i="4"/>
  <c r="F1992" i="4"/>
  <c r="F1993" i="4"/>
  <c r="F1994" i="4"/>
  <c r="F1995" i="4"/>
  <c r="F1996" i="4"/>
  <c r="F1997" i="4"/>
  <c r="F1998" i="4"/>
  <c r="F1999" i="4"/>
  <c r="F2000" i="4"/>
  <c r="F2001" i="4"/>
  <c r="F2002" i="4"/>
  <c r="F2003" i="4"/>
  <c r="F2004" i="4"/>
  <c r="F2005" i="4"/>
  <c r="F2006" i="4"/>
  <c r="F2007" i="4"/>
  <c r="F2008" i="4"/>
  <c r="F2009" i="4"/>
  <c r="F2010" i="4"/>
  <c r="F2011" i="4"/>
  <c r="F2012" i="4"/>
  <c r="F2013" i="4"/>
  <c r="F2014" i="4"/>
  <c r="F2015" i="4"/>
  <c r="F2016" i="4"/>
  <c r="F2017" i="4"/>
  <c r="F2018" i="4"/>
  <c r="F2019" i="4"/>
  <c r="F2020" i="4"/>
  <c r="F2021" i="4"/>
  <c r="F2022" i="4"/>
  <c r="F2023" i="4"/>
  <c r="F2024" i="4"/>
  <c r="F2025" i="4"/>
  <c r="F2026" i="4"/>
  <c r="F2027" i="4"/>
  <c r="F2028" i="4"/>
  <c r="F2029" i="4"/>
  <c r="F2030" i="4"/>
  <c r="F2031" i="4"/>
  <c r="F2032" i="4"/>
  <c r="F2033" i="4"/>
  <c r="F2034" i="4"/>
  <c r="F2035" i="4"/>
  <c r="F2036" i="4"/>
  <c r="F2037" i="4"/>
  <c r="F2038" i="4"/>
  <c r="F2039" i="4"/>
  <c r="F2040" i="4"/>
  <c r="F2041" i="4"/>
  <c r="F2042" i="4"/>
  <c r="F2043" i="4"/>
  <c r="F2044" i="4"/>
  <c r="F2045" i="4"/>
  <c r="F2046" i="4"/>
  <c r="F2047" i="4"/>
  <c r="F2048" i="4"/>
  <c r="F2049" i="4"/>
  <c r="F2050" i="4"/>
  <c r="F2051" i="4"/>
  <c r="F2052" i="4"/>
  <c r="F2053" i="4"/>
  <c r="F2054" i="4"/>
  <c r="F2055" i="4"/>
  <c r="F2056" i="4"/>
  <c r="F2057" i="4"/>
  <c r="F2058" i="4"/>
  <c r="F2059" i="4"/>
  <c r="F2060" i="4"/>
  <c r="F2061" i="4"/>
  <c r="F2062" i="4"/>
  <c r="F2063" i="4"/>
  <c r="F2064" i="4"/>
  <c r="F2065" i="4"/>
  <c r="F2066" i="4"/>
  <c r="F2067" i="4"/>
  <c r="F2068" i="4"/>
  <c r="F2069" i="4"/>
  <c r="F2070" i="4"/>
  <c r="F2071" i="4"/>
  <c r="F2072" i="4"/>
  <c r="F2073" i="4"/>
  <c r="F2074" i="4"/>
  <c r="F2075" i="4"/>
  <c r="F2076" i="4"/>
  <c r="F2077" i="4"/>
  <c r="F2078" i="4"/>
  <c r="F2079" i="4"/>
  <c r="F2080" i="4"/>
  <c r="F2081" i="4"/>
  <c r="F2082" i="4"/>
  <c r="F2083" i="4"/>
  <c r="F2084" i="4"/>
  <c r="F2085" i="4"/>
  <c r="F2086" i="4"/>
  <c r="F2087" i="4"/>
  <c r="F2088" i="4"/>
  <c r="F2089" i="4"/>
  <c r="F2090" i="4"/>
  <c r="F2091" i="4"/>
  <c r="F2092" i="4"/>
  <c r="F2093" i="4"/>
  <c r="F2094" i="4"/>
  <c r="F2095" i="4"/>
  <c r="F2096" i="4"/>
  <c r="F2097" i="4"/>
  <c r="F2098" i="4"/>
  <c r="F2099" i="4"/>
  <c r="F2100" i="4"/>
  <c r="F2101" i="4"/>
  <c r="F2102" i="4"/>
  <c r="F2103" i="4"/>
  <c r="F2104" i="4"/>
  <c r="F2105" i="4"/>
  <c r="F2106" i="4"/>
  <c r="F2107" i="4"/>
  <c r="F2108" i="4"/>
  <c r="F2109" i="4"/>
  <c r="F2110" i="4"/>
  <c r="F2111" i="4"/>
  <c r="F2112" i="4"/>
  <c r="F2113" i="4"/>
  <c r="F2114" i="4"/>
  <c r="F2115" i="4"/>
  <c r="F2116" i="4"/>
  <c r="F2117" i="4"/>
  <c r="F2118" i="4"/>
  <c r="F2119" i="4"/>
  <c r="F2120" i="4"/>
  <c r="F2121" i="4"/>
  <c r="F2122" i="4"/>
  <c r="F2123" i="4"/>
  <c r="F2124" i="4"/>
  <c r="F2125" i="4"/>
  <c r="F2126" i="4"/>
  <c r="F2127" i="4"/>
  <c r="F2128" i="4"/>
  <c r="F2129" i="4"/>
  <c r="F2130" i="4"/>
  <c r="F2131" i="4"/>
  <c r="F2132" i="4"/>
  <c r="F2133" i="4"/>
  <c r="F2134" i="4"/>
  <c r="F2135" i="4"/>
  <c r="F2136" i="4"/>
  <c r="F2137" i="4"/>
  <c r="F2138" i="4"/>
  <c r="F2139" i="4"/>
  <c r="F2140" i="4"/>
  <c r="F2141" i="4"/>
  <c r="F2142" i="4"/>
  <c r="F2143" i="4"/>
  <c r="F2144" i="4"/>
  <c r="F2145" i="4"/>
  <c r="F2146" i="4"/>
  <c r="F2147" i="4"/>
  <c r="F2148" i="4"/>
  <c r="F2149" i="4"/>
  <c r="F2150" i="4"/>
  <c r="F2151" i="4"/>
  <c r="F2152" i="4"/>
  <c r="F2153" i="4"/>
  <c r="F2154" i="4"/>
  <c r="F2155" i="4"/>
  <c r="F2156" i="4"/>
  <c r="F2157" i="4"/>
  <c r="F2158" i="4"/>
  <c r="F2159" i="4"/>
  <c r="F2160" i="4"/>
  <c r="F2161" i="4"/>
  <c r="F2162" i="4"/>
  <c r="F2163" i="4"/>
  <c r="F2164" i="4"/>
  <c r="F2165" i="4"/>
  <c r="F2166" i="4"/>
  <c r="F2167" i="4"/>
  <c r="F2168" i="4"/>
  <c r="F2169" i="4"/>
  <c r="F2170" i="4"/>
  <c r="F2171" i="4"/>
  <c r="F2172" i="4"/>
  <c r="F2173" i="4"/>
  <c r="F2174" i="4"/>
  <c r="F2175" i="4"/>
  <c r="F2176" i="4"/>
  <c r="F2177" i="4"/>
  <c r="F2178" i="4"/>
  <c r="F2179" i="4"/>
  <c r="F2180" i="4"/>
  <c r="F2181" i="4"/>
  <c r="F2182" i="4"/>
  <c r="F2183" i="4"/>
  <c r="F2184" i="4"/>
  <c r="F2185" i="4"/>
  <c r="F2186" i="4"/>
  <c r="F2187" i="4"/>
  <c r="F2188" i="4"/>
  <c r="F2189" i="4"/>
  <c r="F2190" i="4"/>
  <c r="F2191" i="4"/>
  <c r="F2192" i="4"/>
  <c r="F2193" i="4"/>
  <c r="F2194" i="4"/>
  <c r="F2195" i="4"/>
  <c r="F2196" i="4"/>
  <c r="F2197" i="4"/>
  <c r="F2198" i="4"/>
  <c r="F2199" i="4"/>
  <c r="F2200" i="4"/>
  <c r="F2201" i="4"/>
  <c r="F2202" i="4"/>
  <c r="F2203" i="4"/>
  <c r="F2204" i="4"/>
  <c r="F2205" i="4"/>
  <c r="F2206" i="4"/>
  <c r="F2207" i="4"/>
  <c r="F2208" i="4"/>
  <c r="F2209" i="4"/>
  <c r="F2210" i="4"/>
  <c r="F2211" i="4"/>
  <c r="F2212" i="4"/>
  <c r="F2213" i="4"/>
  <c r="F2214" i="4"/>
  <c r="F2215" i="4"/>
  <c r="F2216" i="4"/>
  <c r="F2217" i="4"/>
  <c r="F2218" i="4"/>
  <c r="F2219" i="4"/>
  <c r="F2220" i="4"/>
  <c r="F2221" i="4"/>
  <c r="F2222" i="4"/>
  <c r="F2223" i="4"/>
  <c r="F2224" i="4"/>
  <c r="F2225" i="4"/>
  <c r="F2226" i="4"/>
  <c r="F2227" i="4"/>
  <c r="F2228" i="4"/>
  <c r="F2229" i="4"/>
  <c r="F2230" i="4"/>
  <c r="F2231" i="4"/>
  <c r="F2232" i="4"/>
  <c r="F2233" i="4"/>
  <c r="F2234" i="4"/>
  <c r="F2235" i="4"/>
  <c r="F2236" i="4"/>
  <c r="F2237" i="4"/>
  <c r="F2238" i="4"/>
  <c r="F2239" i="4"/>
  <c r="F2240" i="4"/>
  <c r="F2241" i="4"/>
  <c r="F2242" i="4"/>
  <c r="F2243" i="4"/>
  <c r="F2244" i="4"/>
  <c r="F2245" i="4"/>
  <c r="F2246" i="4"/>
  <c r="F2247" i="4"/>
  <c r="F2248" i="4"/>
  <c r="F2249" i="4"/>
  <c r="F2250" i="4"/>
  <c r="F2251" i="4"/>
  <c r="F2252" i="4"/>
  <c r="F2253" i="4"/>
  <c r="F2254" i="4"/>
  <c r="F2255" i="4"/>
  <c r="F2256" i="4"/>
  <c r="F2257" i="4"/>
  <c r="F2258" i="4"/>
  <c r="F2259" i="4"/>
  <c r="F2260" i="4"/>
  <c r="F2261" i="4"/>
  <c r="F2262" i="4"/>
  <c r="F2263" i="4"/>
  <c r="F2264" i="4"/>
  <c r="F2265" i="4"/>
  <c r="F2266" i="4"/>
  <c r="F2267" i="4"/>
  <c r="F2268" i="4"/>
  <c r="F2269" i="4"/>
  <c r="F2270" i="4"/>
  <c r="F2271" i="4"/>
  <c r="F2272" i="4"/>
  <c r="F2273" i="4"/>
  <c r="F2274" i="4"/>
  <c r="F2275" i="4"/>
  <c r="F2276" i="4"/>
  <c r="F2277" i="4"/>
  <c r="F2278" i="4"/>
  <c r="F2279" i="4"/>
  <c r="F2280" i="4"/>
  <c r="F2281" i="4"/>
  <c r="F2282" i="4"/>
  <c r="F2283" i="4"/>
  <c r="F2284" i="4"/>
  <c r="F2285" i="4"/>
  <c r="F2286" i="4"/>
  <c r="F2287" i="4"/>
  <c r="F2288" i="4"/>
  <c r="F2289" i="4"/>
  <c r="F2290" i="4"/>
  <c r="F2291" i="4"/>
  <c r="F2292" i="4"/>
  <c r="F2293" i="4"/>
  <c r="F2294" i="4"/>
  <c r="F2295" i="4"/>
  <c r="F2296" i="4"/>
  <c r="F2297" i="4"/>
  <c r="F2298" i="4"/>
  <c r="F2299" i="4"/>
  <c r="F2300" i="4"/>
  <c r="F2301" i="4"/>
  <c r="F2302" i="4"/>
  <c r="F2303" i="4"/>
  <c r="F2304" i="4"/>
  <c r="F2305" i="4"/>
  <c r="F2306" i="4"/>
  <c r="F2307" i="4"/>
  <c r="F2308" i="4"/>
  <c r="F2309" i="4"/>
  <c r="F2310" i="4"/>
  <c r="F2311" i="4"/>
  <c r="F2312" i="4"/>
  <c r="F2313" i="4"/>
  <c r="F2314" i="4"/>
  <c r="F2315" i="4"/>
  <c r="F2316" i="4"/>
  <c r="F2317" i="4"/>
  <c r="F2318" i="4"/>
  <c r="F2319" i="4"/>
  <c r="F2320" i="4"/>
  <c r="F2321" i="4"/>
  <c r="F2322" i="4"/>
  <c r="F2323" i="4"/>
  <c r="F2324" i="4"/>
  <c r="F2325" i="4"/>
  <c r="F2326" i="4"/>
  <c r="F2327" i="4"/>
  <c r="F2328" i="4"/>
  <c r="F2329" i="4"/>
  <c r="F2330" i="4"/>
  <c r="F2331" i="4"/>
  <c r="F2332" i="4"/>
  <c r="F2333" i="4"/>
  <c r="F2334" i="4"/>
  <c r="F2335" i="4"/>
  <c r="F2336" i="4"/>
  <c r="F2337" i="4"/>
  <c r="F2338" i="4"/>
  <c r="F2339" i="4"/>
  <c r="F2340" i="4"/>
  <c r="F2341" i="4"/>
  <c r="F2342" i="4"/>
  <c r="F2343" i="4"/>
  <c r="F2344" i="4"/>
  <c r="F2345" i="4"/>
  <c r="F2346" i="4"/>
  <c r="F2347" i="4"/>
  <c r="F2348" i="4"/>
  <c r="F2349" i="4"/>
  <c r="F2350" i="4"/>
  <c r="F2351" i="4"/>
  <c r="F2352" i="4"/>
  <c r="F2353" i="4"/>
  <c r="F2354" i="4"/>
  <c r="F2355" i="4"/>
  <c r="F2356" i="4"/>
  <c r="F2357" i="4"/>
  <c r="F2358" i="4"/>
  <c r="F2359" i="4"/>
  <c r="F2360" i="4"/>
  <c r="F2361" i="4"/>
  <c r="F2362" i="4"/>
  <c r="F2363" i="4"/>
  <c r="F2364" i="4"/>
  <c r="F2365" i="4"/>
  <c r="F2366" i="4"/>
  <c r="F2367" i="4"/>
  <c r="F2368" i="4"/>
  <c r="F2369" i="4"/>
  <c r="F2370" i="4"/>
  <c r="F2371" i="4"/>
  <c r="F2372" i="4"/>
  <c r="F2373" i="4"/>
  <c r="F2374" i="4"/>
  <c r="F2375" i="4"/>
  <c r="F2376" i="4"/>
  <c r="F2377" i="4"/>
  <c r="F2378" i="4"/>
  <c r="F2379" i="4"/>
  <c r="F2380" i="4"/>
  <c r="F2381" i="4"/>
  <c r="F2382" i="4"/>
  <c r="F2383" i="4"/>
  <c r="F2384" i="4"/>
  <c r="F2385" i="4"/>
  <c r="F2386" i="4"/>
  <c r="F2387" i="4"/>
  <c r="F2388" i="4"/>
  <c r="F2389" i="4"/>
  <c r="F2390" i="4"/>
  <c r="F2391" i="4"/>
  <c r="F2392" i="4"/>
  <c r="F2393" i="4"/>
  <c r="F2394" i="4"/>
  <c r="F2395" i="4"/>
  <c r="F2396" i="4"/>
  <c r="F2397" i="4"/>
  <c r="F2398" i="4"/>
  <c r="F2399" i="4"/>
  <c r="F2400" i="4"/>
  <c r="F2401" i="4"/>
  <c r="F2402" i="4"/>
  <c r="F2403" i="4"/>
  <c r="F2404" i="4"/>
  <c r="F2405" i="4"/>
  <c r="F2406" i="4"/>
  <c r="F2407" i="4"/>
  <c r="F2408" i="4"/>
  <c r="F2409" i="4"/>
  <c r="F2410" i="4"/>
  <c r="F2411" i="4"/>
  <c r="F2412" i="4"/>
  <c r="F2413" i="4"/>
  <c r="F2414" i="4"/>
  <c r="F2415" i="4"/>
  <c r="F2416" i="4"/>
  <c r="F2417" i="4"/>
  <c r="F2418" i="4"/>
  <c r="F2419" i="4"/>
  <c r="F2420" i="4"/>
  <c r="F2421" i="4"/>
  <c r="F2422" i="4"/>
  <c r="F2423" i="4"/>
  <c r="F2424" i="4"/>
  <c r="F2425" i="4"/>
  <c r="F2426" i="4"/>
  <c r="F2427" i="4"/>
  <c r="F2428" i="4"/>
  <c r="F2429" i="4"/>
  <c r="F2430" i="4"/>
  <c r="F2431" i="4"/>
  <c r="F2432" i="4"/>
  <c r="F2433" i="4"/>
  <c r="F2434" i="4"/>
  <c r="F2435" i="4"/>
  <c r="F2436" i="4"/>
  <c r="F2437" i="4"/>
  <c r="F2438" i="4"/>
  <c r="F2439" i="4"/>
  <c r="F2440" i="4"/>
  <c r="F2441" i="4"/>
  <c r="F2442" i="4"/>
  <c r="F2443" i="4"/>
  <c r="F2444" i="4"/>
  <c r="F2445" i="4"/>
  <c r="F2446" i="4"/>
  <c r="F2447" i="4"/>
  <c r="F2448" i="4"/>
  <c r="F2449" i="4"/>
  <c r="F2450" i="4"/>
  <c r="F2451" i="4"/>
  <c r="F2452" i="4"/>
  <c r="F2453" i="4"/>
  <c r="F2454" i="4"/>
  <c r="F2455" i="4"/>
  <c r="F2456" i="4"/>
  <c r="F2457" i="4"/>
  <c r="F2458" i="4"/>
  <c r="F2459" i="4"/>
  <c r="F2460" i="4"/>
  <c r="F2461" i="4"/>
  <c r="F2462" i="4"/>
  <c r="F2463" i="4"/>
  <c r="F2464" i="4"/>
  <c r="F2465" i="4"/>
  <c r="F2466" i="4"/>
  <c r="F2467" i="4"/>
  <c r="F2468" i="4"/>
  <c r="F2469" i="4"/>
  <c r="F2470" i="4"/>
  <c r="F2471" i="4"/>
  <c r="F2472" i="4"/>
  <c r="F2473" i="4"/>
  <c r="F2474" i="4"/>
  <c r="F2475" i="4"/>
  <c r="F2476" i="4"/>
  <c r="F2477" i="4"/>
  <c r="F2478" i="4"/>
  <c r="F2479" i="4"/>
  <c r="F2480" i="4"/>
  <c r="F2481" i="4"/>
  <c r="F2482" i="4"/>
  <c r="F2483" i="4"/>
  <c r="F2484" i="4"/>
  <c r="F2485" i="4"/>
  <c r="F2486" i="4"/>
  <c r="F2487" i="4"/>
  <c r="F2488" i="4"/>
  <c r="F2489" i="4"/>
  <c r="F2490" i="4"/>
  <c r="F2491" i="4"/>
  <c r="F2492" i="4"/>
  <c r="F2493" i="4"/>
  <c r="F2494" i="4"/>
  <c r="F2495" i="4"/>
  <c r="F2496" i="4"/>
  <c r="F2497" i="4"/>
  <c r="F2498" i="4"/>
  <c r="F2499" i="4"/>
  <c r="F2500" i="4"/>
  <c r="F2501" i="4"/>
  <c r="F2502" i="4"/>
  <c r="F2503" i="4"/>
  <c r="F2504" i="4"/>
  <c r="F2505" i="4"/>
  <c r="F2506" i="4"/>
  <c r="F2507" i="4"/>
  <c r="F2508" i="4"/>
  <c r="F2509" i="4"/>
  <c r="F2510" i="4"/>
  <c r="F2511" i="4"/>
  <c r="F2512" i="4"/>
  <c r="F2513" i="4"/>
  <c r="F2514" i="4"/>
  <c r="F2515" i="4"/>
  <c r="F2516" i="4"/>
  <c r="F2517" i="4"/>
  <c r="F2518" i="4"/>
  <c r="F2519" i="4"/>
  <c r="F2520" i="4"/>
  <c r="F2521" i="4"/>
  <c r="F2522" i="4"/>
  <c r="F2523" i="4"/>
  <c r="F2524" i="4"/>
  <c r="F2525" i="4"/>
  <c r="F2526" i="4"/>
  <c r="F2527" i="4"/>
  <c r="F2528" i="4"/>
  <c r="F2529" i="4"/>
  <c r="F2530" i="4"/>
  <c r="F2531" i="4"/>
  <c r="F2532" i="4"/>
  <c r="F2533" i="4"/>
  <c r="F2534" i="4"/>
  <c r="F2535" i="4"/>
  <c r="F2536" i="4"/>
  <c r="F2537" i="4"/>
  <c r="F2538" i="4"/>
  <c r="F2539" i="4"/>
  <c r="F2540" i="4"/>
  <c r="F2541" i="4"/>
  <c r="F2542" i="4"/>
  <c r="F2543" i="4"/>
  <c r="F2544" i="4"/>
  <c r="F2545" i="4"/>
  <c r="F2546" i="4"/>
  <c r="F2547" i="4"/>
  <c r="F2548" i="4"/>
  <c r="F2549" i="4"/>
  <c r="F2550" i="4"/>
  <c r="F2551" i="4"/>
  <c r="F2552" i="4"/>
  <c r="F2553" i="4"/>
  <c r="F2554" i="4"/>
  <c r="F2555" i="4"/>
  <c r="F2556" i="4"/>
  <c r="F2557" i="4"/>
  <c r="F2558" i="4"/>
  <c r="F2559" i="4"/>
  <c r="F2560" i="4"/>
  <c r="F2561" i="4"/>
  <c r="F2562" i="4"/>
  <c r="F2563" i="4"/>
  <c r="F2564" i="4"/>
  <c r="F2565" i="4"/>
  <c r="F2566" i="4"/>
  <c r="F2567" i="4"/>
  <c r="F2568" i="4"/>
  <c r="F2569" i="4"/>
  <c r="F2570" i="4"/>
  <c r="F2571" i="4"/>
  <c r="F2572" i="4"/>
  <c r="F2573" i="4"/>
  <c r="F2574" i="4"/>
  <c r="F2575" i="4"/>
  <c r="F2576" i="4"/>
  <c r="F2577" i="4"/>
  <c r="F2578" i="4"/>
  <c r="F2579" i="4"/>
  <c r="F2580" i="4"/>
  <c r="F2581" i="4"/>
  <c r="F2582" i="4"/>
  <c r="F2583" i="4"/>
  <c r="F2584" i="4"/>
  <c r="F2585" i="4"/>
  <c r="F2586" i="4"/>
  <c r="F2587" i="4"/>
  <c r="F2588" i="4"/>
  <c r="F2589" i="4"/>
  <c r="F2590" i="4"/>
  <c r="F2591" i="4"/>
  <c r="F2592" i="4"/>
  <c r="F2593" i="4"/>
  <c r="F2594" i="4"/>
  <c r="F2595" i="4"/>
  <c r="F2596" i="4"/>
  <c r="F2597" i="4"/>
  <c r="F2598" i="4"/>
  <c r="F2599" i="4"/>
  <c r="F2600" i="4"/>
  <c r="F2601" i="4"/>
  <c r="F2602" i="4"/>
  <c r="F2603" i="4"/>
  <c r="F2604" i="4"/>
  <c r="F2605" i="4"/>
  <c r="F2606" i="4"/>
  <c r="F2607" i="4"/>
  <c r="F2608" i="4"/>
  <c r="F2609" i="4"/>
  <c r="F2610" i="4"/>
  <c r="F2611" i="4"/>
  <c r="F2612" i="4"/>
  <c r="F2613" i="4"/>
  <c r="F2614" i="4"/>
  <c r="F2615" i="4"/>
  <c r="F2616" i="4"/>
  <c r="F2617" i="4"/>
  <c r="F2618" i="4"/>
  <c r="F2619" i="4"/>
  <c r="F2620" i="4"/>
  <c r="F2621" i="4"/>
  <c r="F2622" i="4"/>
  <c r="F2623" i="4"/>
  <c r="F2624" i="4"/>
  <c r="F2625" i="4"/>
  <c r="F2626" i="4"/>
  <c r="F2627" i="4"/>
  <c r="F2628" i="4"/>
  <c r="F2629" i="4"/>
  <c r="F2630" i="4"/>
  <c r="F2631" i="4"/>
  <c r="F2632" i="4"/>
  <c r="F2633" i="4"/>
  <c r="F2634" i="4"/>
  <c r="F2635" i="4"/>
  <c r="F2636" i="4"/>
  <c r="F2637" i="4"/>
  <c r="F2638" i="4"/>
  <c r="F2639" i="4"/>
  <c r="F2640" i="4"/>
  <c r="F2641" i="4"/>
  <c r="F2642" i="4"/>
  <c r="F2643" i="4"/>
  <c r="F2644" i="4"/>
  <c r="F2645" i="4"/>
  <c r="F2646" i="4"/>
  <c r="F2647" i="4"/>
  <c r="F2648" i="4"/>
  <c r="F2649" i="4"/>
  <c r="F2650" i="4"/>
  <c r="F2651" i="4"/>
  <c r="F2652" i="4"/>
  <c r="F2653" i="4"/>
  <c r="F2654" i="4"/>
  <c r="F2655" i="4"/>
  <c r="F2656" i="4"/>
  <c r="F2657" i="4"/>
  <c r="F2658" i="4"/>
  <c r="F2659" i="4"/>
  <c r="F2660" i="4"/>
  <c r="F2661" i="4"/>
  <c r="F2662" i="4"/>
  <c r="F2663" i="4"/>
  <c r="F2664" i="4"/>
  <c r="F2665" i="4"/>
  <c r="F2666" i="4"/>
  <c r="F2667" i="4"/>
  <c r="F2668" i="4"/>
  <c r="F2669" i="4"/>
  <c r="F2670" i="4"/>
  <c r="F2671" i="4"/>
  <c r="F2672" i="4"/>
  <c r="F2673" i="4"/>
  <c r="F2674" i="4"/>
  <c r="F2675" i="4"/>
  <c r="F2676" i="4"/>
  <c r="F2677" i="4"/>
  <c r="F2678" i="4"/>
  <c r="F2679" i="4"/>
  <c r="F2680" i="4"/>
  <c r="F2681" i="4"/>
  <c r="F2682" i="4"/>
  <c r="F2683" i="4"/>
  <c r="F2684" i="4"/>
  <c r="F2685" i="4"/>
  <c r="F2686" i="4"/>
  <c r="F2687" i="4"/>
  <c r="F2688" i="4"/>
  <c r="F2689" i="4"/>
  <c r="F2690" i="4"/>
  <c r="F2691" i="4"/>
  <c r="F2692" i="4"/>
  <c r="F2693" i="4"/>
  <c r="F2694" i="4"/>
  <c r="F2695" i="4"/>
  <c r="F2696" i="4"/>
  <c r="F2697" i="4"/>
  <c r="F2698" i="4"/>
  <c r="F2699" i="4"/>
  <c r="F2700" i="4"/>
  <c r="F2701" i="4"/>
  <c r="F2702" i="4"/>
  <c r="F2703" i="4"/>
  <c r="F2704" i="4"/>
  <c r="F2705" i="4"/>
  <c r="F2706" i="4"/>
  <c r="F2707" i="4"/>
  <c r="F2708" i="4"/>
  <c r="F2709" i="4"/>
  <c r="F2710" i="4"/>
  <c r="F2711" i="4"/>
  <c r="F2712" i="4"/>
  <c r="F2713" i="4"/>
  <c r="F2714" i="4"/>
  <c r="F2715" i="4"/>
  <c r="F2716" i="4"/>
  <c r="F2717" i="4"/>
  <c r="F2718" i="4"/>
  <c r="F2719" i="4"/>
  <c r="F2720" i="4"/>
  <c r="F2721" i="4"/>
  <c r="F2722" i="4"/>
  <c r="F2723" i="4"/>
  <c r="F2724" i="4"/>
  <c r="F2725" i="4"/>
  <c r="F2726" i="4"/>
  <c r="F2727" i="4"/>
  <c r="F2728" i="4"/>
  <c r="F2729" i="4"/>
  <c r="F2730" i="4"/>
  <c r="F2731" i="4"/>
  <c r="F2732" i="4"/>
  <c r="F2733" i="4"/>
  <c r="F2734" i="4"/>
  <c r="F2735" i="4"/>
  <c r="F2736" i="4"/>
  <c r="F2737" i="4"/>
  <c r="F2738" i="4"/>
  <c r="F2739" i="4"/>
  <c r="F2740" i="4"/>
  <c r="F2741" i="4"/>
  <c r="F2742" i="4"/>
  <c r="F2743" i="4"/>
  <c r="F2744" i="4"/>
  <c r="F2745" i="4"/>
  <c r="F2746" i="4"/>
  <c r="F2747" i="4"/>
  <c r="F2748" i="4"/>
  <c r="F2749" i="4"/>
  <c r="F2750" i="4"/>
  <c r="F2751" i="4"/>
  <c r="F2752" i="4"/>
  <c r="F2753" i="4"/>
  <c r="F2754" i="4"/>
  <c r="F2755" i="4"/>
  <c r="F2756" i="4"/>
  <c r="F2757" i="4"/>
  <c r="F2758" i="4"/>
  <c r="F2759" i="4"/>
  <c r="F2760" i="4"/>
  <c r="F2761" i="4"/>
  <c r="F276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4" i="4"/>
  <c r="F1215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2" i="4"/>
  <c r="G2" i="3"/>
  <c r="P26" i="3"/>
  <c r="Q26" i="3"/>
  <c r="R26" i="3"/>
  <c r="B26" i="3" s="1" a="1"/>
  <c r="B26" i="3" s="1"/>
  <c r="B26" i="9" s="1"/>
  <c r="P42" i="3"/>
  <c r="Q42" i="3"/>
  <c r="R42" i="3"/>
  <c r="U42" i="3" s="1" a="1"/>
  <c r="U42" i="3" s="1"/>
  <c r="A42" i="9" s="1"/>
  <c r="E270" i="2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7" i="3"/>
  <c r="Q28" i="3"/>
  <c r="Q29" i="3"/>
  <c r="Q30" i="3"/>
  <c r="Q31" i="3"/>
  <c r="Q32" i="3"/>
  <c r="Q33" i="3"/>
  <c r="Q34" i="3"/>
  <c r="Q35" i="3"/>
  <c r="Q36" i="3"/>
  <c r="Q38" i="3"/>
  <c r="Q39" i="3"/>
  <c r="Q40" i="3"/>
  <c r="Q41" i="3"/>
  <c r="Q43" i="3"/>
  <c r="Q44" i="3"/>
  <c r="Q45" i="3"/>
  <c r="Q46" i="3"/>
  <c r="Q47" i="3"/>
  <c r="Q48" i="3"/>
  <c r="Q49" i="3"/>
  <c r="Q50" i="3"/>
  <c r="P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7" i="3"/>
  <c r="P28" i="3"/>
  <c r="P29" i="3"/>
  <c r="P30" i="3"/>
  <c r="P31" i="3"/>
  <c r="P32" i="3"/>
  <c r="P33" i="3"/>
  <c r="P34" i="3"/>
  <c r="P35" i="3"/>
  <c r="P36" i="3"/>
  <c r="P38" i="3"/>
  <c r="P39" i="3"/>
  <c r="P40" i="3"/>
  <c r="P41" i="3"/>
  <c r="P43" i="3"/>
  <c r="P44" i="3"/>
  <c r="P45" i="3"/>
  <c r="P46" i="3"/>
  <c r="P47" i="3"/>
  <c r="P48" i="3"/>
  <c r="P49" i="3"/>
  <c r="P50" i="3"/>
  <c r="G604" i="7"/>
  <c r="H604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I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I407" i="7" s="1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I423" i="7" s="1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I439" i="7" s="1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I455" i="7"/>
  <c r="H456" i="7"/>
  <c r="I456" i="7" s="1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I584" i="7"/>
  <c r="H585" i="7"/>
  <c r="I585" i="7" s="1"/>
  <c r="H586" i="7"/>
  <c r="I586" i="7" s="1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2" i="7"/>
  <c r="G3" i="7"/>
  <c r="G4" i="7"/>
  <c r="G5" i="7"/>
  <c r="G6" i="7"/>
  <c r="G7" i="7"/>
  <c r="G8" i="7"/>
  <c r="I8" i="7" s="1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I120" i="7" s="1"/>
  <c r="G121" i="7"/>
  <c r="G122" i="7"/>
  <c r="G123" i="7"/>
  <c r="G124" i="7"/>
  <c r="G125" i="7"/>
  <c r="G126" i="7"/>
  <c r="G127" i="7"/>
  <c r="G128" i="7"/>
  <c r="I128" i="7" s="1"/>
  <c r="G129" i="7"/>
  <c r="I129" i="7" s="1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I145" i="7" s="1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I192" i="7" s="1"/>
  <c r="G193" i="7"/>
  <c r="G194" i="7"/>
  <c r="G195" i="7"/>
  <c r="G196" i="7"/>
  <c r="G197" i="7"/>
  <c r="G198" i="7"/>
  <c r="G199" i="7"/>
  <c r="G200" i="7"/>
  <c r="G201" i="7"/>
  <c r="I201" i="7" s="1"/>
  <c r="G202" i="7"/>
  <c r="G203" i="7"/>
  <c r="G204" i="7"/>
  <c r="G205" i="7"/>
  <c r="G206" i="7"/>
  <c r="I206" i="7" s="1"/>
  <c r="G207" i="7"/>
  <c r="G208" i="7"/>
  <c r="I208" i="7" s="1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I222" i="7" s="1"/>
  <c r="G223" i="7"/>
  <c r="I223" i="7" s="1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I238" i="7" s="1"/>
  <c r="G239" i="7"/>
  <c r="I239" i="7" s="1"/>
  <c r="G240" i="7"/>
  <c r="I240" i="7" s="1"/>
  <c r="G241" i="7"/>
  <c r="G242" i="7"/>
  <c r="G243" i="7"/>
  <c r="G244" i="7"/>
  <c r="G245" i="7"/>
  <c r="G246" i="7"/>
  <c r="G247" i="7"/>
  <c r="G248" i="7"/>
  <c r="I248" i="7" s="1"/>
  <c r="G249" i="7"/>
  <c r="G250" i="7"/>
  <c r="G251" i="7"/>
  <c r="G252" i="7"/>
  <c r="G253" i="7"/>
  <c r="G254" i="7"/>
  <c r="I254" i="7" s="1"/>
  <c r="G255" i="7"/>
  <c r="I255" i="7" s="1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I270" i="7" s="1"/>
  <c r="G271" i="7"/>
  <c r="I271" i="7" s="1"/>
  <c r="G272" i="7"/>
  <c r="G273" i="7"/>
  <c r="G274" i="7"/>
  <c r="G275" i="7"/>
  <c r="G276" i="7"/>
  <c r="G277" i="7"/>
  <c r="G278" i="7"/>
  <c r="G279" i="7"/>
  <c r="G280" i="7"/>
  <c r="I280" i="7" s="1"/>
  <c r="G281" i="7"/>
  <c r="G282" i="7"/>
  <c r="G283" i="7"/>
  <c r="G284" i="7"/>
  <c r="G285" i="7"/>
  <c r="G286" i="7"/>
  <c r="G287" i="7"/>
  <c r="I287" i="7" s="1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I327" i="7" s="1"/>
  <c r="G328" i="7"/>
  <c r="I328" i="7" s="1"/>
  <c r="G329" i="7"/>
  <c r="I329" i="7" s="1"/>
  <c r="G330" i="7"/>
  <c r="I330" i="7" s="1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I353" i="7" s="1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I602" i="7" s="1"/>
  <c r="G603" i="7"/>
  <c r="G2" i="7"/>
  <c r="G121" i="6"/>
  <c r="G122" i="6"/>
  <c r="G123" i="6"/>
  <c r="G124" i="6"/>
  <c r="G125" i="6"/>
  <c r="G128" i="6"/>
  <c r="G129" i="6"/>
  <c r="G126" i="6"/>
  <c r="G127" i="6"/>
  <c r="G130" i="6"/>
  <c r="G136" i="6"/>
  <c r="G131" i="6"/>
  <c r="G132" i="6"/>
  <c r="G133" i="6"/>
  <c r="G134" i="6"/>
  <c r="G135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81" i="6"/>
  <c r="G182" i="6"/>
  <c r="G183" i="6"/>
  <c r="G184" i="6"/>
  <c r="G179" i="6"/>
  <c r="G180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31" i="6"/>
  <c r="G232" i="6"/>
  <c r="G229" i="6"/>
  <c r="G230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1" i="6"/>
  <c r="G250" i="6"/>
  <c r="G252" i="6"/>
  <c r="G253" i="6"/>
  <c r="G254" i="6"/>
  <c r="G255" i="6"/>
  <c r="G256" i="6"/>
  <c r="G257" i="6"/>
  <c r="G258" i="6"/>
  <c r="G2" i="6"/>
  <c r="G3" i="6"/>
  <c r="G4" i="6"/>
  <c r="G8" i="6"/>
  <c r="G5" i="6"/>
  <c r="G9" i="6"/>
  <c r="G6" i="6"/>
  <c r="G7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E182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1" i="2"/>
  <c r="E272" i="2"/>
  <c r="E273" i="2"/>
  <c r="E274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2" i="2"/>
  <c r="E3" i="2"/>
  <c r="E4" i="2"/>
  <c r="E5" i="2"/>
  <c r="E6" i="2"/>
  <c r="E7" i="2"/>
  <c r="E8" i="2"/>
  <c r="E10" i="2"/>
  <c r="E11" i="2"/>
  <c r="E12" i="2"/>
  <c r="E13" i="2"/>
  <c r="E14" i="2"/>
  <c r="E15" i="2"/>
  <c r="E16" i="2"/>
  <c r="E9" i="2"/>
  <c r="R18" i="3"/>
  <c r="B18" i="3" s="1" a="1"/>
  <c r="B18" i="3" s="1"/>
  <c r="B18" i="9" s="1"/>
  <c r="R20" i="3"/>
  <c r="B20" i="3" s="1" a="1"/>
  <c r="B20" i="3" s="1"/>
  <c r="B20" i="9" s="1"/>
  <c r="R21" i="3"/>
  <c r="B21" i="3" s="1" a="1"/>
  <c r="B21" i="3" s="1"/>
  <c r="B21" i="9" s="1"/>
  <c r="R27" i="3"/>
  <c r="B27" i="3" s="1" a="1"/>
  <c r="B27" i="3" s="1"/>
  <c r="B27" i="9" s="1"/>
  <c r="R28" i="3"/>
  <c r="B28" i="3" s="1" a="1"/>
  <c r="B28" i="3" s="1"/>
  <c r="B28" i="9" s="1"/>
  <c r="R29" i="3"/>
  <c r="K29" i="3" s="1" a="1"/>
  <c r="K29" i="3" s="1"/>
  <c r="R30" i="3"/>
  <c r="K30" i="3" s="1" a="1"/>
  <c r="K30" i="3" s="1"/>
  <c r="R31" i="3"/>
  <c r="K31" i="3" s="1" a="1"/>
  <c r="K31" i="3" s="1"/>
  <c r="R33" i="3"/>
  <c r="K33" i="3" s="1" a="1"/>
  <c r="K33" i="3" s="1"/>
  <c r="R40" i="3"/>
  <c r="B40" i="3" s="1" a="1"/>
  <c r="B40" i="3" s="1"/>
  <c r="B40" i="9" s="1"/>
  <c r="R41" i="3"/>
  <c r="B41" i="3" s="1" a="1"/>
  <c r="B41" i="3" s="1"/>
  <c r="B41" i="9" s="1"/>
  <c r="R43" i="3"/>
  <c r="K43" i="3" s="1" a="1"/>
  <c r="K43" i="3" s="1"/>
  <c r="R34" i="3"/>
  <c r="U34" i="3" s="1" a="1"/>
  <c r="U34" i="3" s="1"/>
  <c r="A34" i="9" s="1"/>
  <c r="R2" i="3"/>
  <c r="U2" i="3" s="1" a="1"/>
  <c r="U2" i="3" s="1"/>
  <c r="A2" i="9" s="1"/>
  <c r="R17" i="3"/>
  <c r="K17" i="3" s="1" a="1"/>
  <c r="K17" i="3" s="1"/>
  <c r="R38" i="3"/>
  <c r="U38" i="3" s="1" a="1"/>
  <c r="U38" i="3" s="1"/>
  <c r="A38" i="9" s="1"/>
  <c r="R22" i="3"/>
  <c r="B22" i="3" s="1" a="1"/>
  <c r="B22" i="3" s="1"/>
  <c r="B22" i="9" s="1"/>
  <c r="R25" i="3"/>
  <c r="U25" i="3" s="1" a="1"/>
  <c r="U25" i="3" s="1"/>
  <c r="A25" i="9" s="1"/>
  <c r="R39" i="3"/>
  <c r="B39" i="3" s="1" a="1"/>
  <c r="B39" i="3" s="1"/>
  <c r="B39" i="9" s="1"/>
  <c r="R5" i="3"/>
  <c r="B5" i="3" s="1" a="1"/>
  <c r="B5" i="3" s="1"/>
  <c r="B5" i="9" s="1"/>
  <c r="R6" i="3"/>
  <c r="B6" i="3" s="1" a="1"/>
  <c r="B6" i="3" s="1"/>
  <c r="B6" i="9" s="1"/>
  <c r="R7" i="3"/>
  <c r="B7" i="3" s="1" a="1"/>
  <c r="B7" i="3" s="1"/>
  <c r="B7" i="9" s="1"/>
  <c r="R10" i="3"/>
  <c r="U10" i="3" s="1" a="1"/>
  <c r="U10" i="3" s="1"/>
  <c r="A10" i="9" s="1"/>
  <c r="R12" i="3"/>
  <c r="B12" i="3" s="1" a="1"/>
  <c r="B12" i="3" s="1"/>
  <c r="B12" i="9" s="1"/>
  <c r="R4" i="3"/>
  <c r="B4" i="3" s="1" a="1"/>
  <c r="B4" i="3" s="1"/>
  <c r="B4" i="9" s="1"/>
  <c r="R9" i="3"/>
  <c r="B9" i="3" s="1" a="1"/>
  <c r="B9" i="3" s="1"/>
  <c r="B9" i="9" s="1"/>
  <c r="R11" i="3"/>
  <c r="B11" i="3" s="1" a="1"/>
  <c r="B11" i="3" s="1"/>
  <c r="B11" i="9" s="1"/>
  <c r="R8" i="3"/>
  <c r="B8" i="3" s="1" a="1"/>
  <c r="B8" i="3" s="1"/>
  <c r="B8" i="9" s="1"/>
  <c r="R35" i="3"/>
  <c r="U35" i="3" s="1" a="1"/>
  <c r="U35" i="3" s="1"/>
  <c r="A35" i="9" s="1"/>
  <c r="R36" i="3"/>
  <c r="U36" i="3" s="1" a="1"/>
  <c r="U36" i="3" s="1"/>
  <c r="A36" i="9" s="1"/>
  <c r="R47" i="3"/>
  <c r="K47" i="3" s="1" a="1"/>
  <c r="K47" i="3" s="1"/>
  <c r="R44" i="3"/>
  <c r="K44" i="3" s="1" a="1"/>
  <c r="K44" i="3" s="1"/>
  <c r="R45" i="3"/>
  <c r="K45" i="3" s="1" a="1"/>
  <c r="K45" i="3" s="1"/>
  <c r="R13" i="3"/>
  <c r="B13" i="3" s="1" a="1"/>
  <c r="B13" i="3" s="1"/>
  <c r="B13" i="9" s="1"/>
  <c r="R14" i="3"/>
  <c r="B14" i="3" s="1" a="1"/>
  <c r="B14" i="3" s="1"/>
  <c r="B14" i="9" s="1"/>
  <c r="R15" i="3"/>
  <c r="K15" i="3" s="1" a="1"/>
  <c r="K15" i="3" s="1"/>
  <c r="R16" i="3"/>
  <c r="K16" i="3" s="1" a="1"/>
  <c r="K16" i="3" s="1"/>
  <c r="R19" i="3"/>
  <c r="B19" i="3" s="1" a="1"/>
  <c r="B19" i="3" s="1"/>
  <c r="B19" i="9" s="1"/>
  <c r="R23" i="3"/>
  <c r="U23" i="3" s="1" a="1"/>
  <c r="U23" i="3" s="1"/>
  <c r="A23" i="9" s="1"/>
  <c r="R24" i="3"/>
  <c r="B24" i="3" s="1" a="1"/>
  <c r="B24" i="3" s="1"/>
  <c r="B24" i="9" s="1"/>
  <c r="R32" i="3"/>
  <c r="K32" i="3" s="1" a="1"/>
  <c r="K32" i="3" s="1"/>
  <c r="R46" i="3"/>
  <c r="K46" i="3" s="1" a="1"/>
  <c r="K46" i="3" s="1"/>
  <c r="R48" i="3"/>
  <c r="K48" i="3" s="1" a="1"/>
  <c r="K48" i="3" s="1"/>
  <c r="R49" i="3"/>
  <c r="B49" i="3" s="1" a="1"/>
  <c r="B49" i="3" s="1"/>
  <c r="B49" i="9" s="1"/>
  <c r="R50" i="3"/>
  <c r="U50" i="3" s="1" a="1"/>
  <c r="U50" i="3" s="1"/>
  <c r="A50" i="9" s="1"/>
  <c r="R3" i="3"/>
  <c r="B3" i="3" s="1" a="1"/>
  <c r="B3" i="3" s="1"/>
  <c r="B3" i="9" s="1"/>
  <c r="K97" i="3" l="1" a="1"/>
  <c r="K97" i="3" s="1"/>
  <c r="B89" i="3" a="1"/>
  <c r="B89" i="3" s="1"/>
  <c r="B89" i="9" s="1"/>
  <c r="K91" i="3" a="1"/>
  <c r="K91" i="3" s="1"/>
  <c r="B84" i="3" a="1"/>
  <c r="B84" i="3" s="1"/>
  <c r="B84" i="9" s="1"/>
  <c r="B81" i="3" a="1"/>
  <c r="B81" i="3" s="1"/>
  <c r="B81" i="9" s="1"/>
  <c r="U91" i="3" a="1"/>
  <c r="U91" i="3" s="1"/>
  <c r="A91" i="9" s="1"/>
  <c r="B86" i="3" a="1"/>
  <c r="B86" i="3" s="1"/>
  <c r="B86" i="9" s="1"/>
  <c r="U100" i="3" a="1"/>
  <c r="U100" i="3" s="1"/>
  <c r="A100" i="9" s="1"/>
  <c r="B102" i="3" a="1"/>
  <c r="B102" i="3" s="1"/>
  <c r="B102" i="9" s="1"/>
  <c r="K86" i="3" a="1"/>
  <c r="K86" i="3" s="1"/>
  <c r="K80" i="3" a="1"/>
  <c r="K80" i="3" s="1"/>
  <c r="B100" i="3" a="1"/>
  <c r="B100" i="3" s="1"/>
  <c r="B100" i="9" s="1"/>
  <c r="B101" i="3" a="1"/>
  <c r="B101" i="3" s="1"/>
  <c r="B101" i="9" s="1"/>
  <c r="B97" i="3" a="1"/>
  <c r="B97" i="3" s="1"/>
  <c r="B97" i="9" s="1"/>
  <c r="U102" i="3" a="1"/>
  <c r="U102" i="3" s="1"/>
  <c r="A102" i="9" s="1"/>
  <c r="B93" i="3" a="1"/>
  <c r="B93" i="3" s="1"/>
  <c r="B93" i="9" s="1"/>
  <c r="B92" i="3" a="1"/>
  <c r="B92" i="3" s="1"/>
  <c r="B92" i="9" s="1"/>
  <c r="U101" i="3" a="1"/>
  <c r="U101" i="3" s="1"/>
  <c r="A101" i="9" s="1"/>
  <c r="U94" i="3" a="1"/>
  <c r="U94" i="3" s="1"/>
  <c r="A94" i="9" s="1"/>
  <c r="U83" i="3" a="1"/>
  <c r="U83" i="3" s="1"/>
  <c r="A83" i="9" s="1"/>
  <c r="K90" i="3" a="1"/>
  <c r="K90" i="3" s="1"/>
  <c r="K106" i="3" a="1"/>
  <c r="K106" i="3" s="1"/>
  <c r="K85" i="3" a="1"/>
  <c r="K85" i="3" s="1"/>
  <c r="B85" i="3" a="1"/>
  <c r="B85" i="3" s="1"/>
  <c r="B85" i="9" s="1"/>
  <c r="K84" i="3" a="1"/>
  <c r="K84" i="3" s="1"/>
  <c r="U88" i="3" a="1"/>
  <c r="U88" i="3" s="1"/>
  <c r="A88" i="9" s="1"/>
  <c r="U99" i="3" a="1"/>
  <c r="U99" i="3" s="1"/>
  <c r="A99" i="9" s="1"/>
  <c r="U87" i="3" a="1"/>
  <c r="U87" i="3" s="1"/>
  <c r="A87" i="9" s="1"/>
  <c r="U98" i="3" a="1"/>
  <c r="U98" i="3" s="1"/>
  <c r="A98" i="9" s="1"/>
  <c r="B87" i="3" a="1"/>
  <c r="B87" i="3" s="1"/>
  <c r="B87" i="9" s="1"/>
  <c r="K79" i="3" a="1"/>
  <c r="K79" i="3" s="1"/>
  <c r="U96" i="3" a="1"/>
  <c r="U96" i="3" s="1"/>
  <c r="A96" i="9" s="1"/>
  <c r="U95" i="3" a="1"/>
  <c r="U95" i="3" s="1"/>
  <c r="A95" i="9" s="1"/>
  <c r="K105" i="3" a="1"/>
  <c r="K105" i="3" s="1"/>
  <c r="U82" i="3" a="1"/>
  <c r="U82" i="3" s="1"/>
  <c r="A82" i="9" s="1"/>
  <c r="B105" i="3" a="1"/>
  <c r="B105" i="3" s="1"/>
  <c r="B105" i="9" s="1"/>
  <c r="U106" i="3" a="1"/>
  <c r="U106" i="3" s="1"/>
  <c r="A106" i="9" s="1"/>
  <c r="U93" i="3" a="1"/>
  <c r="U93" i="3" s="1"/>
  <c r="A93" i="9" s="1"/>
  <c r="U92" i="3" a="1"/>
  <c r="U92" i="3" s="1"/>
  <c r="A92" i="9" s="1"/>
  <c r="U81" i="3" a="1"/>
  <c r="U81" i="3" s="1"/>
  <c r="A81" i="9" s="1"/>
  <c r="B82" i="3" a="1"/>
  <c r="B82" i="3" s="1"/>
  <c r="B82" i="9" s="1"/>
  <c r="B103" i="3" a="1"/>
  <c r="B103" i="3" s="1"/>
  <c r="B103" i="9" s="1"/>
  <c r="K96" i="3" a="1"/>
  <c r="K96" i="3" s="1"/>
  <c r="U80" i="3" a="1"/>
  <c r="U80" i="3" s="1"/>
  <c r="A80" i="9" s="1"/>
  <c r="K95" i="3" a="1"/>
  <c r="K95" i="3" s="1"/>
  <c r="U104" i="3" a="1"/>
  <c r="U104" i="3" s="1"/>
  <c r="A104" i="9" s="1"/>
  <c r="U79" i="3" a="1"/>
  <c r="U79" i="3" s="1"/>
  <c r="A79" i="9" s="1"/>
  <c r="U103" i="3" a="1"/>
  <c r="U103" i="3" s="1"/>
  <c r="A103" i="9" s="1"/>
  <c r="U90" i="3" a="1"/>
  <c r="U90" i="3" s="1"/>
  <c r="A90" i="9" s="1"/>
  <c r="B98" i="3" a="1"/>
  <c r="B98" i="3" s="1"/>
  <c r="B98" i="9" s="1"/>
  <c r="K89" i="3" a="1"/>
  <c r="K89" i="3" s="1"/>
  <c r="B99" i="3" a="1"/>
  <c r="B99" i="3" s="1"/>
  <c r="B99" i="9" s="1"/>
  <c r="B83" i="3" a="1"/>
  <c r="B83" i="3" s="1"/>
  <c r="B83" i="9" s="1"/>
  <c r="K94" i="3" a="1"/>
  <c r="K94" i="3" s="1"/>
  <c r="K104" i="3" a="1"/>
  <c r="K104" i="3" s="1"/>
  <c r="K88" i="3" a="1"/>
  <c r="K88" i="3" s="1"/>
  <c r="B74" i="3" a="1"/>
  <c r="B74" i="3" s="1"/>
  <c r="B78" i="3" a="1"/>
  <c r="B78" i="3" s="1"/>
  <c r="B78" i="9" s="1"/>
  <c r="B72" i="3" a="1"/>
  <c r="B72" i="3" s="1"/>
  <c r="B72" i="9" s="1"/>
  <c r="B76" i="3" a="1"/>
  <c r="B76" i="3" s="1"/>
  <c r="B76" i="9" s="1"/>
  <c r="B75" i="3" a="1"/>
  <c r="B75" i="3" s="1"/>
  <c r="B75" i="9" s="1"/>
  <c r="B77" i="3" a="1"/>
  <c r="B77" i="3" s="1"/>
  <c r="B77" i="9" s="1"/>
  <c r="K77" i="3" a="1"/>
  <c r="K77" i="3" s="1"/>
  <c r="K75" i="3" a="1"/>
  <c r="K75" i="3" s="1"/>
  <c r="K76" i="3" a="1"/>
  <c r="K76" i="3" s="1"/>
  <c r="K78" i="3" a="1"/>
  <c r="K78" i="3" s="1"/>
  <c r="K71" i="3" a="1"/>
  <c r="K71" i="3" s="1"/>
  <c r="K58" i="3" a="1"/>
  <c r="K58" i="3" s="1"/>
  <c r="K52" i="3" a="1"/>
  <c r="K52" i="3" s="1"/>
  <c r="B65" i="3" a="1"/>
  <c r="B65" i="3" s="1"/>
  <c r="B65" i="9" s="1"/>
  <c r="K59" i="3" a="1"/>
  <c r="K59" i="3" s="1"/>
  <c r="B63" i="3" a="1"/>
  <c r="B63" i="3" s="1"/>
  <c r="B63" i="9" s="1"/>
  <c r="B61" i="3" a="1"/>
  <c r="B61" i="3" s="1"/>
  <c r="B61" i="9" s="1"/>
  <c r="B59" i="3" a="1"/>
  <c r="B59" i="3" s="1"/>
  <c r="B58" i="3" a="1"/>
  <c r="B58" i="3" s="1"/>
  <c r="U41" i="3" a="1"/>
  <c r="U41" i="3" s="1"/>
  <c r="A41" i="9" s="1"/>
  <c r="B55" i="3" a="1"/>
  <c r="B55" i="3" s="1"/>
  <c r="B53" i="3" a="1"/>
  <c r="B53" i="3" s="1"/>
  <c r="B52" i="3" a="1"/>
  <c r="B52" i="3" s="1"/>
  <c r="B67" i="3" a="1"/>
  <c r="B67" i="3" s="1"/>
  <c r="B51" i="3" a="1"/>
  <c r="B51" i="3" s="1"/>
  <c r="B50" i="3" a="1"/>
  <c r="B50" i="3" s="1"/>
  <c r="B50" i="9" s="1"/>
  <c r="K55" i="3" a="1"/>
  <c r="K55" i="3" s="1"/>
  <c r="K67" i="3" a="1"/>
  <c r="K67" i="3" s="1"/>
  <c r="K66" i="3" a="1"/>
  <c r="K66" i="3" s="1"/>
  <c r="U37" i="3" a="1"/>
  <c r="U37" i="3" s="1"/>
  <c r="A37" i="9" s="1"/>
  <c r="K72" i="3" a="1"/>
  <c r="K72" i="3" s="1"/>
  <c r="U24" i="3" a="1"/>
  <c r="U24" i="3" s="1"/>
  <c r="A24" i="9" s="1"/>
  <c r="U64" i="3" a="1"/>
  <c r="U64" i="3" s="1"/>
  <c r="A64" i="9" s="1"/>
  <c r="U5" i="3" a="1"/>
  <c r="U5" i="3" s="1"/>
  <c r="A5" i="9" s="1"/>
  <c r="U21" i="3" a="1"/>
  <c r="U21" i="3" s="1"/>
  <c r="A21" i="9" s="1"/>
  <c r="U63" i="3" a="1"/>
  <c r="U63" i="3" s="1"/>
  <c r="A63" i="9" s="1"/>
  <c r="U16" i="3" a="1"/>
  <c r="U16" i="3" s="1"/>
  <c r="A16" i="9" s="1"/>
  <c r="U62" i="3" a="1"/>
  <c r="U62" i="3" s="1"/>
  <c r="A62" i="9" s="1"/>
  <c r="U14" i="3" a="1"/>
  <c r="U14" i="3" s="1"/>
  <c r="A14" i="9" s="1"/>
  <c r="K51" i="3" a="1"/>
  <c r="K51" i="3" s="1"/>
  <c r="U61" i="3" a="1"/>
  <c r="U61" i="3" s="1"/>
  <c r="A61" i="9" s="1"/>
  <c r="U12" i="3" a="1"/>
  <c r="U12" i="3" s="1"/>
  <c r="A12" i="9" s="1"/>
  <c r="U60" i="3" a="1"/>
  <c r="U60" i="3" s="1"/>
  <c r="A60" i="9" s="1"/>
  <c r="U9" i="3" a="1"/>
  <c r="U9" i="3" s="1"/>
  <c r="A9" i="9" s="1"/>
  <c r="K64" i="3" a="1"/>
  <c r="K64" i="3" s="1"/>
  <c r="U74" i="3" a="1"/>
  <c r="U74" i="3" s="1"/>
  <c r="A74" i="9" s="1"/>
  <c r="U49" i="3" a="1"/>
  <c r="U49" i="3" s="1"/>
  <c r="A49" i="9" s="1"/>
  <c r="U8" i="3" a="1"/>
  <c r="U8" i="3" s="1"/>
  <c r="A8" i="9" s="1"/>
  <c r="U73" i="3" a="1"/>
  <c r="U73" i="3" s="1"/>
  <c r="A73" i="9" s="1"/>
  <c r="U44" i="3" a="1"/>
  <c r="U44" i="3" s="1"/>
  <c r="A44" i="9" s="1"/>
  <c r="U57" i="3" a="1"/>
  <c r="U57" i="3" s="1"/>
  <c r="A57" i="9" s="1"/>
  <c r="U43" i="3" a="1"/>
  <c r="U43" i="3" s="1"/>
  <c r="A43" i="9" s="1"/>
  <c r="U71" i="3" a="1"/>
  <c r="U71" i="3" s="1"/>
  <c r="A71" i="9" s="1"/>
  <c r="U56" i="3" a="1"/>
  <c r="U56" i="3" s="1"/>
  <c r="A56" i="9" s="1"/>
  <c r="K69" i="3" a="1"/>
  <c r="K69" i="3" s="1"/>
  <c r="U70" i="3" a="1"/>
  <c r="U70" i="3" s="1"/>
  <c r="A70" i="9" s="1"/>
  <c r="U40" i="3" a="1"/>
  <c r="U40" i="3" s="1"/>
  <c r="A40" i="9" s="1"/>
  <c r="U69" i="3" a="1"/>
  <c r="U69" i="3" s="1"/>
  <c r="A69" i="9" s="1"/>
  <c r="U54" i="3" a="1"/>
  <c r="U54" i="3" s="1"/>
  <c r="A54" i="9" s="1"/>
  <c r="U39" i="3" a="1"/>
  <c r="U39" i="3" s="1"/>
  <c r="A39" i="9" s="1"/>
  <c r="U68" i="3" a="1"/>
  <c r="U68" i="3" s="1"/>
  <c r="A68" i="9" s="1"/>
  <c r="U53" i="3" a="1"/>
  <c r="U53" i="3" s="1"/>
  <c r="A53" i="9" s="1"/>
  <c r="U31" i="3" a="1"/>
  <c r="U31" i="3" s="1"/>
  <c r="A31" i="9" s="1"/>
  <c r="U28" i="3" a="1"/>
  <c r="U28" i="3" s="1"/>
  <c r="A28" i="9" s="1"/>
  <c r="B38" i="3" a="1"/>
  <c r="B38" i="3" s="1"/>
  <c r="B38" i="9" s="1"/>
  <c r="U66" i="3" a="1"/>
  <c r="U66" i="3" s="1"/>
  <c r="A66" i="9" s="1"/>
  <c r="U27" i="3" a="1"/>
  <c r="U27" i="3" s="1"/>
  <c r="A27" i="9" s="1"/>
  <c r="U65" i="3" a="1"/>
  <c r="U65" i="3" s="1"/>
  <c r="A65" i="9" s="1"/>
  <c r="B25" i="3" a="1"/>
  <c r="B25" i="3" s="1"/>
  <c r="B25" i="9" s="1"/>
  <c r="B10" i="3" a="1"/>
  <c r="B10" i="3" s="1"/>
  <c r="B21" i="8" a="1"/>
  <c r="B21" i="8" s="1"/>
  <c r="V21" i="8" s="1"/>
  <c r="B5" i="8" a="1"/>
  <c r="B5" i="8" s="1"/>
  <c r="V5" i="8" s="1"/>
  <c r="K14" i="8" a="1"/>
  <c r="K14" i="8" s="1"/>
  <c r="B23" i="3" a="1"/>
  <c r="B23" i="3" s="1"/>
  <c r="U7" i="3" a="1"/>
  <c r="U7" i="3" s="1"/>
  <c r="A7" i="9" s="1"/>
  <c r="B20" i="8" a="1"/>
  <c r="B20" i="8" s="1"/>
  <c r="V20" i="8" s="1"/>
  <c r="B4" i="8" a="1"/>
  <c r="B4" i="8" s="1"/>
  <c r="V4" i="8" s="1"/>
  <c r="K13" i="8" a="1"/>
  <c r="K13" i="8" s="1"/>
  <c r="U22" i="8" a="1"/>
  <c r="U22" i="8" s="1"/>
  <c r="U6" i="8" a="1"/>
  <c r="U6" i="8" s="1"/>
  <c r="U22" i="3" a="1"/>
  <c r="U22" i="3" s="1"/>
  <c r="A22" i="9" s="1"/>
  <c r="U6" i="3" a="1"/>
  <c r="U6" i="3" s="1"/>
  <c r="A6" i="9" s="1"/>
  <c r="B36" i="3" a="1"/>
  <c r="B36" i="3" s="1"/>
  <c r="U21" i="8" a="1"/>
  <c r="U21" i="8" s="1"/>
  <c r="U5" i="8" a="1"/>
  <c r="U5" i="8" s="1"/>
  <c r="B35" i="3" a="1"/>
  <c r="B35" i="3" s="1"/>
  <c r="B18" i="8" a="1"/>
  <c r="B18" i="8" s="1"/>
  <c r="V18" i="8" s="1"/>
  <c r="K27" i="8" a="1"/>
  <c r="K27" i="8" s="1"/>
  <c r="K11" i="8" a="1"/>
  <c r="K11" i="8" s="1"/>
  <c r="U20" i="8" a="1"/>
  <c r="U20" i="8" s="1"/>
  <c r="U4" i="8" a="1"/>
  <c r="U4" i="8" s="1"/>
  <c r="U20" i="3" a="1"/>
  <c r="U20" i="3" s="1"/>
  <c r="A20" i="9" s="1"/>
  <c r="U4" i="3" a="1"/>
  <c r="U4" i="3" s="1"/>
  <c r="A4" i="9" s="1"/>
  <c r="B17" i="8" a="1"/>
  <c r="B17" i="8" s="1"/>
  <c r="V17" i="8" s="1"/>
  <c r="K26" i="8" a="1"/>
  <c r="K26" i="8" s="1"/>
  <c r="U19" i="3" a="1"/>
  <c r="U19" i="3" s="1"/>
  <c r="A19" i="9" s="1"/>
  <c r="U3" i="3" a="1"/>
  <c r="U3" i="3" s="1"/>
  <c r="A3" i="9" s="1"/>
  <c r="B34" i="3" a="1"/>
  <c r="B34" i="3" s="1"/>
  <c r="U51" i="8" a="1"/>
  <c r="U51" i="8" s="1"/>
  <c r="K10" i="8" a="1"/>
  <c r="K10" i="8" s="1"/>
  <c r="K25" i="8" a="1"/>
  <c r="K25" i="8" s="1"/>
  <c r="K9" i="8" a="1"/>
  <c r="K9" i="8" s="1"/>
  <c r="U18" i="3" a="1"/>
  <c r="U18" i="3" s="1"/>
  <c r="A18" i="9" s="1"/>
  <c r="B48" i="3" a="1"/>
  <c r="B48" i="3" s="1"/>
  <c r="B33" i="3" a="1"/>
  <c r="B33" i="3" s="1"/>
  <c r="U33" i="3" a="1"/>
  <c r="U33" i="3" s="1"/>
  <c r="A33" i="9" s="1"/>
  <c r="U17" i="3" a="1"/>
  <c r="U17" i="3" s="1"/>
  <c r="A17" i="9" s="1"/>
  <c r="B47" i="3" a="1"/>
  <c r="B47" i="3" s="1"/>
  <c r="B32" i="3" a="1"/>
  <c r="B32" i="3" s="1"/>
  <c r="U17" i="8" a="1"/>
  <c r="U17" i="8" s="1"/>
  <c r="B14" i="8" a="1"/>
  <c r="B14" i="8" s="1"/>
  <c r="V14" i="8" s="1"/>
  <c r="B46" i="3" a="1"/>
  <c r="B46" i="3" s="1"/>
  <c r="B31" i="3" a="1"/>
  <c r="B31" i="3" s="1"/>
  <c r="B17" i="3" a="1"/>
  <c r="B17" i="3" s="1"/>
  <c r="U48" i="3" a="1"/>
  <c r="U48" i="3" s="1"/>
  <c r="A48" i="9" s="1"/>
  <c r="U32" i="3" a="1"/>
  <c r="U32" i="3" s="1"/>
  <c r="A32" i="9" s="1"/>
  <c r="U15" i="3" a="1"/>
  <c r="U15" i="3" s="1"/>
  <c r="A15" i="9" s="1"/>
  <c r="B45" i="3" a="1"/>
  <c r="B45" i="3" s="1"/>
  <c r="B30" i="3" a="1"/>
  <c r="B30" i="3" s="1"/>
  <c r="B16" i="3" a="1"/>
  <c r="B16" i="3" s="1"/>
  <c r="U46" i="3" a="1"/>
  <c r="U46" i="3" s="1"/>
  <c r="A46" i="9" s="1"/>
  <c r="U30" i="3" a="1"/>
  <c r="U30" i="3" s="1"/>
  <c r="A30" i="9" s="1"/>
  <c r="B51" i="8" a="1"/>
  <c r="B51" i="8" s="1"/>
  <c r="V51" i="8" s="1"/>
  <c r="B44" i="3" a="1"/>
  <c r="B44" i="3" s="1"/>
  <c r="B29" i="3" a="1"/>
  <c r="B29" i="3" s="1"/>
  <c r="B15" i="3" a="1"/>
  <c r="B15" i="3" s="1"/>
  <c r="B13" i="8" a="1"/>
  <c r="B13" i="8" s="1"/>
  <c r="V13" i="8" s="1"/>
  <c r="U47" i="3" a="1"/>
  <c r="U47" i="3" s="1"/>
  <c r="A47" i="9" s="1"/>
  <c r="U45" i="3" a="1"/>
  <c r="U45" i="3" s="1"/>
  <c r="A45" i="9" s="1"/>
  <c r="U29" i="3" a="1"/>
  <c r="U29" i="3" s="1"/>
  <c r="A29" i="9" s="1"/>
  <c r="U13" i="3" a="1"/>
  <c r="U13" i="3" s="1"/>
  <c r="A13" i="9" s="1"/>
  <c r="K33" i="8" a="1"/>
  <c r="K33" i="8" s="1"/>
  <c r="B45" i="8" a="1"/>
  <c r="B45" i="8" s="1"/>
  <c r="V45" i="8" s="1"/>
  <c r="B43" i="3" a="1"/>
  <c r="B43" i="3" s="1"/>
  <c r="B42" i="3" a="1"/>
  <c r="B42" i="3" s="1"/>
  <c r="U11" i="3" a="1"/>
  <c r="U11" i="3" s="1"/>
  <c r="A11" i="9" s="1"/>
  <c r="U26" i="3" a="1"/>
  <c r="U26" i="3" s="1"/>
  <c r="A26" i="9" s="1"/>
  <c r="K73" i="3" a="1"/>
  <c r="K73" i="3" s="1"/>
  <c r="K60" i="3" a="1"/>
  <c r="K60" i="3" s="1"/>
  <c r="K70" i="3" a="1"/>
  <c r="K70" i="3" s="1"/>
  <c r="K57" i="3" a="1"/>
  <c r="K57" i="3" s="1"/>
  <c r="K68" i="3" a="1"/>
  <c r="K68" i="3" s="1"/>
  <c r="K62" i="3" a="1"/>
  <c r="K62" i="3" s="1"/>
  <c r="K54" i="3" a="1"/>
  <c r="K54" i="3" s="1"/>
  <c r="K56" i="3" a="1"/>
  <c r="K56" i="3" s="1"/>
  <c r="K30" i="8" a="1"/>
  <c r="K30" i="8" s="1"/>
  <c r="U31" i="8" a="1"/>
  <c r="U31" i="8" s="1"/>
  <c r="B39" i="8" a="1"/>
  <c r="B39" i="8" s="1"/>
  <c r="V39" i="8" s="1"/>
  <c r="K46" i="8" a="1"/>
  <c r="K46" i="8" s="1"/>
  <c r="U47" i="8" a="1"/>
  <c r="U47" i="8" s="1"/>
  <c r="B32" i="8" a="1"/>
  <c r="B32" i="8" s="1"/>
  <c r="V32" i="8" s="1"/>
  <c r="K39" i="8" a="1"/>
  <c r="K39" i="8" s="1"/>
  <c r="U40" i="8" a="1"/>
  <c r="U40" i="8" s="1"/>
  <c r="B48" i="8" a="1"/>
  <c r="B48" i="8" s="1"/>
  <c r="V48" i="8" s="1"/>
  <c r="U37" i="8" a="1"/>
  <c r="U37" i="8" s="1"/>
  <c r="K42" i="8" a="1"/>
  <c r="K42" i="8" s="1"/>
  <c r="K29" i="8" a="1"/>
  <c r="K29" i="8" s="1"/>
  <c r="B38" i="8" a="1"/>
  <c r="B38" i="8" s="1"/>
  <c r="V38" i="8" s="1"/>
  <c r="K45" i="8" a="1"/>
  <c r="K45" i="8" s="1"/>
  <c r="K32" i="8" a="1"/>
  <c r="K32" i="8" s="1"/>
  <c r="U33" i="8" a="1"/>
  <c r="U33" i="8" s="1"/>
  <c r="B41" i="8" a="1"/>
  <c r="B41" i="8" s="1"/>
  <c r="V41" i="8" s="1"/>
  <c r="K48" i="8" a="1"/>
  <c r="K48" i="8" s="1"/>
  <c r="U49" i="8" a="1"/>
  <c r="U49" i="8" s="1"/>
  <c r="B31" i="8" a="1"/>
  <c r="B31" i="8" s="1"/>
  <c r="V31" i="8" s="1"/>
  <c r="K38" i="8" a="1"/>
  <c r="K38" i="8" s="1"/>
  <c r="K41" i="8" a="1"/>
  <c r="K41" i="8" s="1"/>
  <c r="B37" i="8" a="1"/>
  <c r="B37" i="8" s="1"/>
  <c r="V37" i="8" s="1"/>
  <c r="B40" i="8" a="1"/>
  <c r="B40" i="8" s="1"/>
  <c r="V40" i="8" s="1"/>
  <c r="K42" i="3" a="1"/>
  <c r="K42" i="3" s="1"/>
  <c r="K28" i="3" a="1"/>
  <c r="K28" i="3" s="1"/>
  <c r="K14" i="3" a="1"/>
  <c r="K14" i="3" s="1"/>
  <c r="K41" i="3" a="1"/>
  <c r="K41" i="3" s="1"/>
  <c r="K27" i="3" a="1"/>
  <c r="K27" i="3" s="1"/>
  <c r="K13" i="3" a="1"/>
  <c r="K13" i="3" s="1"/>
  <c r="K40" i="3" a="1"/>
  <c r="K40" i="3" s="1"/>
  <c r="K12" i="3" a="1"/>
  <c r="K12" i="3" s="1"/>
  <c r="K39" i="3" a="1"/>
  <c r="K39" i="3" s="1"/>
  <c r="K26" i="3" a="1"/>
  <c r="K26" i="3" s="1"/>
  <c r="K11" i="3" a="1"/>
  <c r="K11" i="3" s="1"/>
  <c r="K38" i="3" a="1"/>
  <c r="K38" i="3" s="1"/>
  <c r="K25" i="3" a="1"/>
  <c r="K25" i="3" s="1"/>
  <c r="B2" i="3" a="1"/>
  <c r="B2" i="3" s="1"/>
  <c r="K37" i="3" a="1"/>
  <c r="K37" i="3" s="1"/>
  <c r="K24" i="3" a="1"/>
  <c r="K24" i="3" s="1"/>
  <c r="K10" i="3" a="1"/>
  <c r="K10" i="3" s="1"/>
  <c r="K23" i="3" a="1"/>
  <c r="K23" i="3" s="1"/>
  <c r="K9" i="3" a="1"/>
  <c r="K9" i="3" s="1"/>
  <c r="K2" i="3" a="1"/>
  <c r="K2" i="3" s="1"/>
  <c r="K36" i="3" a="1"/>
  <c r="K36" i="3" s="1"/>
  <c r="K22" i="3" a="1"/>
  <c r="K22" i="3" s="1"/>
  <c r="K8" i="3" a="1"/>
  <c r="K8" i="3" s="1"/>
  <c r="K50" i="3" a="1"/>
  <c r="K50" i="3" s="1"/>
  <c r="K35" i="3" a="1"/>
  <c r="K35" i="3" s="1"/>
  <c r="K21" i="3" a="1"/>
  <c r="K21" i="3" s="1"/>
  <c r="K7" i="3" a="1"/>
  <c r="K7" i="3" s="1"/>
  <c r="K49" i="3" a="1"/>
  <c r="K49" i="3" s="1"/>
  <c r="K20" i="3" a="1"/>
  <c r="K20" i="3" s="1"/>
  <c r="K34" i="3" a="1"/>
  <c r="K34" i="3" s="1"/>
  <c r="K19" i="3" a="1"/>
  <c r="K19" i="3" s="1"/>
  <c r="K5" i="3" a="1"/>
  <c r="K5" i="3" s="1"/>
  <c r="K4" i="3" a="1"/>
  <c r="K4" i="3" s="1"/>
  <c r="K18" i="3" a="1"/>
  <c r="K18" i="3" s="1"/>
  <c r="K3" i="3" a="1"/>
  <c r="K3" i="3" s="1"/>
  <c r="V19" i="8"/>
  <c r="V27" i="8"/>
  <c r="V12" i="8"/>
  <c r="B2" i="8" a="1"/>
  <c r="B2" i="8" s="1"/>
  <c r="V2" i="8" s="1"/>
  <c r="V7" i="8"/>
  <c r="V16" i="8"/>
  <c r="V6" i="8"/>
  <c r="V22" i="8"/>
  <c r="U2" i="8" a="1"/>
  <c r="U2" i="8" s="1"/>
  <c r="V10" i="8"/>
  <c r="V15" i="8"/>
  <c r="V26" i="8"/>
  <c r="V3" i="8"/>
  <c r="V9" i="8"/>
  <c r="V24" i="8"/>
  <c r="V8" i="8"/>
  <c r="V23" i="8"/>
  <c r="V11" i="8"/>
  <c r="V25" i="8"/>
  <c r="I292" i="7"/>
  <c r="I546" i="7"/>
  <c r="I464" i="7"/>
  <c r="I119" i="7"/>
  <c r="I498" i="7"/>
  <c r="I200" i="7"/>
  <c r="I199" i="7"/>
  <c r="I576" i="7"/>
  <c r="I600" i="7"/>
  <c r="I52" i="7"/>
  <c r="I514" i="7"/>
  <c r="I496" i="7"/>
  <c r="I587" i="7"/>
  <c r="I599" i="7"/>
  <c r="I474" i="7"/>
  <c r="I458" i="7"/>
  <c r="I368" i="7"/>
  <c r="I537" i="7"/>
  <c r="I552" i="7"/>
  <c r="I59" i="7"/>
  <c r="I164" i="7"/>
  <c r="I231" i="7"/>
  <c r="I215" i="7"/>
  <c r="I170" i="7"/>
  <c r="I154" i="7"/>
  <c r="I58" i="7"/>
  <c r="I448" i="7"/>
  <c r="I305" i="7"/>
  <c r="I346" i="7"/>
  <c r="I505" i="7"/>
  <c r="I457" i="7"/>
  <c r="I202" i="7"/>
  <c r="I121" i="7"/>
  <c r="I289" i="7"/>
  <c r="I320" i="7"/>
  <c r="I536" i="7"/>
  <c r="I218" i="7"/>
  <c r="I297" i="7"/>
  <c r="I258" i="7"/>
  <c r="I242" i="7"/>
  <c r="I130" i="7"/>
  <c r="I168" i="7"/>
  <c r="I56" i="7"/>
  <c r="I24" i="7"/>
  <c r="I344" i="7"/>
  <c r="I7" i="7"/>
  <c r="I147" i="7"/>
  <c r="I343" i="7"/>
  <c r="I386" i="7"/>
  <c r="I194" i="7"/>
  <c r="I36" i="7"/>
  <c r="I450" i="7"/>
  <c r="I418" i="7"/>
  <c r="I370" i="7"/>
  <c r="I2" i="7"/>
  <c r="I545" i="7"/>
  <c r="I529" i="7"/>
  <c r="I513" i="7"/>
  <c r="I497" i="7"/>
  <c r="I481" i="7"/>
  <c r="I465" i="7"/>
  <c r="I417" i="7"/>
  <c r="I401" i="7"/>
  <c r="I385" i="7"/>
  <c r="I369" i="7"/>
  <c r="I337" i="7"/>
  <c r="I273" i="7"/>
  <c r="I257" i="7"/>
  <c r="I241" i="7"/>
  <c r="I209" i="7"/>
  <c r="I193" i="7"/>
  <c r="I19" i="7"/>
  <c r="I604" i="7"/>
  <c r="I575" i="7"/>
  <c r="I559" i="7"/>
  <c r="I543" i="7"/>
  <c r="I527" i="7"/>
  <c r="I511" i="7"/>
  <c r="I495" i="7"/>
  <c r="I479" i="7"/>
  <c r="I415" i="7"/>
  <c r="I399" i="7"/>
  <c r="I383" i="7"/>
  <c r="I367" i="7"/>
  <c r="I574" i="7"/>
  <c r="I558" i="7"/>
  <c r="I526" i="7"/>
  <c r="I510" i="7"/>
  <c r="I494" i="7"/>
  <c r="I478" i="7"/>
  <c r="I462" i="7"/>
  <c r="I216" i="7"/>
  <c r="I60" i="7"/>
  <c r="I554" i="7"/>
  <c r="I522" i="7"/>
  <c r="I506" i="7"/>
  <c r="I266" i="7"/>
  <c r="I250" i="7"/>
  <c r="I183" i="7"/>
  <c r="I74" i="7"/>
  <c r="I281" i="7"/>
  <c r="I249" i="7"/>
  <c r="I583" i="7"/>
  <c r="I472" i="7"/>
  <c r="I290" i="7"/>
  <c r="I73" i="7"/>
  <c r="I76" i="7"/>
  <c r="I487" i="7"/>
  <c r="I471" i="7"/>
  <c r="I72" i="7"/>
  <c r="I26" i="7"/>
  <c r="I425" i="7"/>
  <c r="I331" i="7"/>
  <c r="I71" i="7"/>
  <c r="I57" i="7"/>
  <c r="I55" i="7"/>
  <c r="I470" i="7"/>
  <c r="I214" i="7"/>
  <c r="I35" i="7"/>
  <c r="I50" i="7"/>
  <c r="I18" i="7"/>
  <c r="I49" i="7"/>
  <c r="I143" i="7"/>
  <c r="I111" i="7"/>
  <c r="I63" i="7"/>
  <c r="I398" i="7"/>
  <c r="I350" i="7"/>
  <c r="I126" i="7"/>
  <c r="I78" i="7"/>
  <c r="I134" i="7"/>
  <c r="I138" i="7"/>
  <c r="I409" i="7"/>
  <c r="I377" i="7"/>
  <c r="I153" i="7"/>
  <c r="I137" i="7"/>
  <c r="I9" i="7"/>
  <c r="I459" i="7"/>
  <c r="I203" i="7"/>
  <c r="I116" i="7"/>
  <c r="I54" i="7"/>
  <c r="I593" i="7"/>
  <c r="I321" i="7"/>
  <c r="I336" i="7"/>
  <c r="I96" i="7"/>
  <c r="I351" i="7"/>
  <c r="I127" i="7"/>
  <c r="I79" i="7"/>
  <c r="I422" i="7"/>
  <c r="I366" i="7"/>
  <c r="I94" i="7"/>
  <c r="I165" i="7"/>
  <c r="I394" i="7"/>
  <c r="I408" i="7"/>
  <c r="I376" i="7"/>
  <c r="I152" i="7"/>
  <c r="I136" i="7"/>
  <c r="I311" i="7"/>
  <c r="I295" i="7"/>
  <c r="I23" i="7"/>
  <c r="I51" i="7"/>
  <c r="I322" i="7"/>
  <c r="I113" i="7"/>
  <c r="I17" i="7"/>
  <c r="I592" i="7"/>
  <c r="I16" i="7"/>
  <c r="I95" i="7"/>
  <c r="I15" i="7"/>
  <c r="I382" i="7"/>
  <c r="I334" i="7"/>
  <c r="I110" i="7"/>
  <c r="I342" i="7"/>
  <c r="I598" i="7"/>
  <c r="I378" i="7"/>
  <c r="I10" i="7"/>
  <c r="I433" i="7"/>
  <c r="I177" i="7"/>
  <c r="I535" i="7"/>
  <c r="I294" i="7"/>
  <c r="I279" i="7"/>
  <c r="I22" i="7"/>
  <c r="I578" i="7"/>
  <c r="I161" i="7"/>
  <c r="I447" i="7"/>
  <c r="I431" i="7"/>
  <c r="I191" i="7"/>
  <c r="I446" i="7"/>
  <c r="I318" i="7"/>
  <c r="I174" i="7"/>
  <c r="I46" i="7"/>
  <c r="I272" i="7"/>
  <c r="I155" i="7"/>
  <c r="I27" i="7"/>
  <c r="I430" i="7"/>
  <c r="I172" i="7"/>
  <c r="I75" i="7"/>
  <c r="I547" i="7"/>
  <c r="I303" i="7"/>
  <c r="I175" i="7"/>
  <c r="I47" i="7"/>
  <c r="I146" i="7"/>
  <c r="I158" i="7"/>
  <c r="I30" i="7"/>
  <c r="I44" i="7"/>
  <c r="I12" i="7"/>
  <c r="I426" i="7"/>
  <c r="I298" i="7"/>
  <c r="I42" i="7"/>
  <c r="I99" i="7"/>
  <c r="I11" i="7"/>
  <c r="I41" i="7"/>
  <c r="I25" i="7"/>
  <c r="I553" i="7"/>
  <c r="I482" i="7"/>
  <c r="I504" i="7"/>
  <c r="I296" i="7"/>
  <c r="I232" i="7"/>
  <c r="I375" i="7"/>
  <c r="I87" i="7"/>
  <c r="I551" i="7"/>
  <c r="I582" i="7"/>
  <c r="I518" i="7"/>
  <c r="I326" i="7"/>
  <c r="I550" i="7"/>
  <c r="I420" i="7"/>
  <c r="I291" i="7"/>
  <c r="I151" i="7"/>
  <c r="I577" i="7"/>
  <c r="I449" i="7"/>
  <c r="I561" i="7"/>
  <c r="I319" i="7"/>
  <c r="I590" i="7"/>
  <c r="I302" i="7"/>
  <c r="I190" i="7"/>
  <c r="I400" i="7"/>
  <c r="I92" i="7"/>
  <c r="I528" i="7"/>
  <c r="I43" i="7"/>
  <c r="I354" i="7"/>
  <c r="I226" i="7"/>
  <c r="I169" i="7"/>
  <c r="I269" i="7"/>
  <c r="I488" i="7"/>
  <c r="I424" i="7"/>
  <c r="I360" i="7"/>
  <c r="I104" i="7"/>
  <c r="I112" i="7"/>
  <c r="I82" i="7"/>
  <c r="I503" i="7"/>
  <c r="I247" i="7"/>
  <c r="I103" i="7"/>
  <c r="I567" i="7"/>
  <c r="I454" i="7"/>
  <c r="I390" i="7"/>
  <c r="I262" i="7"/>
  <c r="I198" i="7"/>
  <c r="I102" i="7"/>
  <c r="I100" i="7"/>
  <c r="I4" i="7"/>
  <c r="I548" i="7"/>
  <c r="I419" i="7"/>
  <c r="I150" i="7"/>
  <c r="I135" i="7"/>
  <c r="I62" i="7"/>
  <c r="I225" i="7"/>
  <c r="I97" i="7"/>
  <c r="I81" i="7"/>
  <c r="I33" i="7"/>
  <c r="I476" i="7"/>
  <c r="I348" i="7"/>
  <c r="I220" i="7"/>
  <c r="I122" i="7"/>
  <c r="I61" i="7"/>
  <c r="I14" i="7"/>
  <c r="I560" i="7"/>
  <c r="I544" i="7"/>
  <c r="I480" i="7"/>
  <c r="I432" i="7"/>
  <c r="I416" i="7"/>
  <c r="I352" i="7"/>
  <c r="I304" i="7"/>
  <c r="I288" i="7"/>
  <c r="I224" i="7"/>
  <c r="I176" i="7"/>
  <c r="I160" i="7"/>
  <c r="I144" i="7"/>
  <c r="I80" i="7"/>
  <c r="I64" i="7"/>
  <c r="I32" i="7"/>
  <c r="I603" i="7"/>
  <c r="I538" i="7"/>
  <c r="I512" i="7"/>
  <c r="I475" i="7"/>
  <c r="I410" i="7"/>
  <c r="I384" i="7"/>
  <c r="I347" i="7"/>
  <c r="I282" i="7"/>
  <c r="I256" i="7"/>
  <c r="I219" i="7"/>
  <c r="I48" i="7"/>
  <c r="I525" i="7"/>
  <c r="I253" i="7"/>
  <c r="I109" i="7"/>
  <c r="I45" i="7"/>
  <c r="I508" i="7"/>
  <c r="I380" i="7"/>
  <c r="I108" i="7"/>
  <c r="I507" i="7"/>
  <c r="I140" i="7"/>
  <c r="I445" i="7"/>
  <c r="I393" i="7"/>
  <c r="I265" i="7"/>
  <c r="I105" i="7"/>
  <c r="I566" i="7"/>
  <c r="I534" i="7"/>
  <c r="I486" i="7"/>
  <c r="I438" i="7"/>
  <c r="I406" i="7"/>
  <c r="I310" i="7"/>
  <c r="I86" i="7"/>
  <c r="I556" i="7"/>
  <c r="I442" i="7"/>
  <c r="I300" i="7"/>
  <c r="I65" i="7"/>
  <c r="I427" i="7"/>
  <c r="I299" i="7"/>
  <c r="I159" i="7"/>
  <c r="I91" i="7"/>
  <c r="I6" i="7"/>
  <c r="I148" i="7"/>
  <c r="I132" i="7"/>
  <c r="I84" i="7"/>
  <c r="I68" i="7"/>
  <c r="I20" i="7"/>
  <c r="I568" i="7"/>
  <c r="I542" i="7"/>
  <c r="I440" i="7"/>
  <c r="I414" i="7"/>
  <c r="I312" i="7"/>
  <c r="I286" i="7"/>
  <c r="I184" i="7"/>
  <c r="I171" i="7"/>
  <c r="I90" i="7"/>
  <c r="I77" i="7"/>
  <c r="I40" i="7"/>
  <c r="I509" i="7"/>
  <c r="I381" i="7"/>
  <c r="I524" i="7"/>
  <c r="I252" i="7"/>
  <c r="I523" i="7"/>
  <c r="I395" i="7"/>
  <c r="I267" i="7"/>
  <c r="I139" i="7"/>
  <c r="I473" i="7"/>
  <c r="I217" i="7"/>
  <c r="I521" i="7"/>
  <c r="I317" i="7"/>
  <c r="I31" i="7"/>
  <c r="I520" i="7"/>
  <c r="I392" i="7"/>
  <c r="I264" i="7"/>
  <c r="I93" i="7"/>
  <c r="I167" i="7"/>
  <c r="I557" i="7"/>
  <c r="I429" i="7"/>
  <c r="I301" i="7"/>
  <c r="I173" i="7"/>
  <c r="I358" i="7"/>
  <c r="I278" i="7"/>
  <c r="I230" i="7"/>
  <c r="I182" i="7"/>
  <c r="I166" i="7"/>
  <c r="I118" i="7"/>
  <c r="I70" i="7"/>
  <c r="I28" i="7"/>
  <c r="I555" i="7"/>
  <c r="I441" i="7"/>
  <c r="I313" i="7"/>
  <c r="I185" i="7"/>
  <c r="I131" i="7"/>
  <c r="I115" i="7"/>
  <c r="I83" i="7"/>
  <c r="I67" i="7"/>
  <c r="I591" i="7"/>
  <c r="I502" i="7"/>
  <c r="I490" i="7"/>
  <c r="I463" i="7"/>
  <c r="I374" i="7"/>
  <c r="I362" i="7"/>
  <c r="I335" i="7"/>
  <c r="I246" i="7"/>
  <c r="I234" i="7"/>
  <c r="I207" i="7"/>
  <c r="I124" i="7"/>
  <c r="I89" i="7"/>
  <c r="I39" i="7"/>
  <c r="I397" i="7"/>
  <c r="I142" i="7"/>
  <c r="I396" i="7"/>
  <c r="I268" i="7"/>
  <c r="I379" i="7"/>
  <c r="I251" i="7"/>
  <c r="I107" i="7"/>
  <c r="I106" i="7"/>
  <c r="I601" i="7"/>
  <c r="I345" i="7"/>
  <c r="I573" i="7"/>
  <c r="I189" i="7"/>
  <c r="I519" i="7"/>
  <c r="I391" i="7"/>
  <c r="I263" i="7"/>
  <c r="I570" i="7"/>
  <c r="I428" i="7"/>
  <c r="I314" i="7"/>
  <c r="I186" i="7"/>
  <c r="I569" i="7"/>
  <c r="I594" i="7"/>
  <c r="I562" i="7"/>
  <c r="I530" i="7"/>
  <c r="I466" i="7"/>
  <c r="I434" i="7"/>
  <c r="I402" i="7"/>
  <c r="I338" i="7"/>
  <c r="I306" i="7"/>
  <c r="I274" i="7"/>
  <c r="I210" i="7"/>
  <c r="I178" i="7"/>
  <c r="I162" i="7"/>
  <c r="I114" i="7"/>
  <c r="I98" i="7"/>
  <c r="I66" i="7"/>
  <c r="I34" i="7"/>
  <c r="I489" i="7"/>
  <c r="I477" i="7"/>
  <c r="I361" i="7"/>
  <c r="I349" i="7"/>
  <c r="I233" i="7"/>
  <c r="I221" i="7"/>
  <c r="I156" i="7"/>
  <c r="I123" i="7"/>
  <c r="I88" i="7"/>
  <c r="I38" i="7"/>
  <c r="I3" i="7"/>
  <c r="I596" i="7"/>
  <c r="I565" i="7"/>
  <c r="I387" i="7"/>
  <c r="I259" i="7"/>
  <c r="I181" i="7"/>
  <c r="I563" i="7"/>
  <c r="I572" i="7"/>
  <c r="I533" i="7"/>
  <c r="I483" i="7"/>
  <c r="I444" i="7"/>
  <c r="I405" i="7"/>
  <c r="I355" i="7"/>
  <c r="I316" i="7"/>
  <c r="I277" i="7"/>
  <c r="I227" i="7"/>
  <c r="I188" i="7"/>
  <c r="I117" i="7"/>
  <c r="I53" i="7"/>
  <c r="I468" i="7"/>
  <c r="I467" i="7"/>
  <c r="I389" i="7"/>
  <c r="I69" i="7"/>
  <c r="I85" i="7"/>
  <c r="I308" i="7"/>
  <c r="I180" i="7"/>
  <c r="I485" i="7"/>
  <c r="I357" i="7"/>
  <c r="I179" i="7"/>
  <c r="I101" i="7"/>
  <c r="I484" i="7"/>
  <c r="I356" i="7"/>
  <c r="I228" i="7"/>
  <c r="I571" i="7"/>
  <c r="I532" i="7"/>
  <c r="I493" i="7"/>
  <c r="I443" i="7"/>
  <c r="I404" i="7"/>
  <c r="I365" i="7"/>
  <c r="I315" i="7"/>
  <c r="I276" i="7"/>
  <c r="I237" i="7"/>
  <c r="I187" i="7"/>
  <c r="I125" i="7"/>
  <c r="I597" i="7"/>
  <c r="I340" i="7"/>
  <c r="I595" i="7"/>
  <c r="I339" i="7"/>
  <c r="I163" i="7"/>
  <c r="I260" i="7"/>
  <c r="I515" i="7"/>
  <c r="I437" i="7"/>
  <c r="I564" i="7"/>
  <c r="I435" i="7"/>
  <c r="I307" i="7"/>
  <c r="I229" i="7"/>
  <c r="I581" i="7"/>
  <c r="I531" i="7"/>
  <c r="I492" i="7"/>
  <c r="I453" i="7"/>
  <c r="I403" i="7"/>
  <c r="I364" i="7"/>
  <c r="I325" i="7"/>
  <c r="I275" i="7"/>
  <c r="I236" i="7"/>
  <c r="I197" i="7"/>
  <c r="I133" i="7"/>
  <c r="I5" i="7"/>
  <c r="I580" i="7"/>
  <c r="I541" i="7"/>
  <c r="I491" i="7"/>
  <c r="I452" i="7"/>
  <c r="I413" i="7"/>
  <c r="I363" i="7"/>
  <c r="I324" i="7"/>
  <c r="I285" i="7"/>
  <c r="I235" i="7"/>
  <c r="I196" i="7"/>
  <c r="I141" i="7"/>
  <c r="I13" i="7"/>
  <c r="I469" i="7"/>
  <c r="I517" i="7"/>
  <c r="I309" i="7"/>
  <c r="I579" i="7"/>
  <c r="I540" i="7"/>
  <c r="I501" i="7"/>
  <c r="I451" i="7"/>
  <c r="I412" i="7"/>
  <c r="I373" i="7"/>
  <c r="I323" i="7"/>
  <c r="I284" i="7"/>
  <c r="I245" i="7"/>
  <c r="I195" i="7"/>
  <c r="I149" i="7"/>
  <c r="I21" i="7"/>
  <c r="I589" i="7"/>
  <c r="I539" i="7"/>
  <c r="I500" i="7"/>
  <c r="I461" i="7"/>
  <c r="I411" i="7"/>
  <c r="I372" i="7"/>
  <c r="I333" i="7"/>
  <c r="I283" i="7"/>
  <c r="I244" i="7"/>
  <c r="I205" i="7"/>
  <c r="I157" i="7"/>
  <c r="I29" i="7"/>
  <c r="I341" i="7"/>
  <c r="I213" i="7"/>
  <c r="I212" i="7"/>
  <c r="I261" i="7"/>
  <c r="I211" i="7"/>
  <c r="I516" i="7"/>
  <c r="I388" i="7"/>
  <c r="I436" i="7"/>
  <c r="I588" i="7"/>
  <c r="I549" i="7"/>
  <c r="I499" i="7"/>
  <c r="I460" i="7"/>
  <c r="I421" i="7"/>
  <c r="I371" i="7"/>
  <c r="I332" i="7"/>
  <c r="I293" i="7"/>
  <c r="I243" i="7"/>
  <c r="I204" i="7"/>
  <c r="I37" i="7"/>
  <c r="B33" i="9" l="1"/>
  <c r="B23" i="9"/>
  <c r="B51" i="9"/>
  <c r="B16" i="9"/>
  <c r="B48" i="9"/>
  <c r="B67" i="9"/>
  <c r="B29" i="9"/>
  <c r="B42" i="9"/>
  <c r="B30" i="9"/>
  <c r="B52" i="9"/>
  <c r="B43" i="9"/>
  <c r="B45" i="9"/>
  <c r="B53" i="9"/>
  <c r="B58" i="9"/>
  <c r="B36" i="9"/>
  <c r="B31" i="9"/>
  <c r="B59" i="9"/>
  <c r="B55" i="9"/>
  <c r="B34" i="9"/>
  <c r="B74" i="9"/>
  <c r="B46" i="9"/>
  <c r="B35" i="9"/>
  <c r="B17" i="9"/>
  <c r="B15" i="9"/>
  <c r="B10" i="9"/>
  <c r="B32" i="9"/>
  <c r="B44" i="9"/>
  <c r="B47" i="9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<sst xmlns="http://schemas.openxmlformats.org/spreadsheetml/2006/main" count="28978" uniqueCount="6215">
  <si>
    <t>id</t>
  </si>
  <si>
    <t>station</t>
  </si>
  <si>
    <t>name</t>
  </si>
  <si>
    <t>type</t>
  </si>
  <si>
    <t>logo</t>
  </si>
  <si>
    <t>genre</t>
  </si>
  <si>
    <t>broadcaster</t>
  </si>
  <si>
    <t>language</t>
  </si>
  <si>
    <t>country</t>
  </si>
  <si>
    <t>region</t>
  </si>
  <si>
    <t>bitrate</t>
  </si>
  <si>
    <t>format</t>
  </si>
  <si>
    <t>geo_fenced</t>
  </si>
  <si>
    <t>home_page</t>
  </si>
  <si>
    <t>reserved2</t>
  </si>
  <si>
    <t>http://edge.clrmedia.co.uk:10000/chiptunes</t>
  </si>
  <si>
    <t>10-fi Radio</t>
  </si>
  <si>
    <t>r</t>
  </si>
  <si>
    <t>local</t>
  </si>
  <si>
    <t>English</t>
  </si>
  <si>
    <t>UK</t>
  </si>
  <si>
    <t>Europe</t>
  </si>
  <si>
    <t>160 stereo</t>
  </si>
  <si>
    <t>MP3</t>
  </si>
  <si>
    <t>No</t>
  </si>
  <si>
    <t>NULL</t>
  </si>
  <si>
    <t>http://stream1.themediasite.co.uk:8020/stream</t>
  </si>
  <si>
    <t>45 Radio</t>
  </si>
  <si>
    <t>128 stereo</t>
  </si>
  <si>
    <t>http://stream.mybroadbandradio.com/80srhythmhq?ref=RF</t>
  </si>
  <si>
    <t>80s Rhythm</t>
  </si>
  <si>
    <t>http://stream3.hippynet.co.uk:8008/stream</t>
  </si>
  <si>
    <t>Abacus Radio</t>
  </si>
  <si>
    <t>http://edge-bauerabsolute-05-gos2.sharp-stream.com/absoluteclassicrock.mp3?aw_0_1st.skey=1664908534&amp;aw_0_1st.playerid=BMUK_RPi</t>
  </si>
  <si>
    <t>Absolute Classic Rock</t>
  </si>
  <si>
    <t>Absolute</t>
  </si>
  <si>
    <t>112 stereo</t>
  </si>
  <si>
    <t>http://edge-bauerabsolute-05-gos2.sharp-stream.com/absoluteradio.mp3?aw_0_1st.skey=1664908534&amp;aw_0_1st.playerid=BMUK_RPi</t>
  </si>
  <si>
    <t>Absolute Radio</t>
  </si>
  <si>
    <t>http://edge-bauerabsolute-05-gos2.sharp-stream.com/absolute60s.mp3?aw_0_1st.skey=1664908534&amp;aw_0_1st.playerid=BMUK_RPi</t>
  </si>
  <si>
    <t>Absolute Radio 60s</t>
  </si>
  <si>
    <t>http://edge-bauerabsolute-05-gos2.sharp-stream.com/absolute70s.mp3?aw_0_1st.skey=1664908534&amp;aw_0_1st.playerid=BMUK_RPi</t>
  </si>
  <si>
    <t>Absolute Radio 70s</t>
  </si>
  <si>
    <t>http://edge-bauerabsolute-05-gos2.sharp-stream.com/absolute80s.mp3?aw_0_1st.skey=1664908534&amp;aw_0_1st.playerid=BMUK_RPi</t>
  </si>
  <si>
    <t>Absolute 80s</t>
  </si>
  <si>
    <t>http://edge-bauerabsolute-05-gos2.sharp-stream.com/absolute90s.mp3?aw_0_1st.skey=1664908534&amp;aw_0_1st.playerid=BMUK_RPi</t>
  </si>
  <si>
    <t>Absolute Radio 90s</t>
  </si>
  <si>
    <t>http://edge-bauerabsolute-05-gos2.sharp-stream.com/absolute00s.mp3?aw_0_1st.skey=1664908534&amp;aw_0_1st.playerid=BMUK_RPi</t>
  </si>
  <si>
    <t>Absolute Radio 00s</t>
  </si>
  <si>
    <t>http://edge-bauerabsolute-05-gos2.sharp-stream.com/absolute10s.mp3?aw_0_1st.skey=1664908534&amp;aw_0_1st.playerid=BMUK_RPi</t>
  </si>
  <si>
    <t>Absolute Radio 10s</t>
  </si>
  <si>
    <t>http://edge-bauerall-01-gos2.sharp-stream.com/countryhits.mp3?aw_0_1st.skey=1664908535</t>
  </si>
  <si>
    <t>Absolute Radio Country</t>
  </si>
  <si>
    <t>http://listen-actualradio.sharp-stream.com/actualradio.mp3?ref=RF</t>
  </si>
  <si>
    <t>Actual Radio</t>
  </si>
  <si>
    <t>http://88.208.244.107:8002/stream</t>
  </si>
  <si>
    <t>Adventist Radio London</t>
  </si>
  <si>
    <t>256 stereo</t>
  </si>
  <si>
    <t>http://s5.radio.co:80/s2e9e33a2d/listen</t>
  </si>
  <si>
    <t>Ambron Radio</t>
  </si>
  <si>
    <t>http://edge.clrmedia.co.uk:10000/angel_lb</t>
  </si>
  <si>
    <t>Angel Radio Portsmouth &amp; Havant</t>
  </si>
  <si>
    <t>48 mono</t>
  </si>
  <si>
    <t>http://edge.clrmedia.co.uk:10000/angel_hb</t>
  </si>
  <si>
    <t>96 mono</t>
  </si>
  <si>
    <t>http://arenaradio.radioca.st:8284/stream</t>
  </si>
  <si>
    <t>Arena Radio</t>
  </si>
  <si>
    <t>http://live.argyllfm.com/stream?ref=RF</t>
  </si>
  <si>
    <t>Argyll FM</t>
  </si>
  <si>
    <t>320 stereo</t>
  </si>
  <si>
    <t>http://streaming.broadcastradio.com:9420/asiansoundradio</t>
  </si>
  <si>
    <t>Asian Sound Radio</t>
  </si>
  <si>
    <t>http://listen-awaite.sharp-stream.com/aspenwaiteprem.mp3?ref=RF</t>
  </si>
  <si>
    <t>Aspen Waite Radio</t>
  </si>
  <si>
    <t>http://38.96.148.140:6150/;</t>
  </si>
  <si>
    <t>Athavan Radio</t>
  </si>
  <si>
    <t>64 stereo</t>
  </si>
  <si>
    <t>http://s1.voscast.com:9038/</t>
  </si>
  <si>
    <t>http://listen-atmosphere.sharp-stream.com/mangovibe.mp3?ref=RF</t>
  </si>
  <si>
    <t>Atmosphere.Radio</t>
  </si>
  <si>
    <t>http://streaming.radio.co:80/s20224a067/listen</t>
  </si>
  <si>
    <t>Bailiwick Radio Classics</t>
  </si>
  <si>
    <t>192 stereo</t>
  </si>
  <si>
    <t>http://streamer.radio.co:80/s5af29b339/listen</t>
  </si>
  <si>
    <t>Bailiwick Radio Hits</t>
  </si>
  <si>
    <t>http://hydra.shoutca.st:8064/stream</t>
  </si>
  <si>
    <t>Bay Trust Radio</t>
  </si>
  <si>
    <t>http://streaming03.zfast.co.uk:8021/stream</t>
  </si>
  <si>
    <t>Bayside Radio</t>
  </si>
  <si>
    <t>http://stream.live.vc.bbcmedia.co.uk/bbc_asian_network?s=1664901437&amp;e=1664915837&amp;h=a53ef4e0d15aa7e8a61fddd45213597e</t>
  </si>
  <si>
    <t>BBC Asian Network</t>
  </si>
  <si>
    <t>BBC Radio</t>
  </si>
  <si>
    <t>http://stream.live.vc.bbcmedia.co.uk/bbc_radio_coventry_warwickshire?s=1664901437&amp;e=1664915837&amp;h=c1ba615c88b6b639671afbc170242660</t>
  </si>
  <si>
    <t>BBC CWR</t>
  </si>
  <si>
    <t>http://stream.live.vc.bbcmedia.co.uk/bbc_radio_essex?s=1664901437&amp;e=1664915837&amp;h=17b5e4100fc10de7e7851a7f6b51d734</t>
  </si>
  <si>
    <t>BBC Essex</t>
  </si>
  <si>
    <t>http://stream.live.vc.bbcmedia.co.uk/bbc_radio_hereford_worcester?s=1664901438&amp;e=1664915838&amp;h=efb248a99bad4eff06e53261ff9e4480</t>
  </si>
  <si>
    <t>BBC Hereford &amp; Worcester</t>
  </si>
  <si>
    <t>http://stream.live.vc.bbcmedia.co.uk/bbc_radio_one?s=1664901245&amp;e=1664915645&amp;h=450a1351b0e1da975b16ef3013dbbb2c</t>
  </si>
  <si>
    <t>BBC Radio 1 England</t>
  </si>
  <si>
    <t>http://stream.live.vc.bbcmedia.co.uk/bbc_1xtra?s=1664901438&amp;e=1664915838&amp;h=db9aa707b531f3b1b4d558ccef39e2cc</t>
  </si>
  <si>
    <t>BBC Radio 1Xtra</t>
  </si>
  <si>
    <t>http://stream.live.vc.bbcmedia.co.uk/bbc_radio_two?s=1664901158&amp;e=1664915558&amp;h=82c32462c8c87476cb3d3a0cc7a09b4e</t>
  </si>
  <si>
    <t>BBC Radio 2</t>
  </si>
  <si>
    <t>http://stream.live.vc.bbcmedia.co.uk/bbc_radio_three?s=1664901438&amp;e=1664915838&amp;h=fe28060ca017d10f35ceb25fb90773f0</t>
  </si>
  <si>
    <t>BBC Radio 3</t>
  </si>
  <si>
    <t>http://stream.live.vc.bbcmedia.co.uk/bbc_radio_fourfm?s=1664901438&amp;e=1664915838&amp;h=9e9d58a9f6009340c14f7acdf59fd7e9</t>
  </si>
  <si>
    <t>BBC Radio 4 DAB</t>
  </si>
  <si>
    <t>http://stream.live.vc.bbcmedia.co.uk/bbc_radio_fourlw?s=1664901439&amp;e=1664915839&amp;h=3533bcd74dcbe5c81e8c40208e169575</t>
  </si>
  <si>
    <t>BBC Radio 4 LW</t>
  </si>
  <si>
    <t>http://stream.live.vc.bbcmedia.co.uk/bbc_radio_four_extra?s=1664901439&amp;e=1664915839&amp;h=dfc164225928a4c113e5f25c58ca1d43</t>
  </si>
  <si>
    <t>BBC Radio 4 Extra</t>
  </si>
  <si>
    <t>http://stream.live.vc.bbcmedia.co.uk/bbc_radio_five_live?s=1664901300&amp;e=1664915700&amp;h=72025eb28004b3b8f34c6e624669b7a0</t>
  </si>
  <si>
    <t>BBC Radio 5 Live</t>
  </si>
  <si>
    <t>http://open.live.bbc.co.uk/mediaselector/5/redir/version/2.0/mediaset/http-icy-mp3-a-stream/proto/http/vpid/bbc_radio_five_live</t>
  </si>
  <si>
    <t>http://stream.live.vc.bbcmedia.co.uk/bbc_radio_five_live_sports_extra?s=1664901336&amp;e=1664915736&amp;h=ec80b52c2fcc726b4248212f2ab0d099</t>
  </si>
  <si>
    <t>BBC Radio 5 Sports Extra</t>
  </si>
  <si>
    <t>http://stream.live.vc.bbcmedia.co.uk/bbc_6music?s=1664901439&amp;e=1664915839&amp;h=0fab58f01f012cb2f47c6bb44be87ebe</t>
  </si>
  <si>
    <t>BBC Radio 6 Music</t>
  </si>
  <si>
    <t>http://stream.live.vc.bbcmedia.co.uk/bbc_radio_berkshire?s=1664901440&amp;e=1664915840&amp;h=22f7c55395e029440cbdffca8dc2d4ca</t>
  </si>
  <si>
    <t>BBC Radio Berkshire</t>
  </si>
  <si>
    <t>http://stream.live.vc.bbcmedia.co.uk/bbc_radio_bristol?s=1664901440&amp;e=1664915840&amp;h=dc10cf49638d429c753288b2203ff89c</t>
  </si>
  <si>
    <t>BBC Radio Bristol</t>
  </si>
  <si>
    <t>http://stream.live.vc.bbcmedia.co.uk/bbc_radio_cambridge?s=1664901440&amp;e=1664915840&amp;h=7237ea9bb0a84feef47868713f060c71</t>
  </si>
  <si>
    <t>BBC Radio Cambridgeshire Cambridge</t>
  </si>
  <si>
    <t>http://stream.live.vc.bbcmedia.co.uk/bbc_radio_cornwall?s=1664901440&amp;e=1664915840&amp;h=1ef1600282c3b7ccd196943729863ecd</t>
  </si>
  <si>
    <t>BBC Radio Cornwall</t>
  </si>
  <si>
    <t>http://stream.live.vc.bbcmedia.co.uk/bbc_radio_cumbria?s=1664901440&amp;e=1664915840&amp;h=222d3268e5bcc18c1f8850ebdb62d299</t>
  </si>
  <si>
    <t>BBC Radio Cumbria FM</t>
  </si>
  <si>
    <t>http://stream.live.vc.bbcmedia.co.uk/bbc_radio_cymru?s=1664901440&amp;e=1664915840&amp;h=d4b4612a037e0585299baf75ee19826a</t>
  </si>
  <si>
    <t>BBC Radio Cymru South Wales</t>
  </si>
  <si>
    <t>http://stream.live.vc.bbcmedia.co.uk/bbc_radio_cymru_2?s=1664901441&amp;e=1664915841&amp;h=bdc7143775ca341a10ccfa38aedd12d6</t>
  </si>
  <si>
    <t>BBC Radio Cymru 2</t>
  </si>
  <si>
    <t>http://stream.live.vc.bbcmedia.co.uk/bbc_radio_derby?s=1664901441&amp;e=1664915841&amp;h=b561906c777b417f33dbea5301083f84</t>
  </si>
  <si>
    <t>BBC Radio Derby FM</t>
  </si>
  <si>
    <t>http://stream.live.vc.bbcmedia.co.uk/bbc_radio_devon?s=1664901441&amp;e=1664915841&amp;h=7f15648e12fbaaa23dc75b9900bbe6fd</t>
  </si>
  <si>
    <t>BBC Radio Devon County</t>
  </si>
  <si>
    <t>http://stream.live.vc.bbcmedia.co.uk/bbc_radio_foyle?s=1664901441&amp;e=1664915841&amp;h=f5751e44a5a3b9194640cd5426cc8211</t>
  </si>
  <si>
    <t>BBC Radio Foyle</t>
  </si>
  <si>
    <t>http://stream.live.vc.bbcmedia.co.uk/bbc_radio_gloucestershire?s=1664901441&amp;e=1664915841&amp;h=6729ec709aff3dff6b6ae17609381573</t>
  </si>
  <si>
    <t>BBC Radio Gloucestershire</t>
  </si>
  <si>
    <t>http://stream.live.vc.bbcmedia.co.uk/bbc_radio_guernsey?s=1664901441&amp;e=1664915841&amp;h=fba7c711dbaf149aea58611c97b37594</t>
  </si>
  <si>
    <t>BBC Radio Guernsey FM</t>
  </si>
  <si>
    <t>http://stream.live.vc.bbcmedia.co.uk/bbc_radio_humberside?s=1664901442&amp;e=1664915842&amp;h=5ffaacabbc443fb2aec1a5b41877232a</t>
  </si>
  <si>
    <t>BBC Radio Humberside FM</t>
  </si>
  <si>
    <t>http://stream.live.vc.bbcmedia.co.uk/bbc_radio_jersey?s=1664901442&amp;e=1664915842&amp;h=f989a07bd69d7d3234c13e0dfe2df6f8</t>
  </si>
  <si>
    <t>BBC Radio Jersey FM</t>
  </si>
  <si>
    <t>http://stream.live.vc.bbcmedia.co.uk/bbc_radio_kent?s=1664901442&amp;e=1664915842&amp;h=2903094c6f601bd53a45d740e231f8c4</t>
  </si>
  <si>
    <t>BBC Radio Kent</t>
  </si>
  <si>
    <t>http://stream.live.vc.bbcmedia.co.uk/bbc_radio_lancashire?s=1664901442&amp;e=1664915842&amp;h=902de8e60ad95ef820d69c92ca361531</t>
  </si>
  <si>
    <t>BBC Radio Lancashire</t>
  </si>
  <si>
    <t>http://stream.live.vc.bbcmedia.co.uk/bbc_radio_leeds?s=1664901442&amp;e=1664915842&amp;h=31ef2b952fd384bff75c6bbd5bc600b0</t>
  </si>
  <si>
    <t>BBC Radio Leeds</t>
  </si>
  <si>
    <t>http://stream.live.vc.bbcmedia.co.uk/bbc_radio_leicester?s=1664901442&amp;e=1664915842&amp;h=6da21dfef88b4d7c1f15a05560b51a37</t>
  </si>
  <si>
    <t>BBC Radio Leicester</t>
  </si>
  <si>
    <t>http://stream.live.vc.bbcmedia.co.uk/bbc_radio_lincolnshire?s=1664901443&amp;e=1664915843&amp;h=75284822a267b617cccb5d637a1e7774</t>
  </si>
  <si>
    <t>BBC Radio Lincolnshire</t>
  </si>
  <si>
    <t>http://stream.live.vc.bbcmedia.co.uk/bbc_london?s=1664901443&amp;e=1664915843&amp;h=34734a812ddcdb56848911044589c323</t>
  </si>
  <si>
    <t>BBC Radio London FM</t>
  </si>
  <si>
    <t>http://stream.live.vc.bbcmedia.co.uk/bbc_radio_manchester?s=1664901443&amp;e=1664915843&amp;h=82625ea848b366e18de2822c159ac630</t>
  </si>
  <si>
    <t>BBC Radio Manchester DAB</t>
  </si>
  <si>
    <t>http://stream.live.vc.bbcmedia.co.uk/bbc_radio_merseyside?s=1664901443&amp;e=1664915843&amp;h=740713af323b139d1d2215ff52e2cf11</t>
  </si>
  <si>
    <t>BBC Radio Merseyside</t>
  </si>
  <si>
    <t>http://stream.live.vc.bbcmedia.co.uk/bbc_radio_nan_gaidheal?s=1664901443&amp;e=1664915843&amp;h=0a78ed5d31f5850b4e771c8b6036ba8d</t>
  </si>
  <si>
    <t>BBC Radio nan GÃ idheal</t>
  </si>
  <si>
    <t>http://stream.live.vc.bbcmedia.co.uk/bbc_radio_newcastle?s=1664901443&amp;e=1664915843&amp;h=6f66754738f8dedee5c519dc8ca297f5</t>
  </si>
  <si>
    <t>BBC Radio Newcastle</t>
  </si>
  <si>
    <t>http://stream.live.vc.bbcmedia.co.uk/bbc_radio_norfolk?s=1664901443&amp;e=1664915843&amp;h=5617a0122b552fd7a72cae74037c949b</t>
  </si>
  <si>
    <t>BBC Radio Norfolk</t>
  </si>
  <si>
    <t>http://stream.live.vc.bbcmedia.co.uk/bbc_radio_northampton?s=1664901444&amp;e=1664915844&amp;h=f80c163ac2cfce2f845b656a547158e5</t>
  </si>
  <si>
    <t>BBC Radio Northampton</t>
  </si>
  <si>
    <t>http://stream.live.vc.bbcmedia.co.uk/bbc_radio_nottingham?s=1664901444&amp;e=1664915844&amp;h=1a686fdc7be09477689e12fea5794202</t>
  </si>
  <si>
    <t>BBC Radio Nottingham</t>
  </si>
  <si>
    <t>http://stream.live.vc.bbcmedia.co.uk/bbc_radio_orkney?s=1664901444&amp;e=1664915844&amp;h=421201ad829dc2a68d5ee5e487ee7f21</t>
  </si>
  <si>
    <t>BBC Radio Orkney</t>
  </si>
  <si>
    <t>http://stream.live.vc.bbcmedia.co.uk/bbc_radio_oxford?s=1664901444&amp;e=1664915844&amp;h=be11dbc4cd641731a0156612be529904</t>
  </si>
  <si>
    <t>BBC Radio Oxford</t>
  </si>
  <si>
    <t>http://stream.live.vc.bbcmedia.co.uk/bbc_radio_scotland_fm?s=1664901444&amp;e=1664915844&amp;h=22fec741be9c5b74e1bc7857242f4eb3</t>
  </si>
  <si>
    <t>BBC Radio Scotland Network FM</t>
  </si>
  <si>
    <t>http://stream.live.vc.bbcmedia.co.uk/bbc_radio_scotland_mw?s=1664901444&amp;e=1664915844&amp;h=c1190f2c54876a82c443edef850582fb</t>
  </si>
  <si>
    <t>BBC Radio Scotland MW</t>
  </si>
  <si>
    <t>http://stream.live.vc.bbcmedia.co.uk/bbc_radio_sheffield?s=1664901445&amp;e=1664915845&amp;h=20fda35aaf2592517e3256516787f778</t>
  </si>
  <si>
    <t>BBC Radio Sheffield</t>
  </si>
  <si>
    <t>http://stream.live.vc.bbcmedia.co.uk/bbc_radio_shetland?ref=RF</t>
  </si>
  <si>
    <t>BBC Radio Shetland</t>
  </si>
  <si>
    <t>http://stream.live.vc.bbcmedia.co.uk/bbc_radio_shropshire?s=1664901445&amp;e=1664915845&amp;h=84c6ce1e0fd994cadff9d919471789bc</t>
  </si>
  <si>
    <t>BBC Radio Shropshire</t>
  </si>
  <si>
    <t>http://stream.live.vc.bbcmedia.co.uk/bbc_radio_solent?s=1664901445&amp;e=1664915845&amp;h=fafec7454cd05c85bd1e1922c5396232</t>
  </si>
  <si>
    <t>BBC Radio Solent South Hampshire Isle of Wight &amp; East Dorset</t>
  </si>
  <si>
    <t>http://stream.live.vc.bbcmedia.co.uk/bbc_radio_solent_west_dorset?s=1664901445&amp;e=1664915845&amp;h=0e610a6143da06c467c5e6e7dc49f17c</t>
  </si>
  <si>
    <t>BBC Radio Solent West Dorset</t>
  </si>
  <si>
    <t>http://stream.live.vc.bbcmedia.co.uk/bbc_radio_somerset_sound?s=1664901445&amp;e=1664915845&amp;h=7783329c97ab77c1c0c96727bdeb2b55</t>
  </si>
  <si>
    <t>BBC Radio Somerset</t>
  </si>
  <si>
    <t>http://stream.live.vc.bbcmedia.co.uk/bbc_radio_stoke?s=1664901446&amp;e=1664915846&amp;h=b2a0a5a09711845529d121dff2458664</t>
  </si>
  <si>
    <t>BBC Radio Stoke</t>
  </si>
  <si>
    <t>http://stream.live.vc.bbcmedia.co.uk/bbc_radio_suffolk?s=1664901446&amp;e=1664915846&amp;h=bc6fe54a11df042b5ac06c3f2ff715b8</t>
  </si>
  <si>
    <t>BBC Radio Suffolk</t>
  </si>
  <si>
    <t>http://stream.live.vc.bbcmedia.co.uk/bbc_radio_surrey?s=1664901446&amp;e=1664915846&amp;h=bb9ffce200a4eddc2daa01ddd0af2d33</t>
  </si>
  <si>
    <t>BBC Radio Surrey</t>
  </si>
  <si>
    <t>http://stream.live.vc.bbcmedia.co.uk/bbc_radio_sussex?s=1664901446&amp;e=1664915846&amp;h=6ea5082366228df7df29c0e4aed8deb4</t>
  </si>
  <si>
    <t>BBC Radio Sussex</t>
  </si>
  <si>
    <t>http://stream.live.vc.bbcmedia.co.uk/bbc_tees?s=1664901446&amp;e=1664915846&amp;h=3bd4337b03155d6b1507e7435f3711e6</t>
  </si>
  <si>
    <t>BBC Radio Tees</t>
  </si>
  <si>
    <t>http://stream.live.vc.bbcmedia.co.uk/bbc_radio_ulster?s=1664901446&amp;e=1664915846&amp;h=5ad531e4fa8ae93daccd80e9c444f3f4</t>
  </si>
  <si>
    <t>BBC Radio Ulster</t>
  </si>
  <si>
    <t>http://stream.live.vc.bbcmedia.co.uk/bbc_radio_wales_fm?s=1664901447&amp;e=1664915847&amp;h=c5c51031435f37728d7a88f2532e5e52</t>
  </si>
  <si>
    <t>BBC Radio Wales Network FM</t>
  </si>
  <si>
    <t>http://stream.live.vc.bbcmedia.co.uk/bbc_radio_wiltshire?s=1664901377&amp;e=1664915777&amp;h=54d6606070d9f81f355a7a4d1872c175</t>
  </si>
  <si>
    <t>BBC Radio Wiltshire County</t>
  </si>
  <si>
    <t>http://stream.live.vc.bbcmedia.co.uk/bbc_wm?s=1664901447&amp;e=1664915847&amp;h=978897210b63cfa53957283c555fb708</t>
  </si>
  <si>
    <t>BBC Radio WM</t>
  </si>
  <si>
    <t>http://stream.live.vc.bbcmedia.co.uk/bbc_radio_york?s=1664901447&amp;e=1664915847&amp;h=bbf1e13565fca01cbbf6f5723508e44c</t>
  </si>
  <si>
    <t>BBC Radio York York</t>
  </si>
  <si>
    <t>http://stream.live.vc.bbcmedia.co.uk/bbc_three_counties_radio?s=1664901447&amp;e=1664915847&amp;h=1fb43bc3da14644259976d44158b3aee</t>
  </si>
  <si>
    <t>BBC Three Counties Radio</t>
  </si>
  <si>
    <t>http://stream.live.vc.bbcmedia.co.uk/bbc_world_service</t>
  </si>
  <si>
    <t>BBC World Service</t>
  </si>
  <si>
    <t>56 stereo</t>
  </si>
  <si>
    <t>http://stream6.hippynet.co.uk:8001/streamLQ</t>
  </si>
  <si>
    <t>Bedford Radio</t>
  </si>
  <si>
    <t>48 stereo</t>
  </si>
  <si>
    <t>http://stream6.hippynet.co.uk:8001/stream</t>
  </si>
  <si>
    <t>http://bewaretheradio.out.airtime.pro:8000/bewaretheradio_b</t>
  </si>
  <si>
    <t>Beware! The Radio</t>
  </si>
  <si>
    <t>http://bewaretheradio.out.airtime.pro:8000/bewaretheradio_a</t>
  </si>
  <si>
    <t>http://stream.beyondradio.co.uk:8000/med</t>
  </si>
  <si>
    <t>Beyond Radio</t>
  </si>
  <si>
    <t>http://edge-audio-02-thn.sharp-stream.com:80/ssvcbfbs11.mp3</t>
  </si>
  <si>
    <t>BFBS Portsmouth</t>
  </si>
  <si>
    <t>BFBS</t>
  </si>
  <si>
    <t>http://edge-audio-02-thn.sharp-stream.com:80/ssvcbfbs1.mp3</t>
  </si>
  <si>
    <t>BFBS UK</t>
  </si>
  <si>
    <t>http://edge-audio-02-thn.sharp-stream.com:80/ssvcbfbs20.mp3</t>
  </si>
  <si>
    <t>BFBS Beats</t>
  </si>
  <si>
    <t>http://edge-audio-02-thn.sharp-stream.com:80/ssvcbfbs24.mp3</t>
  </si>
  <si>
    <t>BFBS Best of British</t>
  </si>
  <si>
    <t>http://edge-audio-02-thn.sharp-stream.com:80/ssvcbfbs22.mp3</t>
  </si>
  <si>
    <t>BFBS Edge</t>
  </si>
  <si>
    <t>http://edge-audio-02-thn.sharp-stream.com:80/ssvcbfbs3.mp3</t>
  </si>
  <si>
    <t>BFBS Gurkha Radio</t>
  </si>
  <si>
    <t>http://edge-audio-02-thn.sharp-stream.com:80/ssvcbfbs21.mp3</t>
  </si>
  <si>
    <t>BFBS Rewind</t>
  </si>
  <si>
    <t>http://listen-boomradio.sharp-stream.com/65_boom_light_128_mp3?ref=RF</t>
  </si>
  <si>
    <t>Boom Light</t>
  </si>
  <si>
    <t>http://listen-boomradio.sharp-stream.com/65_boom_radio_live_128?ref=RF</t>
  </si>
  <si>
    <t>Boom Radio</t>
  </si>
  <si>
    <t>http://stream.audiospace.co:80/bridgefm</t>
  </si>
  <si>
    <t>BRIDGEfm Dundee</t>
  </si>
  <si>
    <t>80 stereo</t>
  </si>
  <si>
    <t>http://listen-nation.sharp-stream.com/tcbridge.mp3?ref=RF</t>
  </si>
  <si>
    <t>Bridge FM Radio Bridgend</t>
  </si>
  <si>
    <t>http://edge-audio-02-thn.sharp-stream.com:80/bridgefmdab.mp3</t>
  </si>
  <si>
    <t>http://stream4.hippynet.co.uk:8008/stream</t>
  </si>
  <si>
    <t>Brooklands Radio</t>
  </si>
  <si>
    <t>http://icecast.thisisdax.com/CapitalCymruMP3</t>
  </si>
  <si>
    <t>Capital Anglesey &amp; Gwynedd</t>
  </si>
  <si>
    <t>Capital</t>
  </si>
  <si>
    <t>http://icecast.thisisdax.com/CapitalLiverpoolMP3</t>
  </si>
  <si>
    <t>Capital Liverpool</t>
  </si>
  <si>
    <t>http://icecast.thisisdax.com/CapitalMP3</t>
  </si>
  <si>
    <t>Capital London</t>
  </si>
  <si>
    <t>http://icecast.thisisdax.com/CapitalBirminghamMP3</t>
  </si>
  <si>
    <t>Capital Midlands Birmingham</t>
  </si>
  <si>
    <t>http://icecast.thisisdax.com/CapitalCoventryMP3</t>
  </si>
  <si>
    <t>Capital Midlands Coventry</t>
  </si>
  <si>
    <t>http://icecast.thisisdax.com/CapitalDerbyshireMP3</t>
  </si>
  <si>
    <t>Capital Midlands Derbyshire</t>
  </si>
  <si>
    <t>http://icecast.thisisdax.com/CapitalLeicestershireMP3</t>
  </si>
  <si>
    <t>Capital Midlands Leicestershire</t>
  </si>
  <si>
    <t>http://icecast.thisisdax.com/CapitalNorthOxfordshireMP3</t>
  </si>
  <si>
    <t>Capital Midlands North Oxfordshire</t>
  </si>
  <si>
    <t>http://icecast.thisisdax.com/CapitalNottinghamshireMP3</t>
  </si>
  <si>
    <t>Capital Midlands Nottinghamshire</t>
  </si>
  <si>
    <t>http://icecast.thisisdax.com/CapitalRugbyMP3</t>
  </si>
  <si>
    <t>Capital Midlands Rugby</t>
  </si>
  <si>
    <t>http://icecast.thisisdax.com/CapitalSouthEastStaffordshireMP3</t>
  </si>
  <si>
    <t>Capital Midlands South East Staffordshire</t>
  </si>
  <si>
    <t>http://icecast.thisisdax.com/CapitalStratfordMP3</t>
  </si>
  <si>
    <t>Capital Midlands Stratford-upon-Avon</t>
  </si>
  <si>
    <t>http://icecast.thisisdax.com/CapitalWarwickMP3</t>
  </si>
  <si>
    <t>Capital Midlands Warwick</t>
  </si>
  <si>
    <t>http://icecast.thisisdax.com/CapitalTeessideMP3</t>
  </si>
  <si>
    <t>Capital North East England Teesside</t>
  </si>
  <si>
    <t>http://icecast.thisisdax.com/CapitalTyneWearMP3</t>
  </si>
  <si>
    <t>Capital North East England Tyne &amp; Wear</t>
  </si>
  <si>
    <t>http://icecast.thisisdax.com/CapitalWalesCoastMP3</t>
  </si>
  <si>
    <t>Capital North West &amp; North Wales North Wales Coast</t>
  </si>
  <si>
    <t>http://icecast.thisisdax.com/CapitalWirralMP3</t>
  </si>
  <si>
    <t>Capital North West &amp; North Wales The Wirral</t>
  </si>
  <si>
    <t>http://icecast.thisisdax.com/CapitalWrexhamMP3</t>
  </si>
  <si>
    <t>Capital North West &amp; North Wales Wrexham &amp; Cheshire</t>
  </si>
  <si>
    <t>http://icecast.thisisdax.com/CapitalBurnleyMP3</t>
  </si>
  <si>
    <t>Capital North West England Burnley &amp; Pendle</t>
  </si>
  <si>
    <t>http://icecast.thisisdax.com/CapitalManchesterMP3</t>
  </si>
  <si>
    <t>Capital North West England Manchester</t>
  </si>
  <si>
    <t>http://icecast.thisisdax.com/CapitalPrestonMP3</t>
  </si>
  <si>
    <t>Capital North West England Preston &amp; Blackburn</t>
  </si>
  <si>
    <t>http://icecast.thisisdax.com/CapitalEdinburghMP3</t>
  </si>
  <si>
    <t>Capital Scotland East</t>
  </si>
  <si>
    <t>http://icecast.thisisdax.com/CapitalGlasgowMP3</t>
  </si>
  <si>
    <t>Capital Scotland West</t>
  </si>
  <si>
    <t>http://icecast.thisisdax.com/CapitalBrightonMP3</t>
  </si>
  <si>
    <t>Capital South Brighton</t>
  </si>
  <si>
    <t>http://icecast.thisisdax.com/CapitalSouthCoastMP3</t>
  </si>
  <si>
    <t>Capital South South Coast</t>
  </si>
  <si>
    <t>http://icecast.thisisdax.com/CapitalSouthWalesMP3</t>
  </si>
  <si>
    <t>Capital South Wales</t>
  </si>
  <si>
    <t>http://icecast.thisisdax.com/CapitalUKMP3</t>
  </si>
  <si>
    <t>Capital UK</t>
  </si>
  <si>
    <t>http://icecast.thisisdax.com/CapitalYorkshireEastMP3</t>
  </si>
  <si>
    <t>Capital Yorkshire East</t>
  </si>
  <si>
    <t>http://icecast.thisisdax.com/CapitalYorkshireSouthWestMP3</t>
  </si>
  <si>
    <t>Capital Yorkshire South &amp; West</t>
  </si>
  <si>
    <t>http://icecast.thisisdax.com/CapitalDanceMP3</t>
  </si>
  <si>
    <t>Capital Dance</t>
  </si>
  <si>
    <t>http://icecast.thisisdax.com/CapitalXTRALondonMP3</t>
  </si>
  <si>
    <t>Capital XTRA London</t>
  </si>
  <si>
    <t>http://icecast.thisisdax.com/CapitalXTRANationalMP3</t>
  </si>
  <si>
    <t>Capital XTRA UK</t>
  </si>
  <si>
    <t>http://icecast.thisisdax.com/CapitalXTRAReloadedMP3</t>
  </si>
  <si>
    <t>Capital XTRA Reloaded</t>
  </si>
  <si>
    <t>http://listen-careradio.sharp-stream.com/120_care_radio_128_mp3?ref=RF</t>
  </si>
  <si>
    <t>Care Radio</t>
  </si>
  <si>
    <t>http://109.123.86.26:8012/stream</t>
  </si>
  <si>
    <t>CDNX</t>
  </si>
  <si>
    <t>http://msmn7.co:8018/stream</t>
  </si>
  <si>
    <t>http://uksouth.streaming.broadcast.radio:15890/central</t>
  </si>
  <si>
    <t>Central Radio Lancashire</t>
  </si>
  <si>
    <t>http://centreforce.streamgb.com:8830/96</t>
  </si>
  <si>
    <t>Centreforce Radio</t>
  </si>
  <si>
    <t>96 stereo</t>
  </si>
  <si>
    <t>http://centreforce.streamgb.com:8830/128</t>
  </si>
  <si>
    <t>http://centreforce.streamgb.com:8830/stream</t>
  </si>
  <si>
    <t>http://edge-bauerall-01-gos2.sharp-stream.com/cfm.mp3?aw_0_1st.skey=1664908558</t>
  </si>
  <si>
    <t>CFM East</t>
  </si>
  <si>
    <t>http://n05a-eu.rcs.revma.com:80/kbxu5chhqd0uv</t>
  </si>
  <si>
    <t>Channel 103</t>
  </si>
  <si>
    <t>http://n05a-eu.rcs.revma.com:80/1b7wddebanzuv</t>
  </si>
  <si>
    <t>http://listen-cheesyfm.sharp-stream.com/cheesyfm.mp3?ref=RF</t>
  </si>
  <si>
    <t>Cheesy FM</t>
  </si>
  <si>
    <t>http://chiefradio.out.airtime.pro:8000/chiefradio_a</t>
  </si>
  <si>
    <t>Chief Radio</t>
  </si>
  <si>
    <t>http://icecast.thisisdax.com/ClassicFMMP3</t>
  </si>
  <si>
    <t>Classic FM UK</t>
  </si>
  <si>
    <t>http://s3.citrus3.com:8320/stream</t>
  </si>
  <si>
    <t>Club Asia</t>
  </si>
  <si>
    <t>http://edge-bauerall-01-gos2.sharp-stream.com/clyde1.mp3?aw_0_1st.skey=1664908559</t>
  </si>
  <si>
    <t>Clyde 1</t>
  </si>
  <si>
    <t>http://edge-bauerall-01-gos2.sharp-stream.com/clyde2.mp3?aw_0_1st.skey=1664908559</t>
  </si>
  <si>
    <t>Clyde 2</t>
  </si>
  <si>
    <t>http://uksouth.streaming.broadcast.radio:16070/coastal</t>
  </si>
  <si>
    <t>Coastal Radio DAB</t>
  </si>
  <si>
    <t>http://streaming.colourfulradio.com:8000/colourful</t>
  </si>
  <si>
    <t>Colourful Radio</t>
  </si>
  <si>
    <t>http://edge-bauerall-01-gos2.sharp-stream.com/coolfm.mp3?aw_0_1st.skey=1664908559</t>
  </si>
  <si>
    <t>Cool FM</t>
  </si>
  <si>
    <t>http://8.38.78.173:8264/stream</t>
  </si>
  <si>
    <t>Cornucopia Broadcasting</t>
  </si>
  <si>
    <t>http://listen.radioking.com/radio/12237/stream/23945?ref=rf</t>
  </si>
  <si>
    <t>Cosoro Radio</t>
  </si>
  <si>
    <t>http://listen-chriscountry.sharp-stream.com/chriscountryi.mp3?ref=RF</t>
  </si>
  <si>
    <t>CountryLine Radio formerly Chris Country</t>
  </si>
  <si>
    <t>http://listen-chriscountry.sharp-stream.com/chriscountry.mp3?ref=RF</t>
  </si>
  <si>
    <t>http://edge-audio-02-thn.sharp-stream.com:80/chriscountrydab.mp3</t>
  </si>
  <si>
    <t>http://s5.radio.co:80/s89dcf578d/listen</t>
  </si>
  <si>
    <t>Dance Revolution</t>
  </si>
  <si>
    <t>http://dab.decadanceradio.net:8000/radio.mp3</t>
  </si>
  <si>
    <t>Decadance</t>
  </si>
  <si>
    <t>http://edge-audio-02-thn.sharp-stream.com:80/tcdeei.mp3</t>
  </si>
  <si>
    <t>Dee Radio</t>
  </si>
  <si>
    <t>http://edge-audio-02-thn.sharp-stream.com:80/tcdee.mp3</t>
  </si>
  <si>
    <t>http://s4.voscast.com:8642/live</t>
  </si>
  <si>
    <t>Delite Radio</t>
  </si>
  <si>
    <t>http://stream.deliteonline.com:48000/live128</t>
  </si>
  <si>
    <t>http://stream.deliteonline.com:48000/live192</t>
  </si>
  <si>
    <t>http://stream.deliteonline.com:48000/live320</t>
  </si>
  <si>
    <t>http://edge-bauerall-01-gos2.sharp-stream.com/downtowncountry.mp3?aw_0_1st.skey=1664908563</t>
  </si>
  <si>
    <t>Downtown Country</t>
  </si>
  <si>
    <t>http://edge-bauerall-01-gos2.sharp-stream.com/downtown.mp3?aw_0_1st.skey=1664908563</t>
  </si>
  <si>
    <t>Downtown Radio</t>
  </si>
  <si>
    <t>http://listen-nation.sharp-stream.com/tcnationdigital.mp3?ref=RF</t>
  </si>
  <si>
    <t>Dragon Radio</t>
  </si>
  <si>
    <t>http://edge-audio-02-thn.sharp-stream.com:80/dragonradio-dab.mp3</t>
  </si>
  <si>
    <t>http://fra-ranger01.dedicateware.com:18010/stream</t>
  </si>
  <si>
    <t>Durham OnAir</t>
  </si>
  <si>
    <t>http://109.169.54.86:8018/live</t>
  </si>
  <si>
    <t>East London Radio</t>
  </si>
  <si>
    <t>http://listen-nation.sharp-stream.com/nationeasyports.mp3?ref=RF</t>
  </si>
  <si>
    <t>Easy Radio South Portsmouth formerly Hits Radio</t>
  </si>
  <si>
    <t>Easy Radio</t>
  </si>
  <si>
    <t>http://listen-nation.sharp-stream.com/nationeasyportsdab.mp3?ref=RF</t>
  </si>
  <si>
    <t>http://listen-nation.sharp-stream.com/nationeasysoton.mp3?ref=RF</t>
  </si>
  <si>
    <t>Easy Radio South Southampton formerly Hits Radio</t>
  </si>
  <si>
    <t>http://listen-nation.sharp-stream.com/nationeasysotondab.mp3?ref=RF</t>
  </si>
  <si>
    <t>http://listen-nation.sharp-stream.com/breezyradiouk.mp3?ref=RF</t>
  </si>
  <si>
    <t>Easy Radio UK formerly Breezy Radio</t>
  </si>
  <si>
    <t>http://listen-nation.sharp-stream.com/breezyradioukdab.mp3?ref=RF</t>
  </si>
  <si>
    <t>http://listen-nation.sharp-stream.com/tcbay.mp3?ref=RF</t>
  </si>
  <si>
    <t>Easy Radio Wales formerly Breezy Radio</t>
  </si>
  <si>
    <t>http://edge-audio-02-thn.sharp-stream.com:80/swanseabay.mp3</t>
  </si>
  <si>
    <t>http://s5.radio.co:80/s813789af2/listen</t>
  </si>
  <si>
    <t>Edge Radio</t>
  </si>
  <si>
    <t>http://eirewave.ice.infomaniak.ch/eirewave-128.mp3?ref=RF</t>
  </si>
  <si>
    <t>Eirewave</t>
  </si>
  <si>
    <t>http://uksouth.streaming.broadcast.radio:15580/energyfm</t>
  </si>
  <si>
    <t>Energy FM</t>
  </si>
  <si>
    <t>http://a11.streamgb.com:8083/stream</t>
  </si>
  <si>
    <t>Eruption Radio</t>
  </si>
  <si>
    <t>http://aries.streaming.zfast.co.uk:8116/stream</t>
  </si>
  <si>
    <t>http://stream1.themediasite.co.uk:8030/stream</t>
  </si>
  <si>
    <t>First Choice Radio</t>
  </si>
  <si>
    <t>http://edge-audio-02-thn.sharp-stream.com:80/fixradio.mp3</t>
  </si>
  <si>
    <t>Fix Radio</t>
  </si>
  <si>
    <t>http://edge-bauerall-01-gos2.sharp-stream.com/forth1.mp3?aw_0_1st.skey=1664908565</t>
  </si>
  <si>
    <t>Forth 1</t>
  </si>
  <si>
    <t>http://edge-bauerall-01-gos2.sharp-stream.com/forth2.mp3?aw_0_1st.skey=1664908565</t>
  </si>
  <si>
    <t>Forth 2</t>
  </si>
  <si>
    <t>http://edge-bauerall-01-gos2.sharp-stream.com/freebirmingham.mp3?aw_0_1st.skey=1664908566</t>
  </si>
  <si>
    <t>Free Radio Birmingham</t>
  </si>
  <si>
    <t>http://edge-bauerall-01-gos2.sharp-stream.com/freeblackcountry.mp3?aw_0_1st.skey=1664908566</t>
  </si>
  <si>
    <t>Free Radio Black Country</t>
  </si>
  <si>
    <t>http://edge-bauerall-01-gos2.sharp-stream.com/freecoventry.mp3?aw_0_1st.skey=1664908566</t>
  </si>
  <si>
    <t>Free Radio Coventry &amp; Warwickshire</t>
  </si>
  <si>
    <t>http://edge-bauerall-01-gos2.sharp-stream.com/freehereford.mp3?aw_0_1st.skey=1664908566</t>
  </si>
  <si>
    <t>Free Radio Herefordshire &amp; Worcestershire Worcestershire</t>
  </si>
  <si>
    <t>http://edge-bauerall-01-gos2.sharp-stream.com/freeshropshire.mp3?aw_0_1st.skey=1664908566</t>
  </si>
  <si>
    <t>Free Radio Shropshire</t>
  </si>
  <si>
    <t>http://listen-funkids.sharp-stream.com/funkids.mp3?ref=RF</t>
  </si>
  <si>
    <t>Fun Kids</t>
  </si>
  <si>
    <t>http://listen-funkids.sharp-stream.com/funkidsjunior.mp3?ref=RF</t>
  </si>
  <si>
    <t>Fun Kids Junior</t>
  </si>
  <si>
    <t>http://n05a-eu.rcs.revma.com:80/pp2cg1z3tm0uv</t>
  </si>
  <si>
    <t>Fun Kids Naps</t>
  </si>
  <si>
    <t>http://n05a-eu.rcs.revma.com:80/6m5ucmz3tm0uv</t>
  </si>
  <si>
    <t>Fun Kids Pop Hits</t>
  </si>
  <si>
    <t>http://listen-gaydio.sharp-stream.com/467_gaydio_birmingham_128_mp3?ref=RF</t>
  </si>
  <si>
    <t>Gaydio Birmingham</t>
  </si>
  <si>
    <t>Gaydio</t>
  </si>
  <si>
    <t>http://listen-gaydio.sharp-stream.com/467_gaydio_birmingham_320_mp3?ref=RF</t>
  </si>
  <si>
    <t>http://listen-gaydio.sharp-stream.com/76_gaydio_scotland_128?ref=RF</t>
  </si>
  <si>
    <t>Gaydio Glasgow</t>
  </si>
  <si>
    <t>http://listen-gaydio.sharp-stream.com/76_gaydio_scotland_320?ref=RF</t>
  </si>
  <si>
    <t>http://listen-gaydio.sharp-stream.com/472_gaydio_london_128_mp3?ref=RF</t>
  </si>
  <si>
    <t>Gaydio London</t>
  </si>
  <si>
    <t>http://listen-gaydio.sharp-stream.com/472_gaydio_london_320_mp3?ref=RF</t>
  </si>
  <si>
    <t>http://listen-gaydio.sharp-stream.com/gaydiouk.mp3?ref=RF</t>
  </si>
  <si>
    <t>Gaydio UK</t>
  </si>
  <si>
    <t>http://listen-gaydio.sharp-stream.com/gaydioukhq.mp3?ref=RF</t>
  </si>
  <si>
    <t>http://listen-gbnews.sharp-stream.com/gbnews.mp3?ref=RF</t>
  </si>
  <si>
    <t>GB News</t>
  </si>
  <si>
    <t>http://edge-bauerall-01-gos2.sharp-stream.com/gem106.mp3?aw_0_1st.skey=1664908568</t>
  </si>
  <si>
    <t>Gem</t>
  </si>
  <si>
    <t>http://stream.getradio.co.uk:80/mp3</t>
  </si>
  <si>
    <t>Get Radio</t>
  </si>
  <si>
    <t>http://s7.yesstreaming.net:8050/stream</t>
  </si>
  <si>
    <t>GlitterBeam</t>
  </si>
  <si>
    <t>http://streaming.broadcastradio.com:8250/goradio</t>
  </si>
  <si>
    <t>GO Radio</t>
  </si>
  <si>
    <t>http://icecast.thisisdax.com/GoldMP3</t>
  </si>
  <si>
    <t>Gold</t>
  </si>
  <si>
    <t>http://listen-gorgeousfm.sharp-stream.com/45_gorgeous_fm_128_mp3?ref=RF</t>
  </si>
  <si>
    <t>Gorgeous</t>
  </si>
  <si>
    <t>http://s6.citrus3.com:8008/stream</t>
  </si>
  <si>
    <t>Great British Radio</t>
  </si>
  <si>
    <t>http://s6.citrus3.com:8010/stream</t>
  </si>
  <si>
    <t>http://s6.citrus3.com:8216/stream</t>
  </si>
  <si>
    <t>http://my.superstreaming.co.uk:8064/gyronline</t>
  </si>
  <si>
    <t>Great Yorkshire Radio</t>
  </si>
  <si>
    <t>http://edge-bauermz-01-gos2.sharp-stream.com/net2essex.mp3?aw_0_1st.skey=1664908569</t>
  </si>
  <si>
    <t>Greatest Hits Radio East Essex</t>
  </si>
  <si>
    <t>Greatest Hits</t>
  </si>
  <si>
    <t>http://edge-bauermz-01-gos2.sharp-stream.com/net2suffolk.mp3?aw_0_1st.skey=1664908569</t>
  </si>
  <si>
    <t>Greatest Hits Radio East Ipswich &amp; Suffolk</t>
  </si>
  <si>
    <t>http://edge-bauermz-01-gos2.sharp-stream.com/net2norfolk.mp3?aw_0_1st.skey=1664908570</t>
  </si>
  <si>
    <t>Greatest Hits Radio East Norfolk &amp; North Suffolk</t>
  </si>
  <si>
    <t>http://edge-bauermz-01-gos2.sharp-stream.com/net2westnorfolk.mp3?aw_0_1st.skey=1664908570</t>
  </si>
  <si>
    <t>Greatest Hits Radio East West Norfolk</t>
  </si>
  <si>
    <t>http://edge-bauermz-01-gos2.sharp-stream.com/net2london.mp3?aw_0_1st.skey=1664908570</t>
  </si>
  <si>
    <t>Greatest Hits Radio London</t>
  </si>
  <si>
    <t>http://edge-bauermz-01-gos2.sharp-stream.com/net2westmidlands.mp3?aw_0_1st.skey=1664908570</t>
  </si>
  <si>
    <t>Greatest Hits Radio Midlands Birmingham &amp; the West Midlands</t>
  </si>
  <si>
    <t>http://edge-bauermz-01-gos2.sharp-stream.com/net2wolverhampton.mp3?aw_0_1st.skey=1664908570</t>
  </si>
  <si>
    <t>Greatest Hits Radio Midlands Black Country &amp; Shropshire Black Country</t>
  </si>
  <si>
    <t>http://edge-bauermz-01-gos2.sharp-stream.com/net2coventry.mp3?aw_0_1st.skey=1664908570</t>
  </si>
  <si>
    <t>Greatest Hits Radio Midlands Coventry &amp; Warwickshire</t>
  </si>
  <si>
    <t>http://edge-bauermz-01-gos2.sharp-stream.com/net2eastmidlands.mp3?aw_0_1st.skey=1664908570</t>
  </si>
  <si>
    <t>Greatest Hits Radio Midlands East Midlands</t>
  </si>
  <si>
    <t>http://edge-bauermz-01-gos2.sharp-stream.com/net2worcester.mp3?aw_0_1st.skey=1664908570</t>
  </si>
  <si>
    <t>Greatest Hits Radio Midlands Herefordshire &amp; Worcestershire</t>
  </si>
  <si>
    <t>http://edge-bauermz-01-gos2.sharp-stream.com/net2derbyshire.mp3?aw_0_1st.skey=1664908571</t>
  </si>
  <si>
    <t>Greatest Hits Radio Midlands South Derbyshire</t>
  </si>
  <si>
    <t>http://edge-bauermz-01-gos2.sharp-stream.com/net2stoke.mp3?aw_0_1st.skey=1664908571</t>
  </si>
  <si>
    <t>Greatest Hits Radio Midlands Staffordshire &amp; Cheshire</t>
  </si>
  <si>
    <t>http://edge-bauermz-01-gos2.sharp-stream.com/net2rutland.mp3?aw_0_1st.skey=1664908571</t>
  </si>
  <si>
    <t>Greatest Hits Radio Midlands Stamford &amp; Rutland</t>
  </si>
  <si>
    <t>http://edge-bauermz-01-gos2.sharp-stream.com/magic1170.mp3?aw_0_1st.skey=1664908571</t>
  </si>
  <si>
    <t>Greatest Hits Radio North East Teesside</t>
  </si>
  <si>
    <t>http://edge-bauermz-01-gos2.sharp-stream.com/magic1152n.mp3?aw_0_1st.skey=1664908571</t>
  </si>
  <si>
    <t>Greatest Hits Radio North East Tyne &amp; Wear</t>
  </si>
  <si>
    <t>http://edge-bauermz-01-gos2.sharp-stream.com/net2cumbria.mp3?aw_0_1st.skey=1664908571</t>
  </si>
  <si>
    <t>Greatest Hits Radio North West Cumbria</t>
  </si>
  <si>
    <t>http://edge-bauermz-01-gos2.sharp-stream.com/magic999.mp3?aw_0_1st.skey=1664908571</t>
  </si>
  <si>
    <t>Greatest Hits Radio North West Lancashire DAB</t>
  </si>
  <si>
    <t>http://edge-bauermz-01-gos2.sharp-stream.com/magic1548.mp3?aw_0_1st.skey=1664908571</t>
  </si>
  <si>
    <t>Greatest Hits Radio North West Liverpool &amp; the North West Liverpool</t>
  </si>
  <si>
    <t>http://edge-bauermz-01-gos2.sharp-stream.com/magic1152m.mp3?aw_0_1st.skey=1664908572</t>
  </si>
  <si>
    <t>Greatest Hits Radio North West Manchester &amp; the North West DAB &amp; Oldham</t>
  </si>
  <si>
    <t>http://edge-bauermz-01-gos2.sharp-stream.com/net2stockport.mp3?aw_0_1st.skey=1664908572</t>
  </si>
  <si>
    <t>Greatest Hits Radio North West South Manchester</t>
  </si>
  <si>
    <t>http://edge-bauermz-01-gos2.sharp-stream.com/net2wigan.mp3?aw_0_1st.skey=1664908572</t>
  </si>
  <si>
    <t>Greatest Hits Radio North West Wigan &amp; St Helens</t>
  </si>
  <si>
    <t>http://edge-bauermz-01-gos2.sharp-stream.com/net2berkshire.mp3?aw_0_1st.skey=1664908572</t>
  </si>
  <si>
    <t>Greatest Hits Radio South Berkshire &amp; North Hampshire</t>
  </si>
  <si>
    <t>http://edge-bauermz-01-gos2.sharp-stream.com/net2bournemouth.mp3?aw_0_1st.skey=1664908572</t>
  </si>
  <si>
    <t>Greatest Hits Radio South Bournemouth &amp; Poole</t>
  </si>
  <si>
    <t>http://edge-bauermz-01-gos2.sharp-stream.com/net2aylesbury.mp3?aw_0_1st.skey=1664908572</t>
  </si>
  <si>
    <t>Greatest Hits Radio South Bucks Beds &amp; Herts</t>
  </si>
  <si>
    <t>http://edge-bauermz-01-gos2.sharp-stream.com/net2dorset.mp3?aw_0_1st.skey=1664908572</t>
  </si>
  <si>
    <t>Greatest Hits Radio South North &amp; West Dorset East</t>
  </si>
  <si>
    <t>http://edge-bauermz-01-gos2.sharp-stream.com/net2salisbury.mp3?aw_0_1st.skey=1664908572</t>
  </si>
  <si>
    <t>Greatest Hits Radio South Salisbury</t>
  </si>
  <si>
    <t>http://edge-bauermz-01-gos2.sharp-stream.com/net2southcoast.mp3?aw_0_1st.skey=1664908572</t>
  </si>
  <si>
    <t>Greatest Hits Radio South South Hampshire &amp; Isle of Wight</t>
  </si>
  <si>
    <t>http://edge-bauermz-01-gos2.sharp-stream.com/net2surrey.mp3?aw_0_1st.skey=1664908573</t>
  </si>
  <si>
    <t>Greatest Hits Radio South Surrey &amp; East Hampshire</t>
  </si>
  <si>
    <t>http://edge-bauermz-01-gos2.sharp-stream.com/net2sussex.mp3?aw_0_1st.skey=1664908573&amp;aw_0_1st.playerid=BMUK_RPi</t>
  </si>
  <si>
    <t>Greatest Hits Radio South West Sussex South</t>
  </si>
  <si>
    <t>http://edge-bauermz-01-gos2.sharp-stream.com/net2southwales.mp3?aw_0_1st.skey=1664908573</t>
  </si>
  <si>
    <t>Greatest Hits Radio South Wales</t>
  </si>
  <si>
    <t>http://edge-bauermz-01-gos2.sharp-stream.com/net2bath.mp3?aw_0_1st.skey=1664908573</t>
  </si>
  <si>
    <t>Greatest Hits Radio South West Bath &amp; the South West</t>
  </si>
  <si>
    <t>http://edge-bauermz-01-gos2.sharp-stream.com/net2bristol.mp3?aw_0_1st.skey=1664908573</t>
  </si>
  <si>
    <t>Greatest Hits Radio South West Bristol &amp; the South West</t>
  </si>
  <si>
    <t>http://edge-bauermz-01-gos2.sharp-stream.com/net2cornwall.mp3?aw_0_1st.skey=1664908573</t>
  </si>
  <si>
    <t>Greatest Hits Radio South West Cornwall</t>
  </si>
  <si>
    <t>http://edge-bauermz-01-gos2.sharp-stream.com/net2devon.mp3?aw_0_1st.skey=1664908573</t>
  </si>
  <si>
    <t>Greatest Hits Radio South West Devon</t>
  </si>
  <si>
    <t>http://edge-bauermz-01-gos2.sharp-stream.com/net2gloucester.mp3?aw_0_1st.skey=1664908573</t>
  </si>
  <si>
    <t>Greatest Hits Radio South West Gloucestershire</t>
  </si>
  <si>
    <t>http://edge-bauermz-01-gos2.sharp-stream.com/net2plymouth.mp3?aw_0_1st.skey=1664908574</t>
  </si>
  <si>
    <t>Greatest Hits Radio South West Plymouth</t>
  </si>
  <si>
    <t>http://edge-bauermz-01-gos2.sharp-stream.com/net2somerset.mp3?aw_0_1st.skey=1664908574</t>
  </si>
  <si>
    <t>Greatest Hits Radio South West Somerset</t>
  </si>
  <si>
    <t>http://edge-bauermz-01-gos2.sharp-stream.com/net2swindon.mp3?aw_0_1st.skey=1664908574</t>
  </si>
  <si>
    <t>Greatest Hits Radio South West Swindon</t>
  </si>
  <si>
    <t>http://edge-bauermz-01-gos2.sharp-stream.com/net2national.mp3?aw_0_1st.skey=1664908574</t>
  </si>
  <si>
    <t>Greatest Hits Radio UK</t>
  </si>
  <si>
    <t>http://edge-bauermz-01-gos2.sharp-stream.com/net2hull.mp3?aw_0_1st.skey=1664908574</t>
  </si>
  <si>
    <t>Greatest Hits Radio Yorkshire East Yorkshire &amp; Northern Lincolnshire</t>
  </si>
  <si>
    <t>http://edge-bauermz-01-gos2.sharp-stream.com/net2grimsby.mp3?aw_0_1st.skey=1664908574</t>
  </si>
  <si>
    <t>Greatest Hits Radio Yorkshire Grimsby</t>
  </si>
  <si>
    <t>http://edge-bauermz-01-gos2.sharp-stream.com/net2harrogate.mp3?aw_0_1st.skey=1664908574</t>
  </si>
  <si>
    <t>Greatest Hits Radio Yorkshire Harrogate &amp; the Yorkshire Dales Harrogate</t>
  </si>
  <si>
    <t>http://edge-bauermz-01-gos2.sharp-stream.com/net2lincoln.mp3?aw_0_1st.skey=1664908574</t>
  </si>
  <si>
    <t>Greatest Hits Radio Yorkshire Lincolnshire</t>
  </si>
  <si>
    <t>http://edge-bauermz-01-gos2.sharp-stream.com/net2chesterfield.mp3?aw_0_1st.skey=1664908574</t>
  </si>
  <si>
    <t>Greatest Hits Radio Yorkshire North Derbyshire</t>
  </si>
  <si>
    <t>http://edge-bauermz-01-gos2.sharp-stream.com/magicam.mp3?aw_0_1st.skey=1664908575</t>
  </si>
  <si>
    <t>Greatest Hits Radio Yorkshire South Yorkshire</t>
  </si>
  <si>
    <t>http://edge-bauermz-01-gos2.sharp-stream.com/magic828.mp3?aw_0_1st.skey=1664908575</t>
  </si>
  <si>
    <t>Greatest Hits Radio Yorkshire West Yorkshire Leeds</t>
  </si>
  <si>
    <t>http://edge-bauermz-01-gos2.sharp-stream.com/net2york.mp3?aw_0_1st.skey=1664908575</t>
  </si>
  <si>
    <t>Greatest Hits Radio Yorkshire York &amp; North Yorkshire York</t>
  </si>
  <si>
    <t>http://edge-bauermz-01-gos2.sharp-stream.com/net2yorkshirecoast.mp3?aw_0_1st.skey=1664908575</t>
  </si>
  <si>
    <t>Greatest Hits Radio Yorkshire Yorkshire Coast Scarborough</t>
  </si>
  <si>
    <t>http://edge-bauerall-01-gos2.sharp-stream.com/hallam.mp3?aw_0_1st.skey=1664908575</t>
  </si>
  <si>
    <t>Hallam FM</t>
  </si>
  <si>
    <t>http://s43.myradiostream.com:22874/;</t>
  </si>
  <si>
    <t>Hamdosana Radio</t>
  </si>
  <si>
    <t>http://15233.live.streamtheworld.com:80/SAM07AAC214_SC</t>
  </si>
  <si>
    <t>http://15233.live.streamtheworld.com:3690/SAM07AAC214_SC</t>
  </si>
  <si>
    <t>http://14843.live.streamtheworld.com:80/SAM07AAC214_SC</t>
  </si>
  <si>
    <t>http://14843.live.streamtheworld.com:3690/SAM07AAC214_SC</t>
  </si>
  <si>
    <t>http://playoutonestreaming.com:8026/stream</t>
  </si>
  <si>
    <t>Happy Radio</t>
  </si>
  <si>
    <t>http://icecast.thisisdax.com/HeartBedfordshireMP3</t>
  </si>
  <si>
    <t>Heart East Bedfordshire</t>
  </si>
  <si>
    <t>Heart</t>
  </si>
  <si>
    <t>http://icecast.thisisdax.com/HeartBedsBucksHertsMP3</t>
  </si>
  <si>
    <t>Heart East Beds Bucks &amp; Herts</t>
  </si>
  <si>
    <t>http://icecast.thisisdax.com/HeartCambridgeMP3</t>
  </si>
  <si>
    <t>Heart East Cambridge &amp; Newmarket</t>
  </si>
  <si>
    <t>http://icecast.thisisdax.com/HeartColchesterMP3</t>
  </si>
  <si>
    <t>Heart East Colchester</t>
  </si>
  <si>
    <t>http://icecast.thisisdax.com/HeartPeterboroughMP3</t>
  </si>
  <si>
    <t>Heart East Greater Peterborough</t>
  </si>
  <si>
    <t>http://icecast.thisisdax.com/HeartHarlowMP3</t>
  </si>
  <si>
    <t>Heart East Harlow</t>
  </si>
  <si>
    <t>http://icecast.thisisdax.com/HeartMiltonKeynesMP3</t>
  </si>
  <si>
    <t>Heart East Milton Keynes</t>
  </si>
  <si>
    <t>http://icecast.thisisdax.com/HeartNorfolkMP3</t>
  </si>
  <si>
    <t>Heart East Norfolk &amp; North Suffolk</t>
  </si>
  <si>
    <t>http://icecast.thisisdax.com/HeartNorthamptonshireMP3</t>
  </si>
  <si>
    <t>Heart East Northamptonshire</t>
  </si>
  <si>
    <t>http://icecast.thisisdax.com/HeartEssexMP3</t>
  </si>
  <si>
    <t>Heart East Southend &amp; Chelmsford</t>
  </si>
  <si>
    <t>http://icecast.thisisdax.com/HeartSuffolkMP3</t>
  </si>
  <si>
    <t>Heart East Suffolk</t>
  </si>
  <si>
    <t>http://icecast.thisisdax.com/HeartHertsNorthMP3</t>
  </si>
  <si>
    <t>Heart Hertfordshire North</t>
  </si>
  <si>
    <t>http://icecast.thisisdax.com/HeartWatfordMP3</t>
  </si>
  <si>
    <t>Heart Hertfordshire Watford &amp; Hemel</t>
  </si>
  <si>
    <t>http://icecast.thisisdax.com/HeartLondonMP3</t>
  </si>
  <si>
    <t>Heart London</t>
  </si>
  <si>
    <t>http://icecast.thisisdax.com/HeartNorthWalesMP3</t>
  </si>
  <si>
    <t>Heart North &amp; Mid Wales</t>
  </si>
  <si>
    <t>http://icecast.thisisdax.com/HeartTeessideMP3</t>
  </si>
  <si>
    <t>Heart North East England Teesside</t>
  </si>
  <si>
    <t>http://icecast.thisisdax.com/HeartTyneWearMP3</t>
  </si>
  <si>
    <t>Heart North East England Tyne &amp; Wear</t>
  </si>
  <si>
    <t>http://icecast.thisisdax.com/HeartNorthLancsCumbriaMP3</t>
  </si>
  <si>
    <t>Heart North West England North Lancashire &amp; Cumbria</t>
  </si>
  <si>
    <t>http://icecast.thisisdax.com/HeartNorthWestMP3</t>
  </si>
  <si>
    <t>Heart North West England North West England</t>
  </si>
  <si>
    <t>http://icecast.thisisdax.com/HeartEdinburghMP3</t>
  </si>
  <si>
    <t>Heart Scotland East</t>
  </si>
  <si>
    <t>http://icecast.thisisdax.com/HeartGlasgowMP3</t>
  </si>
  <si>
    <t>Heart Scotland West</t>
  </si>
  <si>
    <t>http://icecast.thisisdax.com/HeartBerkshireMP3</t>
  </si>
  <si>
    <t>Heart South Berkshire &amp; North Hampshire</t>
  </si>
  <si>
    <t>http://icecast.thisisdax.com/HeartCrawleyMP3</t>
  </si>
  <si>
    <t>Heart South Crawley &amp; Surrey</t>
  </si>
  <si>
    <t>http://icecast.thisisdax.com/HeartDorsetMP3</t>
  </si>
  <si>
    <t>Heart South Dorset &amp; The New Forest</t>
  </si>
  <si>
    <t>http://icecast.thisisdax.com/HeartHampshireMP3</t>
  </si>
  <si>
    <t>Heart South Hampshire &amp; West Sussex</t>
  </si>
  <si>
    <t>http://icecast.thisisdax.com/HeartKentMP3</t>
  </si>
  <si>
    <t>Heart South Kent</t>
  </si>
  <si>
    <t>http://icecast.thisisdax.com/HeartOxfordshireMP3</t>
  </si>
  <si>
    <t>Heart South Oxfordshire</t>
  </si>
  <si>
    <t>http://icecast.thisisdax.com/HeartSussexMP3</t>
  </si>
  <si>
    <t>Heart South Sussex</t>
  </si>
  <si>
    <t>http://icecast.thisisdax.com/HeartSouthWalesMP3</t>
  </si>
  <si>
    <t>Heart South Wales East</t>
  </si>
  <si>
    <t>http://icecast.thisisdax.com/HeartWestWalesMP3</t>
  </si>
  <si>
    <t>Heart South Wales West</t>
  </si>
  <si>
    <t>http://icecast.thisisdax.com/HeartUKMP3</t>
  </si>
  <si>
    <t>Heart UK</t>
  </si>
  <si>
    <t>http://icecast.thisisdax.com/HeartBathMP3</t>
  </si>
  <si>
    <t>Heart West Bath</t>
  </si>
  <si>
    <t>http://icecast.thisisdax.com/HeartBristolMP3</t>
  </si>
  <si>
    <t>Heart West Bristol</t>
  </si>
  <si>
    <t>http://icecast.thisisdax.com/HeartCornwallMP3</t>
  </si>
  <si>
    <t>Heart West Cornwall</t>
  </si>
  <si>
    <t>http://icecast.thisisdax.com/HeartEastDevonMP3</t>
  </si>
  <si>
    <t>Heart West Exeter &amp; East Devon</t>
  </si>
  <si>
    <t>http://icecast.thisisdax.com/HeartGloucestershireMP3</t>
  </si>
  <si>
    <t>Heart West Gloucestershire</t>
  </si>
  <si>
    <t>http://icecast.thisisdax.com/HeartNorthDevonMP3</t>
  </si>
  <si>
    <t>Heart West North Devon</t>
  </si>
  <si>
    <t>http://icecast.thisisdax.com/HeartPlymouthMP3</t>
  </si>
  <si>
    <t>Heart West Plymouth</t>
  </si>
  <si>
    <t>http://icecast.thisisdax.com/HeartSomersetMP3</t>
  </si>
  <si>
    <t>Heart West Somerset</t>
  </si>
  <si>
    <t>http://icecast.thisisdax.com/HeartSouthHamsMP3</t>
  </si>
  <si>
    <t>Heart West South Hams</t>
  </si>
  <si>
    <t>http://icecast.thisisdax.com/HeartTorbayMP3</t>
  </si>
  <si>
    <t>Heart West Torbay</t>
  </si>
  <si>
    <t>http://icecast.thisisdax.com/HeartWiltshireMP3</t>
  </si>
  <si>
    <t>Heart West Wiltshire</t>
  </si>
  <si>
    <t>http://icecast.thisisdax.com/HeartWestMidsMP3</t>
  </si>
  <si>
    <t>Heart West Midlands</t>
  </si>
  <si>
    <t>http://icecast.thisisdax.com/HeartYorkshireMP3</t>
  </si>
  <si>
    <t>Heart Yorkshire</t>
  </si>
  <si>
    <t>http://icecast.thisisdax.com/Heart70sMP3</t>
  </si>
  <si>
    <t>Heart 70s</t>
  </si>
  <si>
    <t>http://icecast.thisisdax.com/Heart80sMP3</t>
  </si>
  <si>
    <t>Heart 80s</t>
  </si>
  <si>
    <t>http://icecast.thisisdax.com/Heart90sMP3</t>
  </si>
  <si>
    <t>Heart 90s</t>
  </si>
  <si>
    <t>http://icecast.thisisdax.com/Heart00sMP3</t>
  </si>
  <si>
    <t>Heart 00s</t>
  </si>
  <si>
    <t>http://icecast.thisisdax.com/HeartDanceMP3</t>
  </si>
  <si>
    <t>Heart Dance</t>
  </si>
  <si>
    <t>http://icecast.thisisdax.com/HeartXmasMP3</t>
  </si>
  <si>
    <t>Heart Xmas</t>
  </si>
  <si>
    <t>http://streaming.broadcastradio.com:8610/heartland</t>
  </si>
  <si>
    <t>Heartland FM</t>
  </si>
  <si>
    <t>http://streamer.radio.co:80/sa0f1967d5/listen</t>
  </si>
  <si>
    <t>HeartSong Live</t>
  </si>
  <si>
    <t>http://edge-bauerall-01-gos2.sharp-stream.com/heat.mp3?aw_0_1st.skey=1664908580</t>
  </si>
  <si>
    <t>heat Radio</t>
  </si>
  <si>
    <t>http://149.255.59.3:8158/stream</t>
  </si>
  <si>
    <t>Hit Music Radio</t>
  </si>
  <si>
    <t>http://edge-bauermz-01-gos2.sharp-stream.com/net1bristol.mp3?aw_0_1st.skey=1664908580</t>
  </si>
  <si>
    <t>Hits Radio Bristol &amp; the South West</t>
  </si>
  <si>
    <t>Hits</t>
  </si>
  <si>
    <t>http://edge-bauermz-01-gos2.sharp-stream.com/net1london.mp3?aw_0_1st.skey=1664908580</t>
  </si>
  <si>
    <t>Hits Radio London</t>
  </si>
  <si>
    <t>http://edge-bauerall-01-gos2.sharp-stream.com/key.mp3?aw_0_1st.skey=1664908580</t>
  </si>
  <si>
    <t>Hits Radio Manchester</t>
  </si>
  <si>
    <t>http://edge-bauermz-01-gos2.sharp-stream.com/net1northyorkshire.mp3?aw_0_1st.skey=1664908581</t>
  </si>
  <si>
    <t>Hits Radio North Yorkshire</t>
  </si>
  <si>
    <t>http://edge-bauermz-01-gos2.sharp-stream.com/net1bournemouth.mp3?aw_0_1st.skey=1664908581</t>
  </si>
  <si>
    <t>Hits Radio South Bournemouth &amp; Poole</t>
  </si>
  <si>
    <t>http://edge-bauermz-01-gos2.sharp-stream.com/net1southcoast.mp3?aw_0_1st.skey=1664908581</t>
  </si>
  <si>
    <t>Hits Radio South South Hampshire &amp; Isle of Wight</t>
  </si>
  <si>
    <t>http://edge-bauermz-01-gos2.sharp-stream.com/net1suffolk.mp3?aw_0_1st.skey=1664908581</t>
  </si>
  <si>
    <t>Hits Radio Suffolk CEASED</t>
  </si>
  <si>
    <t>http://edge-bauerall-01-gos2.sharp-stream.com/hits.mp3?aw_0_1st.skey=1664908581</t>
  </si>
  <si>
    <t>Hits Radio UK</t>
  </si>
  <si>
    <t>http://edge-bauerall-01-gos2.sharp-stream.com/hitsradiopride.mp3?aw_0_1st.skey=1664908581&amp;aw_0_1st.playerid=BMUK_RPi</t>
  </si>
  <si>
    <t>Hits Radio Pride</t>
  </si>
  <si>
    <t>http://radio2.hopefm.org.uk:12364/live-stream128</t>
  </si>
  <si>
    <t>Hope FM UK</t>
  </si>
  <si>
    <t>http://hotgold.tune-in.co.uk:8000/stream</t>
  </si>
  <si>
    <t>Hot Gold Dorset</t>
  </si>
  <si>
    <t>http://stream1.tune-in.co.uk:7002/stream</t>
  </si>
  <si>
    <t>Hot Radio Dorset</t>
  </si>
  <si>
    <t>http://hot-wilts.tune-in.co.uk:8000/stream</t>
  </si>
  <si>
    <t>Hot Radio Wiltshire</t>
  </si>
  <si>
    <t>http://listen.housepartyradio.net/stream_mp3?type=.mp3&amp;csl=3&amp;lrl=false&amp;sh=true&amp;ssr=false&amp;sfr=true&amp;slc=true&amp;spl=m3u&amp;from=radiofeeds</t>
  </si>
  <si>
    <t>House Party Radio</t>
  </si>
  <si>
    <t>http://curtis.hubradio.co.uk:8080/hub-hq.mp3</t>
  </si>
  <si>
    <t>Hub Radio</t>
  </si>
  <si>
    <t>http://idr-nlb-400b0b217a490f14.elb.eu-west-1.amazonaws.com:8001/in_demand_radio</t>
  </si>
  <si>
    <t>In Demand Radio</t>
  </si>
  <si>
    <t>http://n05a-eu.rcs.revma.com:80/epatpyebanzuv</t>
  </si>
  <si>
    <t>Island FM</t>
  </si>
  <si>
    <t>http://s2.xrad.io:8198/stream</t>
  </si>
  <si>
    <t>Isle of Wight Radio</t>
  </si>
  <si>
    <t>http://www.hebrides.tv:8000/islesfm</t>
  </si>
  <si>
    <t>Isles FM</t>
  </si>
  <si>
    <t>http://listen-jackmedia.sharp-stream.com/390_jack_fm_128_mp3?ref=RF</t>
  </si>
  <si>
    <t>JACK fm</t>
  </si>
  <si>
    <t>Jack</t>
  </si>
  <si>
    <t>http://listen-jackmedia.sharp-stream.com/390_jack_fm_320_mp3?ref=RF</t>
  </si>
  <si>
    <t>http://listen-jackmedia.sharp-stream.com/390_jack_2_128_mp3?ref=RF</t>
  </si>
  <si>
    <t>JACK 2 Hits</t>
  </si>
  <si>
    <t>http://listen-jackmedia.sharp-stream.com/390_jack_2_320_mp3?ref=RF</t>
  </si>
  <si>
    <t>http://listen-jackmedia.sharp-stream.com/390_jack_3_128_mp3?ref=RF</t>
  </si>
  <si>
    <t>JACK 3 &amp; Chill</t>
  </si>
  <si>
    <t>http://listen-jackmedia.sharp-stream.com/390_jack_3_320_mp3?ref=RF</t>
  </si>
  <si>
    <t>http://radio.canstream.co.uk:8129/live.mp3</t>
  </si>
  <si>
    <t>Jambo! Radio</t>
  </si>
  <si>
    <t>http://edge-bauerall-01-gos2.sharp-stream.com/jazz.mp3?aw_0_1st.skey=1664908584</t>
  </si>
  <si>
    <t>Jazz FM</t>
  </si>
  <si>
    <t>http://uksouth.streaming.broadcast.radio:16020/jeodabstream</t>
  </si>
  <si>
    <t>Jeo Radio formerly Asian FX</t>
  </si>
  <si>
    <t>http://edge-bauerall-01-gos2.sharp-stream.com/kerrang.mp3?aw_0_1st.skey=1664908586</t>
  </si>
  <si>
    <t>Kerrang! Radio</t>
  </si>
  <si>
    <t>http://listen-kingdomfm.sharp-stream.com/kingdomfm.mp3?ref=RF</t>
  </si>
  <si>
    <t>Kingdom FM</t>
  </si>
  <si>
    <t>http://listen-kingdomfm.sharp-stream.com/kingdomdab.mp3?ref=RF</t>
  </si>
  <si>
    <t>http://live-kiss.sharp-stream.com/kiss100.mp3?aw_0_1st.skey=1664908587</t>
  </si>
  <si>
    <t>KISS London</t>
  </si>
  <si>
    <t>http://live-kiss.sharp-stream.com/kissnational.mp3?aw_0_1st.skey=1664908587</t>
  </si>
  <si>
    <t>KISS UK</t>
  </si>
  <si>
    <t>http://edge-bauerall-01-gos2.sharp-stream.com/kissfresh.mp3?aw_0_1st.skey=1664908587</t>
  </si>
  <si>
    <t>KISS FRESH</t>
  </si>
  <si>
    <t>http://edge-bauerall-01-gos2.sharp-stream.com/kisstory.mp3?aw_0_1st.skey=1664908587</t>
  </si>
  <si>
    <t>KISSTORY</t>
  </si>
  <si>
    <t>http://listen-kmfm.sharp-stream.com/kmfmashford.mp3?ref=RF</t>
  </si>
  <si>
    <t>kmfm Ashford</t>
  </si>
  <si>
    <t>http://listen-kmfm.sharp-stream.com/kmfmcanterbury.mp3?ref=RF</t>
  </si>
  <si>
    <t>kmfm Canterbury Whitstable &amp; Herne Bay</t>
  </si>
  <si>
    <t>http://listen-kmfm.sharp-stream.com/kmfmmaidstone.mp3?ref=RF</t>
  </si>
  <si>
    <t>kmfm Maidstone</t>
  </si>
  <si>
    <t>http://listen-kmfm.sharp-stream.com/kmfmmedway.mp3?ref=RF</t>
  </si>
  <si>
    <t>kmfm Medway</t>
  </si>
  <si>
    <t>http://listen-kmfm.sharp-stream.com/kmfmdoverfolkestone.mp3?ref=RF</t>
  </si>
  <si>
    <t>kmfm Shepway &amp; White Cliffs Country</t>
  </si>
  <si>
    <t>http://listen-kmfm.sharp-stream.com/kmfmthanet.mp3?ref=RF</t>
  </si>
  <si>
    <t>kmfm Thanet</t>
  </si>
  <si>
    <t>http://listen-kmfm.sharp-stream.com/kmfmwestkent.mp3?ref=RF</t>
  </si>
  <si>
    <t>kmfm West Kent</t>
  </si>
  <si>
    <t>http://icecast.thisisdax.com/LBCLondonMP3Low</t>
  </si>
  <si>
    <t>LBC London</t>
  </si>
  <si>
    <t>Global, LBC</t>
  </si>
  <si>
    <t>http://icecast.thisisdax.com/LBCUKMP3Low</t>
  </si>
  <si>
    <t>LBC UK</t>
  </si>
  <si>
    <t>http://icecast.thisisdax.com/LBCNewsLondonMP3</t>
  </si>
  <si>
    <t>LBC News London</t>
  </si>
  <si>
    <t>http://icecast.thisisdax.com/LBCNewsUKMP3</t>
  </si>
  <si>
    <t>LBC News UK</t>
  </si>
  <si>
    <t>http://live3.istoikona.net:8203/stream</t>
  </si>
  <si>
    <t>LGR London Greek Radio</t>
  </si>
  <si>
    <t>http://liferadiostream.uk:8062/stream</t>
  </si>
  <si>
    <t>Life Radio UK</t>
  </si>
  <si>
    <t>http://centauri.shoutca.st:8290/live</t>
  </si>
  <si>
    <t>http://likeradiostream.com:8080/likeoneuk?ref=RF</t>
  </si>
  <si>
    <t>Like ONE formerly Like Radio</t>
  </si>
  <si>
    <t>http://likeradiostream.com:8080/likepop?ref=RF</t>
  </si>
  <si>
    <t>Like POP formerly POP DAB</t>
  </si>
  <si>
    <t>http://likeradiostream.com:8080/likeretro?ref=RF</t>
  </si>
  <si>
    <t>Like RETRO</t>
  </si>
  <si>
    <t>http://edge-bauermz-01-gos2.sharp-stream.com/net1lincoln.mp3?aw_0_1st.skey=1664908589</t>
  </si>
  <si>
    <t>Lincs FM</t>
  </si>
  <si>
    <t>http://ais-sa2.cdnstream1.com/2382_128.mp3?ref=RF</t>
  </si>
  <si>
    <t>Lite RADIO</t>
  </si>
  <si>
    <t>http://playoutonestreaming.com:8048/stream</t>
  </si>
  <si>
    <t>Liverpool Live Radio</t>
  </si>
  <si>
    <t>http://playoutonestreaming.com:8086/stream</t>
  </si>
  <si>
    <t>Lomond Radio</t>
  </si>
  <si>
    <t>http://london.meway.host/live?ref=RF</t>
  </si>
  <si>
    <t>London ONE radio</t>
  </si>
  <si>
    <t>http://playoutonestreaming.com:8062/mp3</t>
  </si>
  <si>
    <t>Love 80s Liverpool</t>
  </si>
  <si>
    <t>http://stream1.themediasite.co.uk:8038/stream</t>
  </si>
  <si>
    <t>Love 80s Manchester</t>
  </si>
  <si>
    <t>http://listen-lycaradio.sharp-stream.com/1035.mp3?ref=RF</t>
  </si>
  <si>
    <t>Lyca Gold</t>
  </si>
  <si>
    <t>http://listen-lycaradio.sharp-stream.com/1458.mp3?ref=RF</t>
  </si>
  <si>
    <t>Lyca Radio</t>
  </si>
  <si>
    <t>http://edge-bauermz-01-gos2.sharp-stream.com/magic1054.mp3?aw_0_1st.skey=1664908590</t>
  </si>
  <si>
    <t>Magic London</t>
  </si>
  <si>
    <t>http://edge-bauermz-01-gos2.sharp-stream.com/magicnational.mp3?aw_0_1st.skey=1664908590</t>
  </si>
  <si>
    <t>Magic UK</t>
  </si>
  <si>
    <t>http://edge-bauermz-05-gos2.sharp-stream.com/magicmusicals.mp3?aw_0_1st.skey=1664908590</t>
  </si>
  <si>
    <t>Magic at the Musicals</t>
  </si>
  <si>
    <t>http://edge-bauermz-01-gos2.sharp-stream.com/magicchilled.mp3?aw_0_1st.skey=1664908590</t>
  </si>
  <si>
    <t>Magic Chilled</t>
  </si>
  <si>
    <t>http://edge-bauermz-01-gos2.sharp-stream.com/magicsoul.mp3?aw_0_1st.skey=1664908590</t>
  </si>
  <si>
    <t>Magic Soul</t>
  </si>
  <si>
    <t>http://audiospace.stream:8000/3748</t>
  </si>
  <si>
    <t>Mansfield 103.2</t>
  </si>
  <si>
    <t>http://listen-manxradio.sharp-stream.com/manxradioam.mp3?ref=RF</t>
  </si>
  <si>
    <t>Manx Radio AM</t>
  </si>
  <si>
    <t>http://listen-manxradio.sharp-stream.com/manxradiofm.mp3?ref=RF</t>
  </si>
  <si>
    <t>Manx Radio FM</t>
  </si>
  <si>
    <t>http://edge-bauermz-01-gos2.sharp-stream.com/magicmellow.mp3?aw_0_1st.skey=1664908591</t>
  </si>
  <si>
    <t>Mellow Magic</t>
  </si>
  <si>
    <t>http://stream.zeno.fm/bu7tz109x4zuv</t>
  </si>
  <si>
    <t>Metal Meyhem Radio CEASED</t>
  </si>
  <si>
    <t>http://edge-bauermz-01-gos2.sharp-stream.com/metro.mp3?aw_0_1st.skey=1664908591</t>
  </si>
  <si>
    <t>Metro Radio</t>
  </si>
  <si>
    <t>http://edge-bauermz-01-gos2.sharp-stream.com/mfrfm.mp3?aw_0_1st.skey=1664908591</t>
  </si>
  <si>
    <t>MFR</t>
  </si>
  <si>
    <t>http://edge-bauermz-01-gos2.sharp-stream.com/mfram.mp3?aw_0_1st.skey=1664908592</t>
  </si>
  <si>
    <t>MFR 2</t>
  </si>
  <si>
    <t>http://trappist.shoutca.st:8058/stream</t>
  </si>
  <si>
    <t>Mi-House Radio</t>
  </si>
  <si>
    <t>http://trappist.shoutca.st:8101/stream</t>
  </si>
  <si>
    <t>http://listen-misoul.sharp-stream.com/462_mi_soul_128_mp3?ref=RF</t>
  </si>
  <si>
    <t>Mi-Soul</t>
  </si>
  <si>
    <t>http://listen-misoul.sharp-stream.com/462_mi_soul_320_mp3?ref=RF</t>
  </si>
  <si>
    <t>http://mkfmradioplayer.radioca.st:9648/stream</t>
  </si>
  <si>
    <t>MKFM</t>
  </si>
  <si>
    <t>http://n05a-eu.rcs.revma.com:80/6q7ksnnz6k0uv</t>
  </si>
  <si>
    <t>Moms Spaghetti</t>
  </si>
  <si>
    <t>http://s2.xrad.io:8190/stream</t>
  </si>
  <si>
    <t>More Radio Eastbourne</t>
  </si>
  <si>
    <t>http://s2.xrad.io:8192/stream</t>
  </si>
  <si>
    <t>More Radio Hastings</t>
  </si>
  <si>
    <t>http://s2.xrad.io:8194/stream</t>
  </si>
  <si>
    <t>More Radio Mid Sussex</t>
  </si>
  <si>
    <t>http://s2.xrad.io:8188/stream</t>
  </si>
  <si>
    <t>More Radio Sussex</t>
  </si>
  <si>
    <t>http://s2.xrad.io:8196/stream</t>
  </si>
  <si>
    <t>More Radio Worthing</t>
  </si>
  <si>
    <t>http://s2.xrad.io:8330/stream</t>
  </si>
  <si>
    <t>More Radio Retro</t>
  </si>
  <si>
    <t>http://listen-nation.sharp-stream.com/nation60s.mp3?ref=RF</t>
  </si>
  <si>
    <t>Nation 60s</t>
  </si>
  <si>
    <t>http://edge-audio-02-thn.sharp-stream.com:80/nation60sdab.mp3</t>
  </si>
  <si>
    <t>http://listen-nation.sharp-stream.com/nationradio70s.mp3?ref=RF</t>
  </si>
  <si>
    <t>Nation 70s</t>
  </si>
  <si>
    <t>http://edge-audio-02-thn.sharp-stream.com:80/nationradio70s-dab.mp3</t>
  </si>
  <si>
    <t>http://listen-nation.sharp-stream.com/nationradio80s.mp3?ref=RF</t>
  </si>
  <si>
    <t>Nation 80s</t>
  </si>
  <si>
    <t>http://edge-audio-02-thn.sharp-stream.com:80/nationradio80s-dab.mp3</t>
  </si>
  <si>
    <t>http://listen-nation.sharp-stream.com/nationradio90s.mp3?ref=RF</t>
  </si>
  <si>
    <t>Nation 90s</t>
  </si>
  <si>
    <t>http://edge-audio-02-thn.sharp-stream.com:80/nationradio90s-dab.mp3</t>
  </si>
  <si>
    <t>http://listen-nation.sharp-stream.com/nationradio00s.mp3?ref=RF</t>
  </si>
  <si>
    <t>Nation 00s</t>
  </si>
  <si>
    <t>http://listen-nation.sharp-stream.com/nationradio00sdab.mp3?ref=RF</t>
  </si>
  <si>
    <t>http://listen-nation.sharp-stream.com/clubnation.mp3?ref=RF</t>
  </si>
  <si>
    <t>Nation Dance</t>
  </si>
  <si>
    <t>http://edge-audio-02-thn.sharp-stream.com:80/clubnationdab.mp3</t>
  </si>
  <si>
    <t>http://listen-nation.sharp-stream.com/nationhits.mp3?ref=RF</t>
  </si>
  <si>
    <t>Nation Hits</t>
  </si>
  <si>
    <t>http://edge-audio-02-thn.sharp-stream.com:80/nationhitsdab.mp3</t>
  </si>
  <si>
    <t>http://listen-nation.sharp-stream.com/lovenation.mp3?ref=RF</t>
  </si>
  <si>
    <t>Nation Love</t>
  </si>
  <si>
    <t>http://edge-audio-02-thn.sharp-stream.com:80/lovenationdab.mp3</t>
  </si>
  <si>
    <t>http://listen-nation.sharp-stream.com/nationparty.mp3?ref=RF</t>
  </si>
  <si>
    <t>Nation Party</t>
  </si>
  <si>
    <t>http://listen-nation.sharp-stream.com/nationpartydab.mp3?ref=RF</t>
  </si>
  <si>
    <t>http://listen-nation.sharp-stream.com/hull.mp3?ref=RF</t>
  </si>
  <si>
    <t>Nation Radio East Yorkshire formerly Greatest Hits Radio</t>
  </si>
  <si>
    <t>http://edge-audio-02-thn.sharp-stream.com:80/ghrhulldab.mp3</t>
  </si>
  <si>
    <t>http://listen-nation.sharp-stream.com/yourradio.mp3?ref=RF</t>
  </si>
  <si>
    <t>Nation Radio Scotland Dumbarton &amp; Helensburgh</t>
  </si>
  <si>
    <t>http://edge-audio-02-thn.sharp-stream.com:80/yourradiodab.mp3</t>
  </si>
  <si>
    <t>http://listen-nation.sharp-stream.com/nationscotland.mp3?ref=RF</t>
  </si>
  <si>
    <t>Nation Radio Scotland Glasgow</t>
  </si>
  <si>
    <t>http://edge-audio-02-thn.sharp-stream.com:80/nationscotlanddab.mp3</t>
  </si>
  <si>
    <t>http://listen-nation.sharp-stream.com/nationdorset.mp3?ref=RF</t>
  </si>
  <si>
    <t>Nation Radio South Dorset formerly Greatest Hits Radio</t>
  </si>
  <si>
    <t>http://listen-nation.sharp-stream.com/nationdorsetdab.mp3?ref=RF</t>
  </si>
  <si>
    <t>http://listen-nation.sharp-stream.com/nationhampshire.mp3?ref=RF</t>
  </si>
  <si>
    <t>Nation Radio South South Hampshire &amp; Isle of Wight formerly Greatest Hits Radio</t>
  </si>
  <si>
    <t>http://listen-nation.sharp-stream.com/nationhampshiredab.mp3?ref=RF</t>
  </si>
  <si>
    <t>http://listen-nation.sharp-stream.com/nationsuffolk.mp3?ref=RF</t>
  </si>
  <si>
    <t>Nation Radio Suffolk</t>
  </si>
  <si>
    <t>http://listen-nation.sharp-stream.com/nationsuffolk-dab.mp3?ref=RF</t>
  </si>
  <si>
    <t>http://listen-nation.sharp-stream.com/thamesradio.mp3?ref=RF</t>
  </si>
  <si>
    <t>Nation Radio UK</t>
  </si>
  <si>
    <t>http://edge-audio-02-thn.sharp-stream.com:80/nationukdab.mp3</t>
  </si>
  <si>
    <t>http://listen-nation.sharp-stream.com/tcceredigion.mp3?ref=RF</t>
  </si>
  <si>
    <t>Nation Radio Wales Ceredigion</t>
  </si>
  <si>
    <t>http://edge-audio-02-thn.sharp-stream.com:80/ceredigiondab.mp3</t>
  </si>
  <si>
    <t>http://listen-nation.sharp-stream.com/tcnation.mp3?ref=RF</t>
  </si>
  <si>
    <t>Nation Radio Wales South East</t>
  </si>
  <si>
    <t>http://edge-audio-02-thn.sharp-stream.com:80/nationwalesdab.mp3</t>
  </si>
  <si>
    <t>http://edge-audio-02-thn.sharp-stream.com:80/nationwestdab.mp3</t>
  </si>
  <si>
    <t>Nation Radio Wales South West</t>
  </si>
  <si>
    <t>http://listen-nation.sharp-stream.com/nationrocks.mp3?ref=RF</t>
  </si>
  <si>
    <t>Nation Rocks</t>
  </si>
  <si>
    <t>http://edge-audio-02-thn.sharp-stream.com:80/nationrocksdab.mp3</t>
  </si>
  <si>
    <t>http://playoutonestreaming.com:8008/stream</t>
  </si>
  <si>
    <t>News Radio UK</t>
  </si>
  <si>
    <t>http://listen-nme.sharp-stream.com/nme1.mp3?ref=RF</t>
  </si>
  <si>
    <t>NME 1</t>
  </si>
  <si>
    <t>http://listen-nme.sharp-stream.com/nme1high.mp3?ref=RF</t>
  </si>
  <si>
    <t>http://listen-nme.sharp-stream.com/nme2.mp3?ref=RF</t>
  </si>
  <si>
    <t>NME 2</t>
  </si>
  <si>
    <t>http://listen-nme.sharp-stream.com/nme2high.mp3?ref=RF</t>
  </si>
  <si>
    <t>http://noodsradio.out.airtime.pro:8000/noodsradio_b</t>
  </si>
  <si>
    <t>Noods Radio</t>
  </si>
  <si>
    <t>http://noodsradio.out.airtime.pro:8000/noodsradio_a</t>
  </si>
  <si>
    <t>http://edge-bauermz-01-gos2.sharp-stream.com/northsound1.mp3?aw_0_1st.skey=1664908598</t>
  </si>
  <si>
    <t>Northsound 1</t>
  </si>
  <si>
    <t>http://edge-bauermz-01-gos2.sharp-stream.com/northsound2.mp3?aw_0_1st.skey=1664908598</t>
  </si>
  <si>
    <t>Northsound 2</t>
  </si>
  <si>
    <t>http://radio.canstream.co.uk:8143/live.mp3</t>
  </si>
  <si>
    <t>Oban FM</t>
  </si>
  <si>
    <t>http://likeradiostream.com:8080/owruk?ref=RF</t>
  </si>
  <si>
    <t>One World Radio</t>
  </si>
  <si>
    <t>http://listen-original.sharp-stream.com/original106.mp3?ref=RF</t>
  </si>
  <si>
    <t>Original 106</t>
  </si>
  <si>
    <t>http://live.streamlojik.com:11170/outreachdance.mp3</t>
  </si>
  <si>
    <t>Outreach Dance</t>
  </si>
  <si>
    <t>http://live.streamlojik.com:11070/outreachradio.mp3</t>
  </si>
  <si>
    <t>Outreach Radio</t>
  </si>
  <si>
    <t>http://streaming03.zfast.co.uk:8047/listen.mp3</t>
  </si>
  <si>
    <t>Panacea Radio</t>
  </si>
  <si>
    <t>http://playoutonestreaming.com:8075/stream</t>
  </si>
  <si>
    <t>http://radio3.citrus3.com:8584/stream</t>
  </si>
  <si>
    <t>Panjab Radio</t>
  </si>
  <si>
    <t>http://stream.mybroadbandradio.com/passionradiohq?ref=RF</t>
  </si>
  <si>
    <t>Passion Radio</t>
  </si>
  <si>
    <t>http://streams.radio.co:80/sbaa068f97/listen</t>
  </si>
  <si>
    <t>Pie Radio</t>
  </si>
  <si>
    <t>http://edge-bauermz-01-gos2.sharp-stream.com/net1cornwalleast.mp3?aw_0_1st.skey=1664908599</t>
  </si>
  <si>
    <t>Pirate FM East</t>
  </si>
  <si>
    <t>http://edge-bauermz-01-gos2.sharp-stream.com/net1cornwall.mp3?aw_0_1st.skey=1664908599</t>
  </si>
  <si>
    <t>Pirate FM West</t>
  </si>
  <si>
    <t>http://edge-bauermz-01-gos2.sharp-stream.com/planetrock.mp3?aw_0_1st.skey=1664908599</t>
  </si>
  <si>
    <t>Planet Rock</t>
  </si>
  <si>
    <t>http://22533.live.streamtheworld.com:80/PODCAST_RADIO_SC</t>
  </si>
  <si>
    <t>Podcast Radio</t>
  </si>
  <si>
    <t>http://22533.live.streamtheworld.com:3690/PODCAST_RADIO_SC</t>
  </si>
  <si>
    <t>http://20863.live.streamtheworld.com:80/PODCAST_RADIO_SC</t>
  </si>
  <si>
    <t>http://20863.live.streamtheworld.com:3690/PODCAST_RADIO_SC</t>
  </si>
  <si>
    <t>http://25703.live.streamtheworld.com:80/PODCAST_RADIO_SC</t>
  </si>
  <si>
    <t>http://25703.live.streamtheworld.com:3690/PODCAST_RADIO_SC</t>
  </si>
  <si>
    <t>http://pointblankradio.co.uk/stream.mp3?ref=rf</t>
  </si>
  <si>
    <t>Point Blank Radio</t>
  </si>
  <si>
    <t>http://pointblankradio.co.uk/stream?ref=rf</t>
  </si>
  <si>
    <t>http://s4.xrad.io:8008/stream</t>
  </si>
  <si>
    <t>Pompey Sound</t>
  </si>
  <si>
    <t>http://streams.radiomast.io/69203abc-1923-4c7a-bbd3-1e4d391a8cd9</t>
  </si>
  <si>
    <t>Premier Christian Radio UK</t>
  </si>
  <si>
    <t>64 mono</t>
  </si>
  <si>
    <t>http://streams.radiomast.io/4d0743b5-b63a-43f1-9f7f-e8a04abe9367</t>
  </si>
  <si>
    <t>http://streams.radiomast.io/31ecbab9-e64f-44a3-8afa-fe58745e82c8</t>
  </si>
  <si>
    <t>Premier Gospel</t>
  </si>
  <si>
    <t>http://streams.radiomast.io/bc0b65c9-472b-48b7-b9fc-3b3000ca5ac3</t>
  </si>
  <si>
    <t>http://streams.radiomast.io/5c45ff7b-5925-46d7-bd1f-6682bbdf8e44</t>
  </si>
  <si>
    <t>Premier Praise</t>
  </si>
  <si>
    <t>http://streams.radiomast.io/4f0fe096-7e2a-4bf0-957f-6c46a866d9ea</t>
  </si>
  <si>
    <t>http://n05a-eu.rcs.revma.com:80/v61s40vqa78uv</t>
  </si>
  <si>
    <t>PRL Polskie Radio Londyn - Polish Radio London</t>
  </si>
  <si>
    <t>http://edge-bauermz-01-gos2.sharp-stream.com/net1bradford.mp3?aw_0_1st.skey=1664908603</t>
  </si>
  <si>
    <t>Pulse 1</t>
  </si>
  <si>
    <t>http://edge-audio-02-thn.sharp-stream.com:80/pure_radio.mp3</t>
  </si>
  <si>
    <t>Pure Radio Central Scotland</t>
  </si>
  <si>
    <t>http://listen-pureradiotay.sharp-stream.com/145_pure_radio_tayside_128_mp3?ref=RF</t>
  </si>
  <si>
    <t>Pure Radio Tayside</t>
  </si>
  <si>
    <t>http://edge-audio-02-thn.sharp-stream.com:80/qr1070mobile.mp3</t>
  </si>
  <si>
    <t>Q Radio Ballymena</t>
  </si>
  <si>
    <t>http://edge-audio-02-thn.sharp-stream.com:80/qr1070.mp3</t>
  </si>
  <si>
    <t>http://edge-audio-02-thn.sharp-stream.com:80/qr967mobile.mp3</t>
  </si>
  <si>
    <t>Q Radio Belfast</t>
  </si>
  <si>
    <t>http://edge-audio-02-thn.sharp-stream.com:80/qr967.mp3</t>
  </si>
  <si>
    <t>http://edge-audio-02-thn.sharp-stream.com:80/qr972mobile.mp3</t>
  </si>
  <si>
    <t>Q Radio Coleraine</t>
  </si>
  <si>
    <t>http://edge-audio-02-thn.sharp-stream.com:80/qr972.mp3</t>
  </si>
  <si>
    <t>http://edge-audio-02-thn.sharp-stream.com:80/qr1029mobile.mp3</t>
  </si>
  <si>
    <t>Q Radio Londonderry</t>
  </si>
  <si>
    <t>http://edge-audio-02-thn.sharp-stream.com:80/qr1029.mp3</t>
  </si>
  <si>
    <t>http://edge-audio-02-thn.sharp-stream.com:80/qr1060mobile.mp3</t>
  </si>
  <si>
    <t>Q Radio Mid-Ulster</t>
  </si>
  <si>
    <t>http://edge-audio-02-thn.sharp-stream.com:80/qr1060.mp3</t>
  </si>
  <si>
    <t>http://edge-audio-02-thn.sharp-stream.com:80/qr1005mobile.mp3</t>
  </si>
  <si>
    <t>Q Radio Newry</t>
  </si>
  <si>
    <t>http://edge-audio-02-thn.sharp-stream.com:80/qr1005.mp3</t>
  </si>
  <si>
    <t>http://edge-audio-02-thn.sharp-stream.com:80/qr1012mobile.mp3</t>
  </si>
  <si>
    <t>Q Radio Omagh &amp; Enniskillen</t>
  </si>
  <si>
    <t>http://edge-audio-02-thn.sharp-stream.com:80/qr1012.mp3</t>
  </si>
  <si>
    <t>http://quayfm.ci-servers.gg:1071/live</t>
  </si>
  <si>
    <t>QUAY-FM</t>
  </si>
  <si>
    <t>http://5.135.154.69:8888/;</t>
  </si>
  <si>
    <t>Radio Africana</t>
  </si>
  <si>
    <t>http://stream1.hippynet.co.uk:8061/stream</t>
  </si>
  <si>
    <t>Radio Atlantis</t>
  </si>
  <si>
    <t>http://playoutonestreaming.com:8147/mp3</t>
  </si>
  <si>
    <t>Radio Bath</t>
  </si>
  <si>
    <t>http://edge-bauerall-01-gos2.sharp-stream.com/borders.mp3?aw_0_1st.skey=1664908610</t>
  </si>
  <si>
    <t>Radio Borders</t>
  </si>
  <si>
    <t>http://listen-nation.sharp-stream.com/tccarmarthenshire.mp3?ref=RF</t>
  </si>
  <si>
    <t>Radio Carmarthenshire</t>
  </si>
  <si>
    <t>http://edge-audio-02-thn.sharp-stream.com:80/nationcarmarthenshiredab.mp3</t>
  </si>
  <si>
    <t>http://78.129.202.200:10568/;</t>
  </si>
  <si>
    <t>Radio Caroline Flashback</t>
  </si>
  <si>
    <t>24 mono</t>
  </si>
  <si>
    <t>http://78.129.202.200:10558/</t>
  </si>
  <si>
    <t>http://sc2.radiocaroline.net:10558/;</t>
  </si>
  <si>
    <t>http://philae.shoutca.st:8459/stream</t>
  </si>
  <si>
    <t>Radio Central Birmingham</t>
  </si>
  <si>
    <t>http://edge-bauerall-01-gos2.sharp-stream.com/city.mp3?aw_0_1st.skey=1664908611</t>
  </si>
  <si>
    <t>Radio City</t>
  </si>
  <si>
    <t>http://usa19.fastcast4u.com:1120/;</t>
  </si>
  <si>
    <t>Radio Diamond</t>
  </si>
  <si>
    <t>http://playoutonestreaming.com:8012/mp3</t>
  </si>
  <si>
    <t>Radio Essex DAB</t>
  </si>
  <si>
    <t>http://streams.radio.co:80/sf2a4d9132/listen</t>
  </si>
  <si>
    <t>Radio Exe Exeter</t>
  </si>
  <si>
    <t>http://s4.radio.co:80/sd9ae042f5/listen</t>
  </si>
  <si>
    <t>Radio Exe Plymouth</t>
  </si>
  <si>
    <t>http://media.radiojackie.com:22614/</t>
  </si>
  <si>
    <t>107.8 Radio Jackie</t>
  </si>
  <si>
    <t>32 mono</t>
  </si>
  <si>
    <t>http://media.radiojackie.com:12614/</t>
  </si>
  <si>
    <t>http://edge-audio-02-thn.sharp-stream.com:80/khushkhabri.mp3</t>
  </si>
  <si>
    <t>Radio Khushkhabri</t>
  </si>
  <si>
    <t>http://213.159.214.57:8000/matryoshka</t>
  </si>
  <si>
    <t>Radio Matryoshka</t>
  </si>
  <si>
    <t>http://uk3-vn.webcast-server.net:8192/;</t>
  </si>
  <si>
    <t>Radio North Angus</t>
  </si>
  <si>
    <t>56 mono</t>
  </si>
  <si>
    <t>http://listen-nation.sharp-stream.com/tcpembrokeshire.mp3?ref=RF</t>
  </si>
  <si>
    <t>Radio Pembrokeshire</t>
  </si>
  <si>
    <t>http://edge-audio-02-thn.sharp-stream.com:80/nationpembrokeshiredab.mp3</t>
  </si>
  <si>
    <t>http://proxima.shoutca.st:8500/stream</t>
  </si>
  <si>
    <t>Radio Shields</t>
  </si>
  <si>
    <t>http://comet.shoutca.st:8338/live</t>
  </si>
  <si>
    <t>Radio Skye</t>
  </si>
  <si>
    <t>http://streaming.broadcastradio.com:11450/radioup</t>
  </si>
  <si>
    <t>Radio UP</t>
  </si>
  <si>
    <t>http://hyades.shoutca.st:8034/live</t>
  </si>
  <si>
    <t>Radio Woking</t>
  </si>
  <si>
    <t>http://icecast.thisisdax.com/RadioXLondonMP3</t>
  </si>
  <si>
    <t>Radio X London</t>
  </si>
  <si>
    <t>http://icecast.thisisdax.com/RadioXManchesterMP3</t>
  </si>
  <si>
    <t>Radio X Manchester</t>
  </si>
  <si>
    <t>http://icecast.thisisdax.com/RadioXUKMP3</t>
  </si>
  <si>
    <t>Radio X UK</t>
  </si>
  <si>
    <t>http://sc18.strictlyhosting.co.uk:8000/</t>
  </si>
  <si>
    <t>Radio XL</t>
  </si>
  <si>
    <t>http://pollux.shoutca.st:8874/stream</t>
  </si>
  <si>
    <t>Radio Xtra</t>
  </si>
  <si>
    <t>http://listen.switchradio.co.uk:8000/rajoradio?ref=RF</t>
  </si>
  <si>
    <t>rajoradio</t>
  </si>
  <si>
    <t>http://stream1.themediasite.co.uk:8046/stream</t>
  </si>
  <si>
    <t>RB1 Radio</t>
  </si>
  <si>
    <t>http://stream.releaseradio.net:80/stream</t>
  </si>
  <si>
    <t>Release Radio</t>
  </si>
  <si>
    <t>http://stream.resonance.fm:80/resonance-extra-lo</t>
  </si>
  <si>
    <t>Resonance Extra</t>
  </si>
  <si>
    <t>http://stream.resonance.fm:80/resonance-extra</t>
  </si>
  <si>
    <t>http://s4.radio.co:80/s2eaa194f6/listen</t>
  </si>
  <si>
    <t>Rewind Radio</t>
  </si>
  <si>
    <t>http://stream2.hippynet.co.uk:8010/live</t>
  </si>
  <si>
    <t>River Radio Londonderry</t>
  </si>
  <si>
    <t>http://listen.radioking.com/radio/376111/stream/426805?ref=rf</t>
  </si>
  <si>
    <t>River Radio Thames Valley</t>
  </si>
  <si>
    <t>http://radio.riversideradio.com:8216/stream</t>
  </si>
  <si>
    <t>Riverside Radio</t>
  </si>
  <si>
    <t>http://edge-bauermz-01-gos2.sharp-stream.com/rock.mp3?aw_0_1st.skey=1664908615</t>
  </si>
  <si>
    <t>Rock FM</t>
  </si>
  <si>
    <t>http://freeuk3.listen2myradio.com:4464/</t>
  </si>
  <si>
    <t>Rootz n Rockerz</t>
  </si>
  <si>
    <t>128 mono</t>
  </si>
  <si>
    <t>http://149.255.59.3:8130/stream</t>
  </si>
  <si>
    <t>Rother Radio</t>
  </si>
  <si>
    <t>http://149.255.59.3:8075/stream</t>
  </si>
  <si>
    <t>http://mp3streaming.planetwideradio.com:9125/ruach</t>
  </si>
  <si>
    <t>Ruach Radio</t>
  </si>
  <si>
    <t>http://stream3.themediasite.co.uk:8036/stream</t>
  </si>
  <si>
    <t>Sab Rang Radio</t>
  </si>
  <si>
    <t>http://radio.canstream.co.uk:8025/live.mp3</t>
  </si>
  <si>
    <t>Sabras Radio</t>
  </si>
  <si>
    <t>http://s4.xrad.io:8086/stream</t>
  </si>
  <si>
    <t>Salisbury Radio</t>
  </si>
  <si>
    <t>http://s2.radio.co:80/s0dc6b5c9b/listen</t>
  </si>
  <si>
    <t>Sami Swoi Radio</t>
  </si>
  <si>
    <t>http://playoutonestreaming.com:8038/stream</t>
  </si>
  <si>
    <t>Sandgrounder Radio</t>
  </si>
  <si>
    <t>http://radio.canstream.co.uk:8024/live.mp3</t>
  </si>
  <si>
    <t>Sanskar Radio</t>
  </si>
  <si>
    <t>http://edge-bauermz-01-gos2.sharp-stream.com/scala.mp3?aw_0_1st.skey=1664908617</t>
  </si>
  <si>
    <t>Scala Radio</t>
  </si>
  <si>
    <t>http://uksouth.streaming.broadcast.radio:16280/scratch</t>
  </si>
  <si>
    <t>Scratch</t>
  </si>
  <si>
    <t>http://s3.radio.co:80/sd4abfe69e/listen</t>
  </si>
  <si>
    <t>Shine 879</t>
  </si>
  <si>
    <t>http://tx9.zetcast.net:8100/stream2?ref=RF</t>
  </si>
  <si>
    <t>SIBC</t>
  </si>
  <si>
    <t>http://tx9.zetcast.net:8100/stream?ref=RF</t>
  </si>
  <si>
    <t>http://edge-bauermz-01-gos2.sharp-stream.com/net1stoke.mp3?aw_0_1st.skey=1664908617</t>
  </si>
  <si>
    <t>Signal 1</t>
  </si>
  <si>
    <t>http://edge-audio-03-gos2.sharp-stream.com:80/tcsilki.mp3</t>
  </si>
  <si>
    <t>Silk 106.9</t>
  </si>
  <si>
    <t>http://edge-audio-03-gos2.sharp-stream.com:80/tcsilk.mp3</t>
  </si>
  <si>
    <t>http://85.234.143.182:8036/;</t>
  </si>
  <si>
    <t>Skylab Radio</t>
  </si>
  <si>
    <t>http://edge-audio-03-gos2.sharp-stream.com:80/slackcity.mp3</t>
  </si>
  <si>
    <t>Slack City</t>
  </si>
  <si>
    <t>http://icecast.thisisdax.com/SmoothChillMP3</t>
  </si>
  <si>
    <t>Smooth Chill</t>
  </si>
  <si>
    <t>Smooth</t>
  </si>
  <si>
    <t>http://icecast.thisisdax.com/SmoothCountryMP3</t>
  </si>
  <si>
    <t>Smooth Country</t>
  </si>
  <si>
    <t>http://icecast.thisisdax.com/SmoothBristolMP3</t>
  </si>
  <si>
    <t>Smooth Radio Bristol &amp; Bath</t>
  </si>
  <si>
    <t>http://icecast.thisisdax.com/SmoothDorsetMP3</t>
  </si>
  <si>
    <t>Smooth Radio Dorset</t>
  </si>
  <si>
    <t>http://icecast.thisisdax.com/SmoothDerbyMP3</t>
  </si>
  <si>
    <t>Smooth Radio East Midlands Derbyshire</t>
  </si>
  <si>
    <t>http://icecast.thisisdax.com/SmoothEastMidsMP3</t>
  </si>
  <si>
    <t>Smooth Radio East Midlands East Midlands</t>
  </si>
  <si>
    <t>http://icecast.thisisdax.com/SmoothNorthantsMP3</t>
  </si>
  <si>
    <t>Smooth Radio East Midlands Northamptonshire &amp; Peterborough</t>
  </si>
  <si>
    <t>http://icecast.thisisdax.com/SmoothEssexMP3</t>
  </si>
  <si>
    <t>Smooth Radio Essex</t>
  </si>
  <si>
    <t>http://icecast.thisisdax.com/SmoothGloucesterMP3</t>
  </si>
  <si>
    <t>Smooth Radio Gloucestershire</t>
  </si>
  <si>
    <t>http://icecast.thisisdax.com/SmoothHampshireMP3</t>
  </si>
  <si>
    <t>Smooth Radio Hampshire &amp; West Sussex</t>
  </si>
  <si>
    <t>http://icecast.thisisdax.com/SmoothHertsMP3</t>
  </si>
  <si>
    <t>Smooth Radio Herts Beds &amp; Bucks</t>
  </si>
  <si>
    <t>http://icecast.thisisdax.com/SmoothKentMP3</t>
  </si>
  <si>
    <t>Smooth Radio Kent</t>
  </si>
  <si>
    <t>http://icecast.thisisdax.com/SmoothLakeDistrictMP3</t>
  </si>
  <si>
    <t>Smooth Radio Lake District</t>
  </si>
  <si>
    <t>http://icecast.thisisdax.com/SmoothLondonMP3</t>
  </si>
  <si>
    <t>Smooth Radio London</t>
  </si>
  <si>
    <t>http://icecast.thisisdax.com/SmoothNorfolkMP3</t>
  </si>
  <si>
    <t>Smooth Radio Norfolk &amp; North Suffolk</t>
  </si>
  <si>
    <t>http://icecast.thisisdax.com/SmoothNorthEastSMP3</t>
  </si>
  <si>
    <t>Smooth Radio North East England Teesside</t>
  </si>
  <si>
    <t>http://icecast.thisisdax.com/SmoothNorthEastNMP3</t>
  </si>
  <si>
    <t>Smooth Radio North East England Tyne &amp; Wear</t>
  </si>
  <si>
    <t>http://icecast.thisisdax.com/SmoothNorthWalesMP3</t>
  </si>
  <si>
    <t>Smooth Radio North Wales &amp; Cheshire</t>
  </si>
  <si>
    <t>http://icecast.thisisdax.com/SmoothNorthWestMP3</t>
  </si>
  <si>
    <t>Smooth Radio North West England</t>
  </si>
  <si>
    <t>http://icecast.thisisdax.com/SmoothPlymouthMP3</t>
  </si>
  <si>
    <t>Smooth Radio Plymouth</t>
  </si>
  <si>
    <t>http://icecast.thisisdax.com/SmoothScotlandMP3</t>
  </si>
  <si>
    <t>Smooth Radio Scotland</t>
  </si>
  <si>
    <t>http://icecast.thisisdax.com/SmoothSouthWalesMP3</t>
  </si>
  <si>
    <t>Smooth Radio South Wales</t>
  </si>
  <si>
    <t>http://icecast.thisisdax.com/SmoothSuffolkMP3</t>
  </si>
  <si>
    <t>Smooth Radio Suffolk</t>
  </si>
  <si>
    <t>http://icecast.thisisdax.com/SmoothSussexMP3</t>
  </si>
  <si>
    <t>Smooth Radio Sussex</t>
  </si>
  <si>
    <t>http://icecast.thisisdax.com/SmoothBerkshireMP3</t>
  </si>
  <si>
    <t>Smooth Radio Thames Valley</t>
  </si>
  <si>
    <t>http://icecast.thisisdax.com/SmoothUKMP3</t>
  </si>
  <si>
    <t>Smooth Radio UK</t>
  </si>
  <si>
    <t>http://icecast.thisisdax.com/SmoothWestMidsMP3</t>
  </si>
  <si>
    <t>Smooth Radio West Midlands</t>
  </si>
  <si>
    <t>http://icecast.thisisdax.com/SmoothWiltshireMP3</t>
  </si>
  <si>
    <t>Smooth Radio Wiltshire</t>
  </si>
  <si>
    <t>http://playoutonestreaming.com:8175/mp3</t>
  </si>
  <si>
    <t>SN Radio South Norfolk Radio</t>
  </si>
  <si>
    <t>http://svr1.msmn2.co:8324/stream</t>
  </si>
  <si>
    <t>Solar Radio</t>
  </si>
  <si>
    <t>http://82.163.73.123:8330/stream</t>
  </si>
  <si>
    <t>http://88.202.230.61:8330/stream</t>
  </si>
  <si>
    <t>http://n25a-eu.rcs.revma.com:80/e7c2n0nc508uv</t>
  </si>
  <si>
    <t>Soleil Radio</t>
  </si>
  <si>
    <t>http://n25a-eu.rcs.revma.com:80/sa3ccwa9yy8uv</t>
  </si>
  <si>
    <t>http://centova.solidradio.co.uk:8000/solidlowmp3</t>
  </si>
  <si>
    <t>Solid Radio</t>
  </si>
  <si>
    <t>http://centova.solidradio.co.uk:8000/solidmp3</t>
  </si>
  <si>
    <t>http://edge-audio-03-gos2.sharp-stream.com:80/spectrum4.mp3</t>
  </si>
  <si>
    <t>Sout Al Khaleej</t>
  </si>
  <si>
    <t>http://s3.radio.co:80/s59218e461/listen</t>
  </si>
  <si>
    <t>Southdown Radio</t>
  </si>
  <si>
    <t>http://n25a-eu.rcs.revma.com:80/4bxr9kkgewzuv</t>
  </si>
  <si>
    <t>Star Radio Cambridgeshire</t>
  </si>
  <si>
    <t>http://n25a-eu.rcs.revma.com:80/8rud7kqkdwzuv</t>
  </si>
  <si>
    <t>http://n25a-eu.rcs.revma.com:80/hyyz8327ptzuv</t>
  </si>
  <si>
    <t>http://stream2.hippynet.co.uk:8086/stream.mp3</t>
  </si>
  <si>
    <t>Starpoint Radio</t>
  </si>
  <si>
    <t>http://stream2.hippynet.co.uk:8084/stream.mp3</t>
  </si>
  <si>
    <t>http://azura.shoutca.st:8220/radio.mop3?ref=rf</t>
  </si>
  <si>
    <t>Steel FM</t>
  </si>
  <si>
    <t>http://playoutonestreaming.com:8070/stream</t>
  </si>
  <si>
    <t>Strawberry Radio</t>
  </si>
  <si>
    <t>http://streaming.broadcastradio.com:10520/streetsdaac</t>
  </si>
  <si>
    <t>Street Sounds Radio</t>
  </si>
  <si>
    <t>http://streaming.broadcastradio.com:10520/streetsd</t>
  </si>
  <si>
    <t>http://styleradio.radioca.st:8405/stream</t>
  </si>
  <si>
    <t>Style Radio</t>
  </si>
  <si>
    <t>http://edge-audio-03-gos2.sharp-stream.com:80/sukhsagar.mp3</t>
  </si>
  <si>
    <t>Sukh Sagar Radio</t>
  </si>
  <si>
    <t>http://listen-nation.sharp-stream.com/sunfm.mp3?ref=RF</t>
  </si>
  <si>
    <t>Sun FM</t>
  </si>
  <si>
    <t>http://edge-audio-03-gos2.sharp-stream.com:80/sunfmdab.mp3</t>
  </si>
  <si>
    <t>http://listen.radioking.com/radio/501550/stream/558844?ref=RF</t>
  </si>
  <si>
    <t>Sunoh Scotland</t>
  </si>
  <si>
    <t>http://listen-sunriseradio.sharp-stream.com/sunriseradio.mp3?ref=RF</t>
  </si>
  <si>
    <t>Sunrise Radio London</t>
  </si>
  <si>
    <t>http://listen-sunriseradio.sharp-stream.com/sunriseradionat.mp3?ref=RF</t>
  </si>
  <si>
    <t>Sunrise Radio UK</t>
  </si>
  <si>
    <t>http://listen-sunriseradio.sharp-stream.com/sunriseradioalexa.mp3?ref=RF</t>
  </si>
  <si>
    <t>http://stream1.themediasite.co.uk:8070/low2</t>
  </si>
  <si>
    <t>Sunrise Radio Yorkshire</t>
  </si>
  <si>
    <t>32 stereo</t>
  </si>
  <si>
    <t>http://stream1.themediasite.co.uk:8070/low1</t>
  </si>
  <si>
    <t>http://stream1.themediasite.co.uk:8070/mid</t>
  </si>
  <si>
    <t>http://stream1.themediasite.co.uk:8070/stream</t>
  </si>
  <si>
    <t>http://streaming.radio.co:80/s6a51b5927/listen</t>
  </si>
  <si>
    <t>Sunrise Radio Gold</t>
  </si>
  <si>
    <t>http://icecast.easystream.co.uk:8000/herefordFM</t>
  </si>
  <si>
    <t>Sunshine Radio Herefordshire</t>
  </si>
  <si>
    <t>http://icecast.easystream.co.uk:8000/monmouth</t>
  </si>
  <si>
    <t>Sunshine Radio Monmouthshire</t>
  </si>
  <si>
    <t>http://icecast.easystream.co.uk:8000/sunshine855</t>
  </si>
  <si>
    <t>Sunshine Radio Shropshire</t>
  </si>
  <si>
    <t>http://s2.xrad.io:8058/stream</t>
  </si>
  <si>
    <t>Swinging Radio 60s</t>
  </si>
  <si>
    <t>http://radio.talkradio.co.uk/stream?ref=rf</t>
  </si>
  <si>
    <t>TalkRadio</t>
  </si>
  <si>
    <t>http://radio.talksport.com/stream?aisGetOriginalStream=true</t>
  </si>
  <si>
    <t>talkSPORT UK</t>
  </si>
  <si>
    <t>http://radio.talksport.com/stream2?ref=rf</t>
  </si>
  <si>
    <t>talkSPORT 2</t>
  </si>
  <si>
    <t>http://edge-bauermz-01-gos2.sharp-stream.com/tayfm.mp3?aw_0_1st.skey=1664908624</t>
  </si>
  <si>
    <t>Tay FM</t>
  </si>
  <si>
    <t>http://edge-bauermz-01-gos2.sharp-stream.com/tayam.mp3?aw_0_1st.skey=1664908624</t>
  </si>
  <si>
    <t>Tay 2</t>
  </si>
  <si>
    <t>http://uk3.internet-radio.com:8154/live</t>
  </si>
  <si>
    <t>TD9 Radio</t>
  </si>
  <si>
    <t>http://edge-bauermz-01-gos2.sharp-stream.com/tfm.mp3?aw_0_1st.skey=1664908625</t>
  </si>
  <si>
    <t>TFM</t>
  </si>
  <si>
    <t>http://streaming.live365.com/a31231</t>
  </si>
  <si>
    <t>theGIANT</t>
  </si>
  <si>
    <t>http://uk7.internet-radio.com:8352/stream</t>
  </si>
  <si>
    <t>The Groove</t>
  </si>
  <si>
    <t>http://therockservice.servebeer.com:8001/</t>
  </si>
  <si>
    <t>The Rock Service</t>
  </si>
  <si>
    <t>http://therockservice.servebeer.com:7999/</t>
  </si>
  <si>
    <t>http://therockservice.servebeer.com:7997/</t>
  </si>
  <si>
    <t>http://therockservice.servebeer.com:7993/</t>
  </si>
  <si>
    <t>http://icecast3.rosisystems.com:8000/thevoice.mp3</t>
  </si>
  <si>
    <t>The Voice</t>
  </si>
  <si>
    <t>http://icecast3.rosisystems.com:8000/thevoice_hq</t>
  </si>
  <si>
    <t>http://edge-bauermz-01-gos2.sharp-stream.com/net1swansea.mp3?aw_0_1st.skey=1664908626</t>
  </si>
  <si>
    <t>The Wave</t>
  </si>
  <si>
    <t>http://streaming.broadcastradio.com:10760/thisisthecoast</t>
  </si>
  <si>
    <t>This is the Coast</t>
  </si>
  <si>
    <t>http://listen-lycaradio.sharp-stream.com/1075.mp3?ref=RF</t>
  </si>
  <si>
    <t>Time 107.5</t>
  </si>
  <si>
    <t>http://aries.streaming.zfast.co.uk:8024/stream</t>
  </si>
  <si>
    <t>Timeless Radio</t>
  </si>
  <si>
    <t>http://timesradio.wireless.radio/stream?ref=rf</t>
  </si>
  <si>
    <t>Times Radio</t>
  </si>
  <si>
    <t>http://s6.citrus3.com:8310/stream</t>
  </si>
  <si>
    <t>Together Radio</t>
  </si>
  <si>
    <t>http://s3.voscast.com:9532/</t>
  </si>
  <si>
    <t>Trickstar Radio</t>
  </si>
  <si>
    <t>http://streaming02.zfast.co.uk:8020/stream</t>
  </si>
  <si>
    <t>Two Lochs Radio West</t>
  </si>
  <si>
    <t>http://edge-audio-03-gos2.sharp-stream.com:80/twruk.mp3</t>
  </si>
  <si>
    <t>TWR-UK</t>
  </si>
  <si>
    <t>http://stream1.themediasite.co.uk:8008/stream</t>
  </si>
  <si>
    <t>TX1 Radio</t>
  </si>
  <si>
    <t>http://wg.cdn.tibus.net/U105LQ?ref=RF</t>
  </si>
  <si>
    <t>U105</t>
  </si>
  <si>
    <t>http://wg.cdn.tibus.net/U105?ref=RF</t>
  </si>
  <si>
    <t>http://edge-audio-03-gos2.sharp-stream.com:80/ucbuk.mp3</t>
  </si>
  <si>
    <t>UCB 1</t>
  </si>
  <si>
    <t>http://edge-audio-03-gos2.sharp-stream.com:80/ucbinspirational.mp3</t>
  </si>
  <si>
    <t>UCB 2</t>
  </si>
  <si>
    <t>http://eclipse.galaxywebsolutions.com:7571/live</t>
  </si>
  <si>
    <t>Unity DAB</t>
  </si>
  <si>
    <t>http://edge-audio-03-gos2.sharp-stream.com:80/urfonline.mp3</t>
  </si>
  <si>
    <t>URF University Radio Falmer</t>
  </si>
  <si>
    <t>http://live.canstream.co.uk:8000/ucaradio.mp3</t>
  </si>
  <si>
    <t>UWS Radio</t>
  </si>
  <si>
    <t>http://stream.v2radio.co.uk:80/V2RadioHQMP3</t>
  </si>
  <si>
    <t>V2 Radio</t>
  </si>
  <si>
    <t>http://stream.v2radio.co.uk:80/V2RadioDAB</t>
  </si>
  <si>
    <t>http://playoutonestreaming.com:8133/mp3</t>
  </si>
  <si>
    <t>Victory</t>
  </si>
  <si>
    <t>http://edge-bauermz-01-gos2.sharp-stream.com/viking.mp3?aw_0_1st.skey=1664908628</t>
  </si>
  <si>
    <t>Viking FM</t>
  </si>
  <si>
    <t>http://radio.virginradio.co.uk/stream?ref=rf</t>
  </si>
  <si>
    <t>Virgin Radio</t>
  </si>
  <si>
    <t>Virgin</t>
  </si>
  <si>
    <t>http://radio.virginradio.co.uk/stream-pride?ref=rf</t>
  </si>
  <si>
    <t>Virgin Radio 80s PLUS</t>
  </si>
  <si>
    <t>http://radio.virginradio.co.uk/stream-anthems?ref=rf</t>
  </si>
  <si>
    <t>Virgin Radio Anthems</t>
  </si>
  <si>
    <t>http://radio.virginradio.co.uk/stream-chilled?ref=rf</t>
  </si>
  <si>
    <t>Virgin Radio Chilled</t>
  </si>
  <si>
    <t>http://s6.voscast.com:9980/stream</t>
  </si>
  <si>
    <t>Voice of Islam</t>
  </si>
  <si>
    <t>http://edge-bauermz-01-gos2.sharp-stream.com/wave105.mp3?aw_0_1st.skey=1664908629</t>
  </si>
  <si>
    <t>Wave 105</t>
  </si>
  <si>
    <t>http://stream3.radiomonitor.com/WavesRadio?token=Y4iDZWuChWhki4eIk8iypISzsZqh</t>
  </si>
  <si>
    <t>Waves Radio</t>
  </si>
  <si>
    <t>http://edge-bauermz-01-gos2.sharp-stream.com/westfm.mp3?aw_0_1st.skey=1664908630</t>
  </si>
  <si>
    <t>West FM</t>
  </si>
  <si>
    <t>http://edge-bauermz-01-gos2.sharp-stream.com/westsound.mp3?aw_0_1st.skey=1664908630</t>
  </si>
  <si>
    <t>West Sound Ayrshire</t>
  </si>
  <si>
    <t>http://edge-bauermz-01-gos2.sharp-stream.com/westsoundfm.mp3?aw_0_1st.skey=1664908630</t>
  </si>
  <si>
    <t>West Sound Dumfries &amp; Galloway</t>
  </si>
  <si>
    <t>http://s2.stationplaylist.com:7012/listen.mp3</t>
  </si>
  <si>
    <t>Winchester Today Launches October 8th</t>
  </si>
  <si>
    <t>http://uksouth.streaming.broadcast.radio:16190/wowblackpool</t>
  </si>
  <si>
    <t>Wow Blackpool WBPL Launches October</t>
  </si>
  <si>
    <t>http://streaming.edmradio.online:8025/WRN-E</t>
  </si>
  <si>
    <t>WRN Europe</t>
  </si>
  <si>
    <t>http://radio.canstream.co.uk:8039/live.mp3</t>
  </si>
  <si>
    <t>Wyvern formerly Youthcomm Radio</t>
  </si>
  <si>
    <t>http://edge-audio-03-gos2.sharp-stream.com:80/xrhythms.mp3</t>
  </si>
  <si>
    <t>xRhythms</t>
  </si>
  <si>
    <t>http://icecast.thisisdax.com/RealXSManchesterMP3</t>
  </si>
  <si>
    <t>106.1 XS Manchester</t>
  </si>
  <si>
    <t>http://ec1.yesstreaming.net:1490/stream</t>
  </si>
  <si>
    <t>YO1 Radio North Yorkshire</t>
  </si>
  <si>
    <t>http://stream2.hippynet.co.uk:8020/mobile</t>
  </si>
  <si>
    <t>YorkMix Radio</t>
  </si>
  <si>
    <t>http://stream2.hippynet.co.uk:8020/streamb</t>
  </si>
  <si>
    <t>http://stream2.hippynet.co.uk:8021/stream</t>
  </si>
  <si>
    <t>http://streaming.broadcastradio.com:11040/yourharrogate</t>
  </si>
  <si>
    <t>Your Harrogate</t>
  </si>
  <si>
    <t>http://vps.zestliverpool.com:8000/4</t>
  </si>
  <si>
    <t>Zest</t>
  </si>
  <si>
    <t>http://vps.zestliverpool.com:8000/3</t>
  </si>
  <si>
    <t>Absolute Classic Rock.jpg</t>
  </si>
  <si>
    <t>Absolute Radio 00s.jpg</t>
  </si>
  <si>
    <t>Absolute Radio 10s.jpg</t>
  </si>
  <si>
    <t>Absolute Radio 20s.jpg</t>
  </si>
  <si>
    <t>Absolute Radio 60s.jpg</t>
  </si>
  <si>
    <t>Absolute Radio 70s.jpg</t>
  </si>
  <si>
    <t>Absolute Radio 90s.jpg</t>
  </si>
  <si>
    <t>Absolute Radio Country.jpg</t>
  </si>
  <si>
    <t>Absolute Radio.jpg</t>
  </si>
  <si>
    <t>Angel Radio.png</t>
  </si>
  <si>
    <t>Ashdown Radio.png</t>
  </si>
  <si>
    <t>Aspen Waite Radio.png</t>
  </si>
  <si>
    <t>B Radio - Berkshire.png</t>
  </si>
  <si>
    <t>B Radio - Hampshire &amp; Surrey.png</t>
  </si>
  <si>
    <t>BBC Asian Network.png</t>
  </si>
  <si>
    <t>BBC CWR.png</t>
  </si>
  <si>
    <t>BBC Essex.png</t>
  </si>
  <si>
    <t>BBC Guernsey.png</t>
  </si>
  <si>
    <t>BBC Hereford &amp; Worcester.png</t>
  </si>
  <si>
    <t>BBC Radio 1Xtra.png</t>
  </si>
  <si>
    <t>BBC Radio 2.png</t>
  </si>
  <si>
    <t>BBC Radio 3.png</t>
  </si>
  <si>
    <t>BBC Radio 4 Extra.png</t>
  </si>
  <si>
    <t>BBC Radio 5 Live.png</t>
  </si>
  <si>
    <t>BBC Radio 5 Sports Extra.png</t>
  </si>
  <si>
    <t>BBC Radio 6 Music.png</t>
  </si>
  <si>
    <t>BBC Radio Berkshire.png</t>
  </si>
  <si>
    <t>BBC Radio Bristol.png</t>
  </si>
  <si>
    <t>BBC Radio Cambridgeshire.png</t>
  </si>
  <si>
    <t>BBC Radio Cornwall.png</t>
  </si>
  <si>
    <t>BBC Radio Cymru 2.png</t>
  </si>
  <si>
    <t>BBC Radio Cymru.png</t>
  </si>
  <si>
    <t>BBC Radio Derby.png</t>
  </si>
  <si>
    <t>BBC Radio Devon.png</t>
  </si>
  <si>
    <t>BBC Radio Foyle.png</t>
  </si>
  <si>
    <t>BBC Radio Gloucestershire.png</t>
  </si>
  <si>
    <t>BBC Radio Guernsey Extra.png</t>
  </si>
  <si>
    <t>BBC Radio Humberside.png</t>
  </si>
  <si>
    <t>BBC Radio Jersey Extra.png</t>
  </si>
  <si>
    <t>BBC Radio Jersey.png</t>
  </si>
  <si>
    <t>BBC Radio Kent.png</t>
  </si>
  <si>
    <t>BBC Radio Lancashire.png</t>
  </si>
  <si>
    <t>BBC Radio Leeds.png</t>
  </si>
  <si>
    <t>BBC Radio Leicester.png</t>
  </si>
  <si>
    <t>BBC Radio Lincolnshire.png</t>
  </si>
  <si>
    <t>BBC Radio Merseyside.png</t>
  </si>
  <si>
    <t>BBC Radio Nan Gaidheal.png</t>
  </si>
  <si>
    <t>BBC Radio Newcastle.png</t>
  </si>
  <si>
    <t>BBC Radio Norfolk.png</t>
  </si>
  <si>
    <t>BBC Radio Northampton.png</t>
  </si>
  <si>
    <t>BBC Radio Nottingham.png</t>
  </si>
  <si>
    <t>BBC Radio Orkney.png</t>
  </si>
  <si>
    <t>BBC Radio Oxford.png</t>
  </si>
  <si>
    <t>BBC Radio Scotland.png</t>
  </si>
  <si>
    <t>BBC Radio Sheffield.png</t>
  </si>
  <si>
    <t>BBC Radio Shetland.png</t>
  </si>
  <si>
    <t>BBC Radio Shropshire.png</t>
  </si>
  <si>
    <t>BBC Radio Solent Dorset.png</t>
  </si>
  <si>
    <t>BBC Radio Solent.png</t>
  </si>
  <si>
    <t>BBC Radio Somerset.png</t>
  </si>
  <si>
    <t>BBC Radio Stoke.png</t>
  </si>
  <si>
    <t>BBC Radio Suffolk.png</t>
  </si>
  <si>
    <t>BBC Radio Surrey.png</t>
  </si>
  <si>
    <t>BBC Radio Sussex.png</t>
  </si>
  <si>
    <t>BBC Radio Tees.png</t>
  </si>
  <si>
    <t>BBC Radio Ulster.png</t>
  </si>
  <si>
    <t>BBC Radio Wales.png</t>
  </si>
  <si>
    <t>BBC Radio Wiltshire.png</t>
  </si>
  <si>
    <t>BBC Radio WM.png</t>
  </si>
  <si>
    <t>BBC Radio York.png</t>
  </si>
  <si>
    <t>BBC Three Counties Radio.png</t>
  </si>
  <si>
    <t>BBC World Service.png</t>
  </si>
  <si>
    <t>BCfm.jpg</t>
  </si>
  <si>
    <t>Beyond Radio.png</t>
  </si>
  <si>
    <t>BFBS Gurkha.jpg</t>
  </si>
  <si>
    <t>Black Country Radio.png</t>
  </si>
  <si>
    <t>Bradley Stoke.jpg</t>
  </si>
  <si>
    <t>Cambridge 105 Radio.jpg</t>
  </si>
  <si>
    <t>Capital XTRA Reloaded.jpg</t>
  </si>
  <si>
    <t>CFM.jpg</t>
  </si>
  <si>
    <t>Channel 103.png</t>
  </si>
  <si>
    <t>Clyde 1.jpg</t>
  </si>
  <si>
    <t>Clyde 2.jpg</t>
  </si>
  <si>
    <t>Cool FM.jpg</t>
  </si>
  <si>
    <t>Cosoro Radio.png</t>
  </si>
  <si>
    <t>Dales Radio.png</t>
  </si>
  <si>
    <t>Dean Radio.png</t>
  </si>
  <si>
    <t>Downtown Country.jpg</t>
  </si>
  <si>
    <t>Downtown Radio.jpg</t>
  </si>
  <si>
    <t>East Devon Radio.png</t>
  </si>
  <si>
    <t>Forth 1.jpg</t>
  </si>
  <si>
    <t>Forth 2.jpg</t>
  </si>
  <si>
    <t>Free Radio (Birmingham).jpg</t>
  </si>
  <si>
    <t>Free Radio (Black Country).jpg</t>
  </si>
  <si>
    <t>Free Radio (Coventry &amp; Warwickshire).jpg</t>
  </si>
  <si>
    <t>Free Radio (Herefordshire &amp; Worcestershire).jpg</t>
  </si>
  <si>
    <t>Free Radio (Shropshire).jpg</t>
  </si>
  <si>
    <t>Fun Kids Naps.png</t>
  </si>
  <si>
    <t>Gaydio Brighton.png</t>
  </si>
  <si>
    <t>Gaydio Manchester.png</t>
  </si>
  <si>
    <t>Gaydio UK.png</t>
  </si>
  <si>
    <t>Gem.jpg</t>
  </si>
  <si>
    <t>Gold Cambridgshire.jpg</t>
  </si>
  <si>
    <t>Gold Derby.jpg</t>
  </si>
  <si>
    <t>Gold Northampton.jpg</t>
  </si>
  <si>
    <t>Gold Nottingham.jpg</t>
  </si>
  <si>
    <t>Gorgeous.png</t>
  </si>
  <si>
    <t>Greatest Hits Radio (Bristol &amp; The South West).jpg</t>
  </si>
  <si>
    <t>Greatest Hits Radio (Derbyshire).jpg</t>
  </si>
  <si>
    <t>Greatest Hits Radio (Devon).jpg</t>
  </si>
  <si>
    <t>Greatest Hits Radio (London).jpg</t>
  </si>
  <si>
    <t>Greatest Hits Radio (South Coast).jpg</t>
  </si>
  <si>
    <t>Greatest Hits Radio (South Wales).jpg</t>
  </si>
  <si>
    <t>Greatest Hits Radio (Sussex).jpg</t>
  </si>
  <si>
    <t>Greatest Hits Radio (Swindon).jpg</t>
  </si>
  <si>
    <t>Greatest Hits Radio (West Yorkshire).jpg</t>
  </si>
  <si>
    <t>Greatest Hits Radio (York and North Yorkshire).jpg</t>
  </si>
  <si>
    <t>Greatest Hits Radio (Yorkshire Coast).jpg</t>
  </si>
  <si>
    <t>Hallam FM.jpg</t>
  </si>
  <si>
    <t>Heart 00s.jpg</t>
  </si>
  <si>
    <t>Heart 70s.jpg</t>
  </si>
  <si>
    <t>Heart 80s.jpg</t>
  </si>
  <si>
    <t>Heart 90s.jpg</t>
  </si>
  <si>
    <t>Heart Beds - Luton.jpg</t>
  </si>
  <si>
    <t>Heart Berkshire.jpg</t>
  </si>
  <si>
    <t>Heart Dance.jpg</t>
  </si>
  <si>
    <t>Heart Norfolk.jpg</t>
  </si>
  <si>
    <t>Heart Tyne &amp; Wear.jpg</t>
  </si>
  <si>
    <t>Heart Wiltshire.jpg</t>
  </si>
  <si>
    <t>heat Radio.jpg</t>
  </si>
  <si>
    <t>Hits Radio (London).jpg</t>
  </si>
  <si>
    <t>Hits Radio (Manchester).jpg</t>
  </si>
  <si>
    <t>Hits Radio (North Yorkshire).jpg</t>
  </si>
  <si>
    <t>Hits Radio (South Coast).jpg</t>
  </si>
  <si>
    <t>Hits Radio Pride.jpg</t>
  </si>
  <si>
    <t>Hub Radio.png</t>
  </si>
  <si>
    <t>Island FM.png</t>
  </si>
  <si>
    <t>JACK 2 Oxfordshire.png</t>
  </si>
  <si>
    <t>JACK 3 Oxfordshire.png</t>
  </si>
  <si>
    <t>JACKfm Oxfordshire.png</t>
  </si>
  <si>
    <t>Jazz FM.jpg</t>
  </si>
  <si>
    <t>Juice 1038.png</t>
  </si>
  <si>
    <t>Kerrang! Radio.jpg</t>
  </si>
  <si>
    <t>Kingdom FM.png</t>
  </si>
  <si>
    <t>KISS BLISS.jpg</t>
  </si>
  <si>
    <t>KISS DANCE.jpg</t>
  </si>
  <si>
    <t>KISS GARAGE.jpg</t>
  </si>
  <si>
    <t>KISSTORY.jpg</t>
  </si>
  <si>
    <t>Lincs FM.jpg</t>
  </si>
  <si>
    <t>Magic at the Musicals.jpg</t>
  </si>
  <si>
    <t>Magic Chilled.jpg</t>
  </si>
  <si>
    <t>Magic Soul.jpg</t>
  </si>
  <si>
    <t>Manx Radio FM .png</t>
  </si>
  <si>
    <t>Marlow FM.png</t>
  </si>
  <si>
    <t>Mellow Magic.jpg</t>
  </si>
  <si>
    <t>Metro Radio.jpg</t>
  </si>
  <si>
    <t>MFR 2.jpg</t>
  </si>
  <si>
    <t>MFR.jpg</t>
  </si>
  <si>
    <t>NOODS Radio.png</t>
  </si>
  <si>
    <t>Northsound 1.jpg</t>
  </si>
  <si>
    <t>Northsound 2.jpg</t>
  </si>
  <si>
    <t>Pirate FM.jpg</t>
  </si>
  <si>
    <t>Planet Rock.jpg</t>
  </si>
  <si>
    <t>Pulse 1.jpg</t>
  </si>
  <si>
    <t>Radio Borders.jpg</t>
  </si>
  <si>
    <t>Radio City.jpg</t>
  </si>
  <si>
    <t>Radio Exe Devon.png</t>
  </si>
  <si>
    <t>Radio X London.jpg</t>
  </si>
  <si>
    <t>Radio X Manchester.jpg</t>
  </si>
  <si>
    <t>Revolution Radio.png</t>
  </si>
  <si>
    <t>Rock FM.jpg</t>
  </si>
  <si>
    <t>Rother Radio.png</t>
  </si>
  <si>
    <t>Scala Radio.jpg</t>
  </si>
  <si>
    <t>Signal 1.jpg</t>
  </si>
  <si>
    <t>Smooth Chill.jpg</t>
  </si>
  <si>
    <t>Smooth Country.jpg</t>
  </si>
  <si>
    <t>Soleil Radio.png</t>
  </si>
  <si>
    <t>Somer Valley.jpg</t>
  </si>
  <si>
    <t>Star Radio - Cambridgeshire.png</t>
  </si>
  <si>
    <t>TalkRadio.png</t>
  </si>
  <si>
    <t>talkSPORT 2.png</t>
  </si>
  <si>
    <t>Tameside Radio.png</t>
  </si>
  <si>
    <t>Tay 2.jpg</t>
  </si>
  <si>
    <t>Tay FM.jpg</t>
  </si>
  <si>
    <t>TFM.jpg</t>
  </si>
  <si>
    <t>The Wave.jpg</t>
  </si>
  <si>
    <t>This is the Coast.png</t>
  </si>
  <si>
    <t>Thornbury Radio.png</t>
  </si>
  <si>
    <t>Times Radio.png</t>
  </si>
  <si>
    <t>Ujima.png</t>
  </si>
  <si>
    <t>V2 Radio.png</t>
  </si>
  <si>
    <t>Viking FM.jpg</t>
  </si>
  <si>
    <t>Wave 105.jpg</t>
  </si>
  <si>
    <t>Wave FM (Dundee).png</t>
  </si>
  <si>
    <t>Wave FM (Perth).png</t>
  </si>
  <si>
    <t>West FM.jpg</t>
  </si>
  <si>
    <t>Westsound.jpg</t>
  </si>
  <si>
    <t>Absolute Radio 20s</t>
  </si>
  <si>
    <t>Angel Radio</t>
  </si>
  <si>
    <t>Ashdown Radio</t>
  </si>
  <si>
    <t>B Radio - Berkshire</t>
  </si>
  <si>
    <t>B Radio - Hampshire &amp; Surrey</t>
  </si>
  <si>
    <t>BBC Guernsey</t>
  </si>
  <si>
    <t>BBC Radio Cambridgeshire</t>
  </si>
  <si>
    <t>BBC Radio Cymru</t>
  </si>
  <si>
    <t>BBC Radio Derby</t>
  </si>
  <si>
    <t>BBC Radio Devon</t>
  </si>
  <si>
    <t>BBC Radio Guernsey Extra</t>
  </si>
  <si>
    <t>BBC Radio Humberside</t>
  </si>
  <si>
    <t>BBC Radio Jersey Extra</t>
  </si>
  <si>
    <t>BBC Radio Jersey</t>
  </si>
  <si>
    <t>BBC Radio Nan Gaidheal</t>
  </si>
  <si>
    <t>BBC Radio Scotland</t>
  </si>
  <si>
    <t>BBC Radio Solent Dorset</t>
  </si>
  <si>
    <t>BBC Radio Solent</t>
  </si>
  <si>
    <t>BBC Radio Wales</t>
  </si>
  <si>
    <t>BBC Radio Wiltshire</t>
  </si>
  <si>
    <t>BBC Radio York</t>
  </si>
  <si>
    <t>BCfm</t>
  </si>
  <si>
    <t>BFBS Gurkha</t>
  </si>
  <si>
    <t>Black Country Radio</t>
  </si>
  <si>
    <t>Boom Radio UK</t>
  </si>
  <si>
    <t>Bradley Stoke</t>
  </si>
  <si>
    <t>Cambridge 105 Radio</t>
  </si>
  <si>
    <t>CFM</t>
  </si>
  <si>
    <t>Dales Radio</t>
  </si>
  <si>
    <t>Dean Radio</t>
  </si>
  <si>
    <t>East Devon Radio</t>
  </si>
  <si>
    <t>Free Radio (Birmingham)</t>
  </si>
  <si>
    <t>Free Radio (Black Country)</t>
  </si>
  <si>
    <t>Free Radio (Coventry &amp; Warwickshire)</t>
  </si>
  <si>
    <t>Free Radio (Herefordshire &amp; Worcestershire)</t>
  </si>
  <si>
    <t>Free Radio (Shropshire)</t>
  </si>
  <si>
    <t>Gaydio Brighton</t>
  </si>
  <si>
    <t>Gaydio Manchester</t>
  </si>
  <si>
    <t>Gold Cambridgshire</t>
  </si>
  <si>
    <t>Gold Derby</t>
  </si>
  <si>
    <t>Gold Northampton</t>
  </si>
  <si>
    <t>Gold Nottingham</t>
  </si>
  <si>
    <t>Greatest Hits Radio (Bristol &amp; The South West)</t>
  </si>
  <si>
    <t>Greatest Hits Radio (Derbyshire)</t>
  </si>
  <si>
    <t>Greatest Hits Radio (Devon)</t>
  </si>
  <si>
    <t>Greatest Hits Radio (London)</t>
  </si>
  <si>
    <t>Greatest Hits Radio (South Coast)</t>
  </si>
  <si>
    <t>Greatest Hits Radio (South Wales)</t>
  </si>
  <si>
    <t>Greatest Hits Radio (Sussex)</t>
  </si>
  <si>
    <t>Greatest Hits Radio (Swindon)</t>
  </si>
  <si>
    <t>Greatest Hits Radio (West Yorkshire)</t>
  </si>
  <si>
    <t>Greatest Hits Radio (York and North Yorkshire)</t>
  </si>
  <si>
    <t>Greatest Hits Radio (Yorkshire Coast)</t>
  </si>
  <si>
    <t>Greatest Hits Radio</t>
  </si>
  <si>
    <t>Heart Beds - Luton</t>
  </si>
  <si>
    <t>Heart Berkshire</t>
  </si>
  <si>
    <t>Heart Norfolk</t>
  </si>
  <si>
    <t>Heart Tyne &amp; Wear</t>
  </si>
  <si>
    <t>Heart Wiltshire</t>
  </si>
  <si>
    <t>Hits Radio (London)</t>
  </si>
  <si>
    <t>Hits Radio (Manchester)</t>
  </si>
  <si>
    <t>Hits Radio (North Yorkshire)</t>
  </si>
  <si>
    <t>Hits Radio (South Coast)</t>
  </si>
  <si>
    <t>Hits Radio</t>
  </si>
  <si>
    <t>JACK 2 Oxfordshire</t>
  </si>
  <si>
    <t>JACK 3 Oxfordshire</t>
  </si>
  <si>
    <t>JACKfm Oxfordshire</t>
  </si>
  <si>
    <t>Juice 1038</t>
  </si>
  <si>
    <t>KISS BLISS</t>
  </si>
  <si>
    <t>KISS DANCE</t>
  </si>
  <si>
    <t>KISS GARAGE</t>
  </si>
  <si>
    <t>KISS</t>
  </si>
  <si>
    <t xml:space="preserve">Manx Radio FM </t>
  </si>
  <si>
    <t>Marlow FM</t>
  </si>
  <si>
    <t>NOODS Radio</t>
  </si>
  <si>
    <t>Pirate FM</t>
  </si>
  <si>
    <t>Radio Exe Devon</t>
  </si>
  <si>
    <t>Revolution Radio</t>
  </si>
  <si>
    <t>Somer Valley</t>
  </si>
  <si>
    <t>Star Radio - Cambridgeshire</t>
  </si>
  <si>
    <t>talkSPORT</t>
  </si>
  <si>
    <t>Tameside Radio</t>
  </si>
  <si>
    <t>Thornbury Radio</t>
  </si>
  <si>
    <t>Ujima</t>
  </si>
  <si>
    <t>Wave FM (Dundee)</t>
  </si>
  <si>
    <t>Wave FM (Perth)</t>
  </si>
  <si>
    <t>Westsound</t>
  </si>
  <si>
    <t>grouping</t>
  </si>
  <si>
    <t>BBC Local</t>
  </si>
  <si>
    <t>BBC Global</t>
  </si>
  <si>
    <t>BBC National</t>
  </si>
  <si>
    <t>company</t>
  </si>
  <si>
    <t>BBC</t>
  </si>
  <si>
    <t>Global</t>
  </si>
  <si>
    <t>LBC</t>
  </si>
  <si>
    <t>Bauer Media</t>
  </si>
  <si>
    <t>Free Radio</t>
  </si>
  <si>
    <t>Magic</t>
  </si>
  <si>
    <t>Wave</t>
  </si>
  <si>
    <t>Tay</t>
  </si>
  <si>
    <t>Northsound</t>
  </si>
  <si>
    <t>Forth</t>
  </si>
  <si>
    <t>Downtown</t>
  </si>
  <si>
    <t>Clyde</t>
  </si>
  <si>
    <t>Radio X</t>
  </si>
  <si>
    <t>Aiir</t>
  </si>
  <si>
    <t>Wireless</t>
  </si>
  <si>
    <t>B Radio</t>
  </si>
  <si>
    <t>Boom</t>
  </si>
  <si>
    <t>JACK</t>
  </si>
  <si>
    <t>match chk</t>
  </si>
  <si>
    <t>spacer</t>
  </si>
  <si>
    <t xml:space="preserve"> </t>
  </si>
  <si>
    <t>logoMissing</t>
  </si>
  <si>
    <t>logoFile</t>
  </si>
  <si>
    <t>StreamType</t>
  </si>
  <si>
    <t>3FM</t>
  </si>
  <si>
    <t>48s</t>
  </si>
  <si>
    <t>128s</t>
  </si>
  <si>
    <t>48m</t>
  </si>
  <si>
    <t>56s</t>
  </si>
  <si>
    <t>256s</t>
  </si>
  <si>
    <t>Barts Radio</t>
  </si>
  <si>
    <t>64s</t>
  </si>
  <si>
    <t>192s</t>
  </si>
  <si>
    <t>320s</t>
  </si>
  <si>
    <t>24s</t>
  </si>
  <si>
    <t>big beat brighton</t>
  </si>
  <si>
    <t>CandoFM</t>
  </si>
  <si>
    <t>103.1 Central FM</t>
  </si>
  <si>
    <t>Dubai Now</t>
  </si>
  <si>
    <t>EWTN</t>
  </si>
  <si>
    <t>80s</t>
  </si>
  <si>
    <t>Frisk Radio</t>
  </si>
  <si>
    <t>32s</t>
  </si>
  <si>
    <t>Leicester Community Radio</t>
  </si>
  <si>
    <t>Magic Radio at the Movies</t>
  </si>
  <si>
    <t>96s</t>
  </si>
  <si>
    <t>Mixer Radio</t>
  </si>
  <si>
    <t>12m</t>
  </si>
  <si>
    <t>Regency Radio</t>
  </si>
  <si>
    <t>RNIB Connect Radio</t>
  </si>
  <si>
    <t>32m</t>
  </si>
  <si>
    <t>The Voice Of Doom</t>
  </si>
  <si>
    <t>160s</t>
  </si>
  <si>
    <t>64m</t>
  </si>
  <si>
    <t>Winchester Today</t>
  </si>
  <si>
    <t>112s</t>
  </si>
  <si>
    <t>96m</t>
  </si>
  <si>
    <t>BBC Radio nan GÃƒÂ idheal</t>
  </si>
  <si>
    <t>Marefa Radio</t>
  </si>
  <si>
    <t>24m</t>
  </si>
  <si>
    <t>56m</t>
  </si>
  <si>
    <t>128m</t>
  </si>
  <si>
    <t>http://n02a-eu.rcs.revma.com:80/0kv9v43t87zuv</t>
  </si>
  <si>
    <t>http://stream.mybroadbandradio.com/80srhythm?ref=RF</t>
  </si>
  <si>
    <t>http://edge-bauerabsolute-05-gos2.sharp-stream.com/absoluteclassicrock.aac?aw_0_1st.skey=1666797679&amp;aw_0_1st.playerid=BMUK_RPi</t>
  </si>
  <si>
    <t>http://edge-bauerabsolute-05-gos2.sharp-stream.com/absoluteclassicrockhigh.aac?aw_0_1st.skey=1666797679&amp;aw_0_1st.playerid=BMUK_RPi</t>
  </si>
  <si>
    <t>http://edge-bauerabsolute-05-gos2.sharp-stream.com/absoluteradio.aac?aw_0_1st.skey=1666797679&amp;aw_0_1st.playerid=BMUK_RPi</t>
  </si>
  <si>
    <t>http://edge-bauerabsolute-05-gos2.sharp-stream.com/absoluteradiohigh.aac?aw_0_1st.skey=1666797679&amp;aw_0_1st.playerid=BMUK_RPi</t>
  </si>
  <si>
    <t>http://edge-bauerabsolute-05-gos2.sharp-stream.com/absolute60s.aac?aw_0_1st.skey=1666797679&amp;aw_0_1st.playerid=BMUK_RPi</t>
  </si>
  <si>
    <t>http://edge-bauerabsolute-05-gos2.sharp-stream.com/absolute60shigh.aac?aw_0_1st.skey=1666797679&amp;aw_0_1st.playerid=BMUK_RPi</t>
  </si>
  <si>
    <t>http://edge-bauerabsolute-05-gos2.sharp-stream.com/absolute70s.aac?aw_0_1st.skey=1666797680&amp;aw_0_1st.playerid=BMUK_RPi</t>
  </si>
  <si>
    <t>http://edge-bauerabsolute-05-gos2.sharp-stream.com/absolute70shigh.aac?aw_0_1st.skey=1666797680&amp;aw_0_1st.playerid=BMUK_RPi</t>
  </si>
  <si>
    <t>http://edge-bauerabsolute-05-gos2.sharp-stream.com/absolute80s.aac?aw_0_1st.skey=1666797680&amp;aw_0_1st.playerid=BMUK_RPi</t>
  </si>
  <si>
    <t>http://edge-bauerabsolute-05-gos2.sharp-stream.com/absolute80shigh.aac?aw_0_1st.skey=1666797680&amp;aw_0_1st.playerid=BMUK_RPi</t>
  </si>
  <si>
    <t>http://edge-bauerabsolute-05-gos2.sharp-stream.com/absolute90s.aac?aw_0_1st.skey=1666797680&amp;aw_0_1st.playerid=BMUK_RPi</t>
  </si>
  <si>
    <t>http://edge-bauerabsolute-05-gos2.sharp-stream.com/absolute90shigh.aac?aw_0_1st.skey=1666797681&amp;aw_0_1st.playerid=BMUK_RPi</t>
  </si>
  <si>
    <t>http://edge-bauerabsolute-05-gos2.sharp-stream.com/absolute00s.aac?aw_0_1st.skey=1666797681&amp;aw_0_1st.playerid=BMUK_RPi</t>
  </si>
  <si>
    <t>http://edge-bauerabsolute-05-gos2.sharp-stream.com/absolute00shigh.aac?aw_0_1st.skey=1666797681&amp;aw_0_1st.playerid=BMUK_RPi</t>
  </si>
  <si>
    <t>http://edge-bauerabsolute-05-gos2.sharp-stream.com/absolute10s.aac?aw_0_1st.skey=1666797681&amp;aw_0_1st.playerid=BMUK_RPi</t>
  </si>
  <si>
    <t>http://edge-bauerabsolute-05-gos2.sharp-stream.com/absolute10shigh.aac?aw_0_1st.skey=1666797681&amp;aw_0_1st.playerid=BMUK_RPi</t>
  </si>
  <si>
    <t>http://edge-bauermz-01-gos2.sharp-stream.com/webcast3.aac?aw_0_1st.skey=1666797681</t>
  </si>
  <si>
    <t>http://edge-bauermz-01-gos2.sharp-stream.com/webcast3high.aac?aw_0_1st.skey=1666797682</t>
  </si>
  <si>
    <t>http://edge-bauerabsolute-05-gos2.sharp-stream.com/absolutecountry.aac?aw_0_1st.skey=1666797682</t>
  </si>
  <si>
    <t>http://listen-actualradio.sharp-stream.com/actualradio.aac?ref=RF</t>
  </si>
  <si>
    <t>http://centauri.shoutca.st:8284/aac</t>
  </si>
  <si>
    <t>http://live.argyllfm.com/stream6?ref=RF</t>
  </si>
  <si>
    <t>http://live.argyllfm.com/stream3?ref=RF</t>
  </si>
  <si>
    <t>http://listen-awaite.sharp-stream.com/aspenwaiteprem.aac?ref=RF</t>
  </si>
  <si>
    <t>http://listen-atmosphere.sharp-stream.com/mangovibe.aac?ref=RF</t>
  </si>
  <si>
    <t>http://streaming.radio.co:80/sc599f67d7/low</t>
  </si>
  <si>
    <t>http://streaming.radio.co:80/sc599f67d7/listen</t>
  </si>
  <si>
    <t>http://hydra.shoutca.st:8064/stream2</t>
  </si>
  <si>
    <t>http://stream.beyondradio.co.uk:8000/ulow</t>
  </si>
  <si>
    <t>http://stream.beyondradio.co.uk:8000/low</t>
  </si>
  <si>
    <t>http://stream.beyondradio.co.uk:8000/high</t>
  </si>
  <si>
    <t>http://edge-audio-02-thn.sharp-stream.com:80/ssvcbfbs11.aac</t>
  </si>
  <si>
    <t>http://edge-audio-02-thn.sharp-stream.com:80/ssvcbfbs1.aac</t>
  </si>
  <si>
    <t>http://edge-audio-02-thn.sharp-stream.com:80/ssvcbfbs20.aac</t>
  </si>
  <si>
    <t>http://edge-audio-02-thn.sharp-stream.com:80/ssvcbfbs24.aac</t>
  </si>
  <si>
    <t>http://edge-audio-02-thn.sharp-stream.com:80/ssvcbfbs22.aac</t>
  </si>
  <si>
    <t>http://edge-audio-02-thn.sharp-stream.com:80/ssvcbfbs3.aac</t>
  </si>
  <si>
    <t>http://edge-audio-02-thn.sharp-stream.com:80/ssvcbfbs21.aac</t>
  </si>
  <si>
    <t>http://s4.citrus3.com:8366/stream</t>
  </si>
  <si>
    <t>http://listen-boomradio.sharp-stream.com/65_boom_light_48_aac?ref=RF</t>
  </si>
  <si>
    <t>http://listen-boomradio.sharp-stream.com/65_boom_light_64_aac?ref=RF</t>
  </si>
  <si>
    <t>http://listen-boomradio.sharp-stream.com/65_boom_light_256_aac?ref=RF</t>
  </si>
  <si>
    <t>http://listen-boomradio.sharp-stream.com/65_boom_radio_live_48?ref=RF</t>
  </si>
  <si>
    <t>http://listen-boomradio.sharp-stream.com/65_boom_radio_live_64?ref=RF</t>
  </si>
  <si>
    <t>http://listen-boomradio.sharp-stream.com/65_boom_radio_live_192?ref=RF</t>
  </si>
  <si>
    <t>http://listen-nation.sharp-stream.com/tcbridge.aac?ref=RF</t>
  </si>
  <si>
    <t>http://stream4.hippynet.co.uk:8008/mobile</t>
  </si>
  <si>
    <t>http://149.255.59.162:8128/stream</t>
  </si>
  <si>
    <t>http://icecast.thisisdax.com/CapitalCymru</t>
  </si>
  <si>
    <t>http://icecast.thisisdax.com/CapitalLiverpool</t>
  </si>
  <si>
    <t>http://icecast.thisisdax.com/Capital</t>
  </si>
  <si>
    <t>http://icecast.thisisdax.com/CapitalBirmingham</t>
  </si>
  <si>
    <t>http://icecast.thisisdax.com/CapitalCoventry</t>
  </si>
  <si>
    <t>http://icecast.thisisdax.com/CapitalDerbyshire</t>
  </si>
  <si>
    <t>http://icecast.thisisdax.com/CapitalLeicestershire</t>
  </si>
  <si>
    <t>http://icecast.thisisdax.com/CapitalNorthOxfordshire</t>
  </si>
  <si>
    <t>http://icecast.thisisdax.com/CapitalNottinghamshire</t>
  </si>
  <si>
    <t>http://icecast.thisisdax.com/CapitalRugby</t>
  </si>
  <si>
    <t>http://icecast.thisisdax.com/CapitalSouthEastStaffordshire</t>
  </si>
  <si>
    <t>http://icecast.thisisdax.com/CapitalStratford</t>
  </si>
  <si>
    <t>http://icecast.thisisdax.com/CapitalWarwick</t>
  </si>
  <si>
    <t>http://icecast.thisisdax.com/CapitalTeesside</t>
  </si>
  <si>
    <t>http://icecast.thisisdax.com/CapitalTyneWear</t>
  </si>
  <si>
    <t>http://icecast.thisisdax.com/CapitalWalesCoast</t>
  </si>
  <si>
    <t>http://icecast.thisisdax.com/CapitalWirral</t>
  </si>
  <si>
    <t>http://icecast.thisisdax.com/CapitalWrexham</t>
  </si>
  <si>
    <t>http://icecast.thisisdax.com/CapitalBurnley</t>
  </si>
  <si>
    <t>http://icecast.thisisdax.com/CapitalManchester</t>
  </si>
  <si>
    <t>http://icecast.thisisdax.com/CapitalPreston</t>
  </si>
  <si>
    <t>http://icecast.thisisdax.com/CapitalEdinburgh</t>
  </si>
  <si>
    <t>http://icecast.thisisdax.com/CapitalGlasgow</t>
  </si>
  <si>
    <t>http://icecast.thisisdax.com/CapitalBrighton</t>
  </si>
  <si>
    <t>http://icecast.thisisdax.com/CapitalSouthCoast</t>
  </si>
  <si>
    <t>http://icecast.thisisdax.com/CapitalSouthWales</t>
  </si>
  <si>
    <t>http://icecast.thisisdax.com/CapitalUK</t>
  </si>
  <si>
    <t>http://icecast.thisisdax.com/CapitalYorkshireEast</t>
  </si>
  <si>
    <t>http://icecast.thisisdax.com/CapitalYorkshireSouthWest</t>
  </si>
  <si>
    <t>http://icecast.thisisdax.com/CapitalDance</t>
  </si>
  <si>
    <t>http://icecast.thisisdax.com/CapitalXTRALondon</t>
  </si>
  <si>
    <t>http://icecast.thisisdax.com/CapitalXTRANational</t>
  </si>
  <si>
    <t>http://icecast.thisisdax.com/CapitalXTRAReloaded</t>
  </si>
  <si>
    <t>http://listen-careradio.sharp-stream.com/120_care_radio_48_aac?ref=RF</t>
  </si>
  <si>
    <t>http://stream4.radiomonitor.com/CentralFM?token=Y4iDZ2mLhGhqi4d0l8DBo5O+k34=</t>
  </si>
  <si>
    <t>http://stream.central.radio:8000/low</t>
  </si>
  <si>
    <t>http://stream.central.radio:8000/high</t>
  </si>
  <si>
    <t>http://edge-bauerall-01-gos2.sharp-stream.com/cfm.aac?aw_0_1st.skey=1666797689</t>
  </si>
  <si>
    <t>http://n02a-eu.rcs.revma.com:80/wzc639un1qzuv</t>
  </si>
  <si>
    <t>http://listen-cheesyfm.sharp-stream.com/cheesyfm.aac?ref=RF</t>
  </si>
  <si>
    <t>http://icecast.thisisdax.com/ClassicFM</t>
  </si>
  <si>
    <t>http://n02.radiojar.com:80/q8wauz467reuv</t>
  </si>
  <si>
    <t>http://n0b.radiojar.com:80/xgbg3anx3zquv</t>
  </si>
  <si>
    <t>http://edge-bauerall-01-gos2.sharp-stream.com/clyde1.aac?aw_0_1st.skey=1666797690</t>
  </si>
  <si>
    <t>http://edge-bauerall-01-gos2.sharp-stream.com/clyde2.aac?aw_0_1st.skey=1666797690</t>
  </si>
  <si>
    <t>http://edge-bauerall-01-gos2.sharp-stream.com/coolfm.aac?aw_0_1st.skey=1666797691</t>
  </si>
  <si>
    <t>http://listen-chriscountry.sharp-stream.com/chriscountry.aac?ref=RF</t>
  </si>
  <si>
    <t>http://dab.decadanceradio.net:8000/brighton.aac</t>
  </si>
  <si>
    <t>http://edge-bauerall-01-gos2.sharp-stream.com/downtowncountry.aac?aw_0_1st.skey=1666797691</t>
  </si>
  <si>
    <t>http://edge-bauerall-01-gos2.sharp-stream.com/downtown.aac?aw_0_1st.skey=1666797691</t>
  </si>
  <si>
    <t>http://listen-nation.sharp-stream.com/tcnationdigital.aac?ref=RF</t>
  </si>
  <si>
    <t>http://n02a-eu.rcs.revma.com:80/69v2m2q5xhruv</t>
  </si>
  <si>
    <t>http://fra-ranger01.dedicateware.com:18010/mobile</t>
  </si>
  <si>
    <t>http://listen-nation.sharp-stream.com/nationeasyports.aac?ref=RF</t>
  </si>
  <si>
    <t>http://listen-nation.sharp-stream.com/nationeasysoton.aac?ref=RF</t>
  </si>
  <si>
    <t>http://listen-nation.sharp-stream.com/breezyradiouk.aac?ref=RF</t>
  </si>
  <si>
    <t>http://listen-nation.sharp-stream.com/tcbay.aac?ref=RF</t>
  </si>
  <si>
    <t>http://eirewave.ice.infomaniak.ch/eirewave-64.aac?ref=RF</t>
  </si>
  <si>
    <t>http://ewtn-ice.streamguys1.com/sky-aac?ref=RF</t>
  </si>
  <si>
    <t>http://edge-audio-02-thn.sharp-stream.com:80/fixradio.aac</t>
  </si>
  <si>
    <t>http://edge-bauerall-01-gos2.sharp-stream.com/forth1.aac?aw_0_1st.skey=1666797693</t>
  </si>
  <si>
    <t>http://edge-bauerall-01-gos2.sharp-stream.com/forth2.aac?aw_0_1st.skey=1666797693</t>
  </si>
  <si>
    <t>http://icecast.maxxwave.co.uk/fossehinckleyhq?ref=RF</t>
  </si>
  <si>
    <t>http://icecast.maxxwave.co.uk/fosseloughbrohq?ref=RF</t>
  </si>
  <si>
    <t>http://edge-bauerall-01-gos2.sharp-stream.com/freebirmingham.aac?aw_0_1st.skey=1666797694</t>
  </si>
  <si>
    <t>http://edge-bauerall-01-gos2.sharp-stream.com/freeblackcountry.aac?aw_0_1st.skey=1666797694</t>
  </si>
  <si>
    <t>http://edge-bauerall-01-gos2.sharp-stream.com/freecoventry.aac?aw_0_1st.skey=1666797694</t>
  </si>
  <si>
    <t>http://edge-bauerall-01-gos2.sharp-stream.com/freehereford.aac?aw_0_1st.skey=1666797694</t>
  </si>
  <si>
    <t>http://edge-bauerall-01-gos2.sharp-stream.com/freeshropshire.aac?aw_0_1st.skey=1666797694</t>
  </si>
  <si>
    <t>http://www.friskradio.com:8000/stream1</t>
  </si>
  <si>
    <t>http://listen-funkids.sharp-stream.com/funkids.aac?ref=RF</t>
  </si>
  <si>
    <t>http://listen-funkids.sharp-stream.com/funkidsjunior.aac?ref=RF</t>
  </si>
  <si>
    <t>http://n02a-eu.rcs.revma.com:80/06806khmh5zuv</t>
  </si>
  <si>
    <t>http://n02a-eu.rcs.revma.com:80/d3xb3hq3tm0uv</t>
  </si>
  <si>
    <t>http://listen-gaydio.sharp-stream.com/467_gaydio_birmingham_48_aac?ref=RF</t>
  </si>
  <si>
    <t>http://listen-gaydio.sharp-stream.com/76_gaydio_scotland_48_aac?ref=RF</t>
  </si>
  <si>
    <t>http://listen-gaydio.sharp-stream.com/472_gaydio_london_48_aac?ref=RF</t>
  </si>
  <si>
    <t>http://listen-gaydio.sharp-stream.com/gaydiouk.aac?ref=RF</t>
  </si>
  <si>
    <t>http://listen-gbnews.sharp-stream.com/gbnews.aac?ref=RF</t>
  </si>
  <si>
    <t>http://edge-bauerall-01-gos2.sharp-stream.com/gem106.aac?aw_0_1st.skey=1666797698</t>
  </si>
  <si>
    <t>http://stream.getradio.co.uk:80/aac64</t>
  </si>
  <si>
    <t>http://stream.getradio.co.uk:80/aac</t>
  </si>
  <si>
    <t>http://icecast.thisisdax.com/Gold</t>
  </si>
  <si>
    <t>http://icecast.thisisdax.com/GoldAdwHD</t>
  </si>
  <si>
    <t>http://n02a-eu.rcs.revma.com:80/xb30qqsuvrhvv</t>
  </si>
  <si>
    <t>http://edge-bauermz-01-gos2.sharp-stream.com/net2essex.aac?aw_0_1st.skey=1666797698</t>
  </si>
  <si>
    <t>http://edge-bauermz-01-gos2.sharp-stream.com/net2suffolk.aac?aw_0_1st.skey=1666797699</t>
  </si>
  <si>
    <t>http://edge-bauermz-01-gos2.sharp-stream.com/net2norfolk.aac?aw_0_1st.skey=1666797699</t>
  </si>
  <si>
    <t>http://edge-bauermz-01-gos2.sharp-stream.com/net2westnorfolk.aac?aw_0_1st.skey=1666797699</t>
  </si>
  <si>
    <t>http://edge-bauermz-01-gos2.sharp-stream.com/net2london.aac?aw_0_1st.skey=1666797699</t>
  </si>
  <si>
    <t>http://edge-bauermz-01-gos2.sharp-stream.com/net2westmidlands.aac?aw_0_1st.skey=1666797700</t>
  </si>
  <si>
    <t>http://edge-bauermz-01-gos2.sharp-stream.com/net2wolverhampton.aac?aw_0_1st.skey=1666797700</t>
  </si>
  <si>
    <t>http://edge-bauermz-01-gos2.sharp-stream.com/net2coventry.aac?aw_0_1st.skey=1666797700</t>
  </si>
  <si>
    <t>http://edge-bauermz-01-gos2.sharp-stream.com/net2eastmidlands.aac?aw_0_1st.skey=1666797700</t>
  </si>
  <si>
    <t>http://edge-bauermz-01-gos2.sharp-stream.com/net2worcester.aac?aw_0_1st.skey=1666797701</t>
  </si>
  <si>
    <t>http://edge-bauermz-01-gos2.sharp-stream.com/net2derbyshire.aac?aw_0_1st.skey=1666797701</t>
  </si>
  <si>
    <t>http://edge-bauermz-01-gos2.sharp-stream.com/net2stoke.aac?aw_0_1st.skey=1666797701</t>
  </si>
  <si>
    <t>http://edge-bauermz-01-gos2.sharp-stream.com/net2rutland.aac?aw_0_1st.skey=1666797701</t>
  </si>
  <si>
    <t>http://edge-bauermz-01-gos2.sharp-stream.com/magic1170.aac?aw_0_1st.skey=1666797701</t>
  </si>
  <si>
    <t>http://edge-bauermz-01-gos2.sharp-stream.com/magic1152n.aac?aw_0_1st.skey=1666797702</t>
  </si>
  <si>
    <t>http://edge-bauermz-01-gos2.sharp-stream.com/net2cumbria.aac?aw_0_1st.skey=1666797702</t>
  </si>
  <si>
    <t>http://edge-bauermz-01-gos2.sharp-stream.com/magic999.aac?aw_0_1st.skey=1666797702</t>
  </si>
  <si>
    <t>http://edge-bauermz-01-gos2.sharp-stream.com/magic1548.aac?aw_0_1st.skey=1666797702</t>
  </si>
  <si>
    <t>http://edge-bauermz-01-gos2.sharp-stream.com/magic1152m.aac?aw_0_1st.skey=1666797702</t>
  </si>
  <si>
    <t>http://edge-bauermz-01-gos2.sharp-stream.com/net2stockport.aac?aw_0_1st.skey=1666797703</t>
  </si>
  <si>
    <t>http://edge-bauermz-01-gos2.sharp-stream.com/net2wigan.aac?aw_0_1st.skey=1666797703</t>
  </si>
  <si>
    <t>http://edge-bauermz-01-gos2.sharp-stream.com/net2berkshire.aac?aw_0_1st.skey=1666797703</t>
  </si>
  <si>
    <t>http://edge-bauermz-01-gos2.sharp-stream.com/net2bournemouth.aac?aw_0_1st.skey=1666797703</t>
  </si>
  <si>
    <t>http://edge-bauermz-01-gos2.sharp-stream.com/net2aylesbury.aac?aw_0_1st.skey=1666797703</t>
  </si>
  <si>
    <t>http://edge-bauermz-01-gos2.sharp-stream.com/net2dorset.aac?aw_0_1st.skey=1666797703</t>
  </si>
  <si>
    <t>http://edge-bauermz-01-gos2.sharp-stream.com/net2salisbury.aac?aw_0_1st.skey=1666797704</t>
  </si>
  <si>
    <t>http://edge-bauermz-01-gos2.sharp-stream.com/net2southcoast.aac?aw_0_1st.skey=1666797704</t>
  </si>
  <si>
    <t>http://edge-bauermz-01-gos2.sharp-stream.com/net2surrey.aac?aw_0_1st.skey=1666797704</t>
  </si>
  <si>
    <t>http://edge-bauermz-01-gos2.sharp-stream.com/net2sussex.aac?aw_0_1st.skey=1666797704</t>
  </si>
  <si>
    <t>http://edge-bauermz-01-gos2.sharp-stream.com/net2southwales.aac?aw_0_1st.skey=1666797704</t>
  </si>
  <si>
    <t>http://edge-bauermz-01-gos2.sharp-stream.com/net2bath.aac?aw_0_1st.skey=1666797704</t>
  </si>
  <si>
    <t>http://edge-bauermz-01-gos2.sharp-stream.com/net2bristol.aac?aw_0_1st.skey=1666797705</t>
  </si>
  <si>
    <t>http://edge-bauermz-01-gos2.sharp-stream.com/net2cornwall.aac?aw_0_1st.skey=1666797705</t>
  </si>
  <si>
    <t>http://edge-bauermz-01-gos2.sharp-stream.com/net2devon.aac?aw_0_1st.skey=1666797705</t>
  </si>
  <si>
    <t>http://edge-bauermz-01-gos2.sharp-stream.com/net2gloucester.aac?aw_0_1st.skey=1666797705</t>
  </si>
  <si>
    <t>http://edge-bauermz-01-gos2.sharp-stream.com/net2plymouth.aac?aw_0_1st.skey=1666797705</t>
  </si>
  <si>
    <t>http://edge-bauermz-01-gos2.sharp-stream.com/net2somerset.aac?aw_0_1st.skey=1666797705</t>
  </si>
  <si>
    <t>http://edge-bauermz-01-gos2.sharp-stream.com/net2swindon.aac?aw_0_1st.skey=1666797706</t>
  </si>
  <si>
    <t>http://edge-bauermz-01-gos2.sharp-stream.com/net2national.aac?aw_0_1st.skey=1666797706</t>
  </si>
  <si>
    <t>http://edge-bauermz-01-gos2.sharp-stream.com/net2hull.aac?aw_0_1st.skey=1666797706</t>
  </si>
  <si>
    <t>http://edge-bauermz-01-gos2.sharp-stream.com/net2grimsby.aac?aw_0_1st.skey=1666797706</t>
  </si>
  <si>
    <t>http://edge-bauermz-01-gos2.sharp-stream.com/net2harrogate.aac?aw_0_1st.skey=1666797706</t>
  </si>
  <si>
    <t>http://edge-bauermz-01-gos2.sharp-stream.com/net2lincoln.aac?aw_0_1st.skey=1666797707</t>
  </si>
  <si>
    <t>http://edge-bauermz-01-gos2.sharp-stream.com/net2chesterfield.aac?aw_0_1st.skey=1666797707</t>
  </si>
  <si>
    <t>http://edge-bauermz-01-gos2.sharp-stream.com/magicam.aac?aw_0_1st.skey=1666797707</t>
  </si>
  <si>
    <t>http://edge-bauermz-01-gos2.sharp-stream.com/magic828.aac?aw_0_1st.skey=1666797707</t>
  </si>
  <si>
    <t>http://edge-bauermz-01-gos2.sharp-stream.com/net2york.aac?aw_0_1st.skey=1666797707</t>
  </si>
  <si>
    <t>http://edge-bauermz-01-gos2.sharp-stream.com/net2yorkshirecoast.aac?aw_0_1st.skey=1666797707</t>
  </si>
  <si>
    <t>http://edge-bauerall-01-gos2.sharp-stream.com/hallam.aac?aw_0_1st.skey=1666797708</t>
  </si>
  <si>
    <t>http://icecast.thisisdax.com/HeartBedfordshire</t>
  </si>
  <si>
    <t>http://icecast.thisisdax.com/HeartBedsBucksHerts</t>
  </si>
  <si>
    <t>http://icecast.thisisdax.com/HeartCambridge</t>
  </si>
  <si>
    <t>http://icecast.thisisdax.com/HeartColchester</t>
  </si>
  <si>
    <t>http://icecast.thisisdax.com/HeartPeterborough</t>
  </si>
  <si>
    <t>http://icecast.thisisdax.com/HeartHarlow</t>
  </si>
  <si>
    <t>http://icecast.thisisdax.com/HeartMiltonKeynes</t>
  </si>
  <si>
    <t>http://icecast.thisisdax.com/HeartNorfolk</t>
  </si>
  <si>
    <t>http://icecast.thisisdax.com/HeartNorthamptonshire</t>
  </si>
  <si>
    <t>http://icecast.thisisdax.com/HeartEssex</t>
  </si>
  <si>
    <t>http://icecast.thisisdax.com/HeartSuffolk</t>
  </si>
  <si>
    <t>http://icecast.thisisdax.com/HeartHertsNorth</t>
  </si>
  <si>
    <t>http://icecast.thisisdax.com/HeartWatford</t>
  </si>
  <si>
    <t>http://icecast.thisisdax.com/HeartLondon</t>
  </si>
  <si>
    <t>http://icecast.thisisdax.com/HeartNorthWales</t>
  </si>
  <si>
    <t>http://icecast.thisisdax.com/HeartTeesside</t>
  </si>
  <si>
    <t>http://icecast.thisisdax.com/HeartTyneWear</t>
  </si>
  <si>
    <t>http://icecast.thisisdax.com/HeartNorthLancsCumbria</t>
  </si>
  <si>
    <t>http://icecast.thisisdax.com/HeartNorthWest</t>
  </si>
  <si>
    <t>http://icecast.thisisdax.com/HeartEdinburgh</t>
  </si>
  <si>
    <t>http://icecast.thisisdax.com/HeartGlasgow</t>
  </si>
  <si>
    <t>http://icecast.thisisdax.com/HeartBerkshire</t>
  </si>
  <si>
    <t>http://icecast.thisisdax.com/HeartCrawley</t>
  </si>
  <si>
    <t>http://icecast.thisisdax.com/HeartDorset</t>
  </si>
  <si>
    <t>http://icecast.thisisdax.com/HeartHampshire</t>
  </si>
  <si>
    <t>http://icecast.thisisdax.com/HeartKent</t>
  </si>
  <si>
    <t>http://icecast.thisisdax.com/HeartOxfordshire</t>
  </si>
  <si>
    <t>http://icecast.thisisdax.com/HeartSussex</t>
  </si>
  <si>
    <t>http://icecast.thisisdax.com/HeartSouthWales</t>
  </si>
  <si>
    <t>http://icecast.thisisdax.com/HeartWestWales</t>
  </si>
  <si>
    <t>http://icecast.thisisdax.com/HeartUK</t>
  </si>
  <si>
    <t>http://icecast.thisisdax.com/HeartUKAdwHD</t>
  </si>
  <si>
    <t>http://icecast.thisisdax.com/HeartBath</t>
  </si>
  <si>
    <t>http://icecast.thisisdax.com/HeartBristol</t>
  </si>
  <si>
    <t>http://icecast.thisisdax.com/HeartCornwall</t>
  </si>
  <si>
    <t>http://icecast.thisisdax.com/HeartEastDevon</t>
  </si>
  <si>
    <t>http://icecast.thisisdax.com/HeartGloucestershire</t>
  </si>
  <si>
    <t>http://icecast.thisisdax.com/HeartNorthDevon</t>
  </si>
  <si>
    <t>http://icecast.thisisdax.com/HeartPlymouth</t>
  </si>
  <si>
    <t>http://icecast.thisisdax.com/HeartSomerset</t>
  </si>
  <si>
    <t>http://icecast.thisisdax.com/HeartSouthHams</t>
  </si>
  <si>
    <t>http://icecast.thisisdax.com/HeartTorbay</t>
  </si>
  <si>
    <t>http://icecast.thisisdax.com/HeartWiltshire</t>
  </si>
  <si>
    <t>http://icecast.thisisdax.com/HeartWestMids</t>
  </si>
  <si>
    <t>http://icecast.thisisdax.com/HeartYorkshire</t>
  </si>
  <si>
    <t>http://icecast.thisisdax.com/Heart70s</t>
  </si>
  <si>
    <t>http://icecast.thisisdax.com/Heart80s</t>
  </si>
  <si>
    <t>http://icecast.thisisdax.com/Heart90s</t>
  </si>
  <si>
    <t>http://icecast.thisisdax.com/Heart00s</t>
  </si>
  <si>
    <t>http://icecast.thisisdax.com/HeartDance</t>
  </si>
  <si>
    <t>http://icecast.thisisdax.com/HeartXmas</t>
  </si>
  <si>
    <t>http://streamer.radio.co:80/sa0f1967d5/low</t>
  </si>
  <si>
    <t>http://edge-bauerall-01-gos2.sharp-stream.com/heat.aac?aw_0_1st.skey=1666797711</t>
  </si>
  <si>
    <t>http://149.255.59.3:8014/stream</t>
  </si>
  <si>
    <t>http://edge-bauermz-01-gos2.sharp-stream.com/net1bristol.aac?aw_0_1st.skey=1666797712</t>
  </si>
  <si>
    <t>http://edge-bauermz-01-gos2.sharp-stream.com/net1london.aac?aw_0_1st.skey=1666797712</t>
  </si>
  <si>
    <t>http://edge-bauerall-01-gos2.sharp-stream.com/key.aac?aw_0_1st.skey=1666797712</t>
  </si>
  <si>
    <t>http://edge-bauermz-01-gos2.sharp-stream.com/net1northyorkshire.aac?aw_0_1st.skey=1666797712</t>
  </si>
  <si>
    <t>http://edge-bauermz-01-gos2.sharp-stream.com/net1bournemouth.aac?aw_0_1st.skey=1666797712</t>
  </si>
  <si>
    <t>http://edge-bauermz-01-gos2.sharp-stream.com/net1southcoast.aac?aw_0_1st.skey=1666797712</t>
  </si>
  <si>
    <t>http://edge-bauermz-01-gos2.sharp-stream.com/net1suffolk.aac?aw_0_1st.skey=1666797712</t>
  </si>
  <si>
    <t>http://edge-bauerall-01-gos2.sharp-stream.com/hits.aac?aw_0_1st.skey=1666797713</t>
  </si>
  <si>
    <t>http://edge-bauerall-01-gos2.sharp-stream.com/hitsradiopride.aac?aw_0_1st.skey=1666797713&amp;aw_0_1st.playerid=BMUK_RPi</t>
  </si>
  <si>
    <t>http://radio.hopefm.org.uk:12364/liveaac</t>
  </si>
  <si>
    <t>http://listen.housepartyradio.net/stream?type=.aac&amp;csl=3&amp;lrl=false&amp;sh=true&amp;ssr=false&amp;sfr=true&amp;slc=true&amp;spl=m3u&amp;from=radiofeeds</t>
  </si>
  <si>
    <t>http://curtis.hubradio.co.uk:8080/hub-lq.aac</t>
  </si>
  <si>
    <t>http://curtis.hubradio.co.uk:8080/hub-hq.aac</t>
  </si>
  <si>
    <t>http://n20a-eu.rcs.revma.com:80/6s36ckxvutzuv</t>
  </si>
  <si>
    <t>http://n20a-eu.rcs.revma.com:80/24we5fvn1qzuv</t>
  </si>
  <si>
    <t>http://s4.xrad.io:8018/stream</t>
  </si>
  <si>
    <t>http://listen-jackmedia.sharp-stream.com/390_jack_fm_64_aac?ref=RF</t>
  </si>
  <si>
    <t>http://listen-jackmedia.sharp-stream.com/390_jack_2_64_aac?ref=RF</t>
  </si>
  <si>
    <t>http://listen-jackmedia.sharp-stream.com/390_jack_3_64_aac?ref=RF</t>
  </si>
  <si>
    <t>http://edge-bauerall-01-gos2.sharp-stream.com/jazz.aac?aw_0_1st.skey=1666797714</t>
  </si>
  <si>
    <t>http://edge-bauerall-01-gos2.sharp-stream.com/jazzhigh.aac?aw_0_1st.skey=1666797715</t>
  </si>
  <si>
    <t>http://edge-bauerall-01-gos2.sharp-stream.com/kerrang.aac?aw_0_1st.skey=1666797715</t>
  </si>
  <si>
    <t>http://listen-kingdomfm.sharp-stream.com/kingdomfm.aac?ref=RF</t>
  </si>
  <si>
    <t>http://live-kiss.sharp-stream.com/kiss100.aac?aw_0_1st.skey=1666797715</t>
  </si>
  <si>
    <t>http://live-kiss.sharp-stream.com/kissnational.aac?aw_0_1st.skey=1666797715</t>
  </si>
  <si>
    <t>http://edge-bauermz-01-gos2.sharp-stream.com/webcast7.aac?aw_0_1st.skey=1666797715</t>
  </si>
  <si>
    <t>http://edge-bauermz-01-gos2.sharp-stream.com/webcast7high.aac?aw_0_1st.skey=1666797715</t>
  </si>
  <si>
    <t>http://edge-bauermz-01-gos2.sharp-stream.com/webcast6.aac?aw_0_1st.skey=1666797715</t>
  </si>
  <si>
    <t>http://edge-bauermz-01-gos2.sharp-stream.com/webcast6high.aac?aw_0_1st.skey=1666797716</t>
  </si>
  <si>
    <t>http://edge-bauerall-01-gos2.sharp-stream.com/kissfresh.aac?aw_0_1st.skey=1666797716</t>
  </si>
  <si>
    <t>http://edge-bauermz-01-gos2.sharp-stream.com/webcast5.aac?aw_0_1st.skey=1666797716</t>
  </si>
  <si>
    <t>http://edge-bauermz-01-gos2.sharp-stream.com/webcast5high.aac?aw_0_1st.skey=1666797716</t>
  </si>
  <si>
    <t>http://edge-bauerall-01-gos2.sharp-stream.com/kisstory.aac?aw_0_1st.skey=1666797716</t>
  </si>
  <si>
    <t>http://icecast.thisisdax.com/LBCLondon</t>
  </si>
  <si>
    <t>http://icecast.thisisdax.com/LBCUK</t>
  </si>
  <si>
    <t>http://icecast.thisisdax.com/LBCNewsLondon</t>
  </si>
  <si>
    <t>http://icecast.thisisdax.com/LBCNewsUK</t>
  </si>
  <si>
    <t>http://icecast.maxxwave.co.uk/lcr_aac?ref=RF</t>
  </si>
  <si>
    <t>http://icecast.maxxwave.co.uk/lcr2?ref=RF</t>
  </si>
  <si>
    <t>http://likeradiostream.com:8080/likeoneukaac?ref=RF</t>
  </si>
  <si>
    <t>http://likeradiostream.com:8080/likepopaac?ref=RF</t>
  </si>
  <si>
    <t>http://likeradiostream.com:8080/likeretroaac?ref=RF</t>
  </si>
  <si>
    <t>http://edge-bauermz-01-gos2.sharp-stream.com/net1lincoln.aac?aw_0_1st.skey=1666797718</t>
  </si>
  <si>
    <t>http://ais-sa2.cdnstream1.com/2382_48.aac?ref=RF</t>
  </si>
  <si>
    <t>http://playoutonestreaming.com:8048/streamlq</t>
  </si>
  <si>
    <t>http://playoutonestreaming.com:8062/aac</t>
  </si>
  <si>
    <t>http://playoutonestreaming.com:8042/aac</t>
  </si>
  <si>
    <t>http://edge-bauermz-01-gos2.sharp-stream.com/magic1054.aac?aw_0_1st.skey=1666797718</t>
  </si>
  <si>
    <t>http://edge-bauermz-01-gos2.sharp-stream.com/magicnational.aac?aw_0_1st.skey=1666797718</t>
  </si>
  <si>
    <t>http://edge-bauermz-01-gos2.sharp-stream.com/webcast8.aac?aw_0_1st.skey=1666797719</t>
  </si>
  <si>
    <t>http://edge-bauermz-01-gos2.sharp-stream.com/webcast8high.aac?aw_0_1st.skey=1666797719</t>
  </si>
  <si>
    <t>http://edge-bauermz-05-gos2.sharp-stream.com/magicmusicalshigh.aac?aw_0_1st.skey=1666797719</t>
  </si>
  <si>
    <t>http://edge-bauermz-01-gos2.sharp-stream.com/magicchilled.aac?aw_0_1st.skey=1666797719</t>
  </si>
  <si>
    <t>http://edge-bauermz-01-gos2.sharp-stream.com/magicsoul.aac?aw_0_1st.skey=1666797719</t>
  </si>
  <si>
    <t>http://listen-manxradio.sharp-stream.com/manxradioammobile.aac?ref=RF</t>
  </si>
  <si>
    <t>http://listen-manxradio.sharp-stream.com/manxradioam.aac?ref=RF</t>
  </si>
  <si>
    <t>http://listen-manxradio.sharp-stream.com/manxradiofmmobile.aac?ref=RF</t>
  </si>
  <si>
    <t>http://listen-manxradio.sharp-stream.com/manxradiofm.aac?ref=RF</t>
  </si>
  <si>
    <t>http://edge-bauermz-01-gos2.sharp-stream.com/magicmellow.aac?aw_0_1st.skey=1666797720</t>
  </si>
  <si>
    <t>http://edge-bauermz-01-gos2.sharp-stream.com/metro.aac?aw_0_1st.skey=1666797741</t>
  </si>
  <si>
    <t>http://edge-bauermz-01-gos2.sharp-stream.com/mfrfm.aac?aw_0_1st.skey=1666797742</t>
  </si>
  <si>
    <t>http://edge-bauermz-01-gos2.sharp-stream.com/mfram.aac?aw_0_1st.skey=1666797742</t>
  </si>
  <si>
    <t>http://listen-misoul.sharp-stream.com/462_mi_soul_48_aac?ref=RF</t>
  </si>
  <si>
    <t>http://cupcake.citrus3.com:8122/stream</t>
  </si>
  <si>
    <t>http://memorylaneradio.radioca.st:9607/stream</t>
  </si>
  <si>
    <t>http://s4.xrad.io:8090/stream</t>
  </si>
  <si>
    <t>http://s4.xrad.io:8092/stream</t>
  </si>
  <si>
    <t>http://s4.xrad.io:8094/stream</t>
  </si>
  <si>
    <t>http://s4.xrad.io:8104/stream</t>
  </si>
  <si>
    <t>http://s4.xrad.io:8096/stream</t>
  </si>
  <si>
    <t>http://s2.xrad.io:8332/</t>
  </si>
  <si>
    <t>http://listen-nation.sharp-stream.com/nation60s.aac?ref=RF</t>
  </si>
  <si>
    <t>http://listen-nation.sharp-stream.com/nationradio70s.aac?ref=RF</t>
  </si>
  <si>
    <t>http://listen-nation.sharp-stream.com/nationradio80s.aac?ref=RF</t>
  </si>
  <si>
    <t>http://listen-nation.sharp-stream.com/nationradio90s.aac?ref=RF</t>
  </si>
  <si>
    <t>http://listen-nation.sharp-stream.com/nationradio00s.aac?ref=RF</t>
  </si>
  <si>
    <t>http://listen-nation.sharp-stream.com/clubnation.aac?ref=RF</t>
  </si>
  <si>
    <t>http://listen-nation.sharp-stream.com/nationhits.aac?ref=RF</t>
  </si>
  <si>
    <t>http://listen-nation.sharp-stream.com/lovenation.aac?ref=RF</t>
  </si>
  <si>
    <t>http://listen-nation.sharp-stream.com/nationparty.aac?ref=RF</t>
  </si>
  <si>
    <t>http://listen-nation.sharp-stream.com/hulli.aac?ref=RF</t>
  </si>
  <si>
    <t>http://listen-nation.sharp-stream.com/yourradioi.aac?ref=RF</t>
  </si>
  <si>
    <t>http://listen-nation.sharp-stream.com/nationscotlandi.aac?ref=RF</t>
  </si>
  <si>
    <t>http://listen-nation.sharp-stream.com/nationdorset.aac?ref=RF</t>
  </si>
  <si>
    <t>http://listen-nation.sharp-stream.com/nationhampshire.aac?ref=RF</t>
  </si>
  <si>
    <t>http://listen-nation.sharp-stream.com/nationsuffolk.aac?ref=RF</t>
  </si>
  <si>
    <t>http://listen-nation.sharp-stream.com/thamesradio.aac?ref=RF</t>
  </si>
  <si>
    <t>http://listen-nation.sharp-stream.com/tcceredigion.aac?ref=RF</t>
  </si>
  <si>
    <t>http://listen-nation.sharp-stream.com/tcnationi.aac?ref=RF</t>
  </si>
  <si>
    <t>http://listen-nation.sharp-stream.com/tcnation.aac?ref=RF</t>
  </si>
  <si>
    <t>http://listen-nation.sharp-stream.com/nationrocks.aac?ref=RF</t>
  </si>
  <si>
    <t>http://stream.audiospace.co:80/newsradiouk</t>
  </si>
  <si>
    <t>http://listen-nme.sharp-stream.com/nme1.aac?ref=RF</t>
  </si>
  <si>
    <t>http://listen-nme.sharp-stream.com/nme2.aac?ref=RF</t>
  </si>
  <si>
    <t>http://edge-bauermz-01-gos2.sharp-stream.com/northsound1.aac?aw_0_1st.skey=1666797746</t>
  </si>
  <si>
    <t>http://edge-bauermz-01-gos2.sharp-stream.com/northsound2.aac?aw_0_1st.skey=1666797746</t>
  </si>
  <si>
    <t>http://likeradiostream.com:8080/owrukaac?ref=RF</t>
  </si>
  <si>
    <t>http://listen-original.sharp-stream.com/original106.aac?ref=RF</t>
  </si>
  <si>
    <t>http://live.streamlojik.com:11170/outreachdance.aac</t>
  </si>
  <si>
    <t>http://live.streamlojik.com:11070/outreachradio.aac</t>
  </si>
  <si>
    <t>http://stream.mybroadbandradio.com/passionradio?ref=RF</t>
  </si>
  <si>
    <t>http://listen-petersfield.sharp-stream.com/petersfield.aac?ref=RF</t>
  </si>
  <si>
    <t>http://streams.radio.co:80/sbaa068f97/low</t>
  </si>
  <si>
    <t>http://edge-bauermz-01-gos2.sharp-stream.com/net1cornwalleast.aac?aw_0_1st.skey=1666797747</t>
  </si>
  <si>
    <t>http://edge-bauermz-01-gos2.sharp-stream.com/net1cornwall.aac?aw_0_1st.skey=1666797748</t>
  </si>
  <si>
    <t>http://edge-bauermz-01-gos2.sharp-stream.com/planetrock.aac?aw_0_1st.skey=1666797748</t>
  </si>
  <si>
    <t>http://22183.live.streamtheworld.com:80/PODCAST_RADIOAAC_SC</t>
  </si>
  <si>
    <t>http://22183.live.streamtheworld.com:3690/PODCAST_RADIOAAC_SC</t>
  </si>
  <si>
    <t>http://25443.live.streamtheworld.com:80/PODCAST_RADIOAAC_SC</t>
  </si>
  <si>
    <t>http://25443.live.streamtheworld.com:3690/PODCAST_RADIOAAC_SC</t>
  </si>
  <si>
    <t>http://20133.live.streamtheworld.com:80/PODCAST_RADIOAAC_SC</t>
  </si>
  <si>
    <t>http://20133.live.streamtheworld.com:3690/PODCAST_RADIOAAC_SC</t>
  </si>
  <si>
    <t>http://pointblankradio.co.uk/app?ref=rf</t>
  </si>
  <si>
    <t>http://n20a-eu.rcs.revma.com:80/prfmwmwy768uv</t>
  </si>
  <si>
    <t>http://edge-bauermz-01-gos2.sharp-stream.com/net1bradford.aac?aw_0_1st.skey=1666797749</t>
  </si>
  <si>
    <t>http://edge-audio-02-thn.sharp-stream.com:80/pure_radio.aac</t>
  </si>
  <si>
    <t>http://playoutonestreaming.com:8147/aac</t>
  </si>
  <si>
    <t>http://edge-bauerall-01-gos2.sharp-stream.com/borders.aac?aw_0_1st.skey=1666797749</t>
  </si>
  <si>
    <t>http://listen-nation.sharp-stream.com/tccarmarthenshire.aac?ref=RF</t>
  </si>
  <si>
    <t>http://edge-bauerall-01-gos2.sharp-stream.com/city.aac?aw_0_1st.skey=1666797750</t>
  </si>
  <si>
    <t>http://playoutonestreaming.com:8012/aac</t>
  </si>
  <si>
    <t>http://media.radiojackie.com:11209/</t>
  </si>
  <si>
    <t>http://media.radiojackie.com:11289/</t>
  </si>
  <si>
    <t>http://media.radiojackie.com:11278/?ref=RF</t>
  </si>
  <si>
    <t>http://media.radiojackie.com:5873/;</t>
  </si>
  <si>
    <t>http://dreamsiteradiocp5.com:8094/stream</t>
  </si>
  <si>
    <t>http://listen-nation.sharp-stream.com/tcpembrokeshire.aac?ref=RF</t>
  </si>
  <si>
    <t>http://stream.westeurope.cloudapp.azure.com:80/up</t>
  </si>
  <si>
    <t>http://hyades.shoutca.st:8034/wokinglow</t>
  </si>
  <si>
    <t>http://icecast.thisisdax.com/RadioXLondon</t>
  </si>
  <si>
    <t>http://icecast.thisisdax.com/RadioXManchester</t>
  </si>
  <si>
    <t>http://icecast.thisisdax.com/RadioXUK</t>
  </si>
  <si>
    <t>http://n03.radiojar.com:80/m47fp4p5n0quv</t>
  </si>
  <si>
    <t>http://stream.releaseradio.net:80/stream2</t>
  </si>
  <si>
    <t>http://s4.radio.co:80/s2eaa194f6/low</t>
  </si>
  <si>
    <t>http://n20a-eu.rcs.revma.com:80/yv4znr4xcg0uv</t>
  </si>
  <si>
    <t>http://edge-bauermz-01-gos2.sharp-stream.com/rock.aac?aw_0_1st.skey=1666797752</t>
  </si>
  <si>
    <t>http://streaming03.zfast.co.uk:8053/stream</t>
  </si>
  <si>
    <t>http://streaming03.zfast.co.uk:8132/stream</t>
  </si>
  <si>
    <t>http://s4.xrad.io:8010/stream</t>
  </si>
  <si>
    <t>http://edge-bauermz-01-gos2.sharp-stream.com/scala.aac?aw_0_1st.skey=1666797753</t>
  </si>
  <si>
    <t>http://edge-bauermz-01-gos2.sharp-stream.com/scalahigh.aac?aw_0_1st.skey=1666797753</t>
  </si>
  <si>
    <t>http://tx9.zetcast.net:8100/stream6?ref=RF</t>
  </si>
  <si>
    <t>http://tx9.zetcast.net:8100/stream5?ref=RF</t>
  </si>
  <si>
    <t>http://tx9.zetcast.net:8100/stream4?ref=RF</t>
  </si>
  <si>
    <t>http://tx9.zetcast.net:8100/stream3?ref=RF</t>
  </si>
  <si>
    <t>http://edge-bauermz-01-gos2.sharp-stream.com/net1stoke.aac?aw_0_1st.skey=1666797754</t>
  </si>
  <si>
    <t>http://edge-audio-03-gos2.sharp-stream.com:80/tcsilk.aac</t>
  </si>
  <si>
    <t>http://198.245.60.88:8128/stream</t>
  </si>
  <si>
    <t>http://icecast.thisisdax.com/SmoothChill</t>
  </si>
  <si>
    <t>http://icecast.thisisdax.com/SmoothCountry</t>
  </si>
  <si>
    <t>http://icecast.thisisdax.com/SmoothBristol</t>
  </si>
  <si>
    <t>http://icecast.thisisdax.com/SmoothDorset</t>
  </si>
  <si>
    <t>http://icecast.thisisdax.com/SmoothDerby</t>
  </si>
  <si>
    <t>http://icecast.thisisdax.com/SmoothEastMids</t>
  </si>
  <si>
    <t>http://icecast.thisisdax.com/SmoothNorthants</t>
  </si>
  <si>
    <t>http://icecast.thisisdax.com/SmoothEssex</t>
  </si>
  <si>
    <t>http://icecast.thisisdax.com/SmoothGloucester</t>
  </si>
  <si>
    <t>http://icecast.thisisdax.com/SmoothHampshire</t>
  </si>
  <si>
    <t>http://icecast.thisisdax.com/SmoothHerts</t>
  </si>
  <si>
    <t>http://icecast.thisisdax.com/SmoothKent</t>
  </si>
  <si>
    <t>http://icecast.thisisdax.com/SmoothLakeDistrict</t>
  </si>
  <si>
    <t>http://icecast.thisisdax.com/SmoothLondon</t>
  </si>
  <si>
    <t>http://icecast.thisisdax.com/SmoothNorfolk</t>
  </si>
  <si>
    <t>http://icecast.thisisdax.com/SmoothNorthEastS</t>
  </si>
  <si>
    <t>http://icecast.thisisdax.com/SmoothNorthEastN</t>
  </si>
  <si>
    <t>http://icecast.thisisdax.com/SmoothNorthWales</t>
  </si>
  <si>
    <t>http://icecast.thisisdax.com/SmoothNorthWest</t>
  </si>
  <si>
    <t>http://icecast.thisisdax.com/SmoothPlymouth</t>
  </si>
  <si>
    <t>http://icecast.thisisdax.com/SmoothScotland</t>
  </si>
  <si>
    <t>http://icecast.thisisdax.com/SmoothSouthWales</t>
  </si>
  <si>
    <t>http://icecast.thisisdax.com/SmoothSuffolk</t>
  </si>
  <si>
    <t>http://icecast.thisisdax.com/SmoothSussex</t>
  </si>
  <si>
    <t>http://icecast.thisisdax.com/SmoothBerkshire</t>
  </si>
  <si>
    <t>http://icecast.thisisdax.com/SmoothUK</t>
  </si>
  <si>
    <t>http://icecast.thisisdax.com/SmoothWestMids</t>
  </si>
  <si>
    <t>http://icecast.thisisdax.com/SmoothWiltshire</t>
  </si>
  <si>
    <t>http://svr1.msmn2.co:8312/stream</t>
  </si>
  <si>
    <t>http://n20a-eu.rcs.revma.com:80/hz85pb6p108uv</t>
  </si>
  <si>
    <t>http://n20a-eu.rcs.revma.com:80/r5uyvd6p108uv</t>
  </si>
  <si>
    <t>http://centova.solidradio.co.uk:8000/solidlow</t>
  </si>
  <si>
    <t>http://centova.solidradio.co.uk:8000/solid</t>
  </si>
  <si>
    <t>http://n20a-eu.rcs.revma.com:80/2h1gs337ptzuv</t>
  </si>
  <si>
    <t>http://stream2.hippynet.co.uk:8086/stream.aac</t>
  </si>
  <si>
    <t>http://listen-nation.sharp-stream.com/sunfmi.aac?ref=RF</t>
  </si>
  <si>
    <t>http://streaming.radio.co:80/s6a51b5927/low</t>
  </si>
  <si>
    <t>http://radio.talkradio.co.uk/stream-mobile?ref=rf</t>
  </si>
  <si>
    <t>http://radio.talksport.com/stream-mobile?ref=rf</t>
  </si>
  <si>
    <t>http://radio.talksport.com/stream2-mobile?ref=rf</t>
  </si>
  <si>
    <t>http://edge-bauermz-01-gos2.sharp-stream.com/tayfm.aac?aw_0_1st.skey=1666797758</t>
  </si>
  <si>
    <t>http://edge-bauermz-01-gos2.sharp-stream.com/tayam.aac?aw_0_1st.skey=1666797758</t>
  </si>
  <si>
    <t>http://edge-bauermz-01-gos2.sharp-stream.com/tfm.aac?aw_0_1st.skey=1666797758</t>
  </si>
  <si>
    <t>http://icecast3.rosisystems.com:8000/thevoice32.aac</t>
  </si>
  <si>
    <t>http://streaming.galaxywebsolutions.com:9046/stream</t>
  </si>
  <si>
    <t>http://edge-bauermz-01-gos2.sharp-stream.com/net1swansea.aac?aw_0_1st.skey=1666797759</t>
  </si>
  <si>
    <t>http://streaming.broadcastradio.com:10840/thisisthecoastdab</t>
  </si>
  <si>
    <t>http://timesradio.wireless.radio/stream-mobile?ref=rf</t>
  </si>
  <si>
    <t>http://usa2-pn.mixstream.net:8060/;</t>
  </si>
  <si>
    <t>http://streaming02.zfast.co.uk:8034/stream</t>
  </si>
  <si>
    <t>http://edge-audio-03-gos2.sharp-stream.com:80/ucbuk.aac</t>
  </si>
  <si>
    <t>http://edge-audio-03-gos2.sharp-stream.com:80/ucbinspirational.aac</t>
  </si>
  <si>
    <t>http://stream.v2radio.co.uk:80/V2RadioLQAACP</t>
  </si>
  <si>
    <t>http://stream.v2radio.co.uk:80/V2RadioHQAACP</t>
  </si>
  <si>
    <t>http://audio.vibeyorkshire.com:9000/stream</t>
  </si>
  <si>
    <t>http://playoutonestreaming.com:8133/aac</t>
  </si>
  <si>
    <t>http://edge-bauermz-01-gos2.sharp-stream.com/viking.aac?aw_0_1st.skey=1666797760</t>
  </si>
  <si>
    <t>http://radio.virginradio.co.uk/stream-mobile?ref=rf</t>
  </si>
  <si>
    <t>http://radio.virginradio.co.uk/stream-pride-mobile?ref=rf</t>
  </si>
  <si>
    <t>http://radio.virginradio.co.uk/stream-anthems-mobile?ref=rf</t>
  </si>
  <si>
    <t>http://radio.virginradio.co.uk/stream-chilled-mobile?ref=rf</t>
  </si>
  <si>
    <t>http://edge-bauermz-01-gos2.sharp-stream.com/wave105.aac?aw_0_1st.skey=1666797761</t>
  </si>
  <si>
    <t>http://stream3.radiomonitor.com/WavesRadio-Mobile?token=Y4iDZ2mLhGlog4eIk8iypISzsZqhf5qglLu5lg==</t>
  </si>
  <si>
    <t>http://edge-bauermz-01-gos2.sharp-stream.com/westfm.aac?aw_0_1st.skey=1666797762</t>
  </si>
  <si>
    <t>http://edge-bauermz-01-gos2.sharp-stream.com/westsound.aac?aw_0_1st.skey=1666797762</t>
  </si>
  <si>
    <t>http://edge-bauermz-01-gos2.sharp-stream.com/westsoundfm.aac?aw_0_1st.skey=1666797762</t>
  </si>
  <si>
    <t>http://edge-audio-03-gos2.sharp-stream.com:80/xrhythms.aac</t>
  </si>
  <si>
    <t>http://icecast.thisisdax.com/RealXSManchester</t>
  </si>
  <si>
    <t>http://radioengland.co.uk:8100/zackDAB.aac</t>
  </si>
  <si>
    <t>http://edge-audio-05-gos2.sharp-stream.com:80/bridgefmdab.mp3</t>
  </si>
  <si>
    <t>http://n02a-eu.rcs.revma.com:80/kbxu5chhqd0uv</t>
  </si>
  <si>
    <t>http://n02a-eu.rcs.revma.com:80/1b7wddebanzuv</t>
  </si>
  <si>
    <t>http://edge-audio-05-gos2.sharp-stream.com:80/chriscountrydab.mp3</t>
  </si>
  <si>
    <t>http://edge-audio-05-gos2.sharp-stream.com:80/dragonradio-dab.mp3</t>
  </si>
  <si>
    <t>http://edge-audio-05-gos2.sharp-stream.com:80/swanseabay.mp3</t>
  </si>
  <si>
    <t>http://playoutonestreaming.com:8026/dab</t>
  </si>
  <si>
    <t>http://n02a-eu.rcs.revma.com:80/epatpyebanzuv</t>
  </si>
  <si>
    <t>http://streamstwo.anytek.co.uk:8027/stream</t>
  </si>
  <si>
    <t>http://edge-audio-05-gos2.sharp-stream.com:80/nation60sdab.mp3</t>
  </si>
  <si>
    <t>http://edge-audio-05-gos2.sharp-stream.com:80/nationradio70s-dab.mp3</t>
  </si>
  <si>
    <t>http://edge-audio-05-gos2.sharp-stream.com:80/nationradio80s-dab.mp3</t>
  </si>
  <si>
    <t>http://edge-audio-05-gos2.sharp-stream.com:80/nationradio90s-dab.mp3</t>
  </si>
  <si>
    <t>http://edge-audio-05-gos2.sharp-stream.com:80/clubnationdab.mp3</t>
  </si>
  <si>
    <t>http://edge-audio-05-gos2.sharp-stream.com:80/nationhitsdab.mp3</t>
  </si>
  <si>
    <t>http://edge-audio-05-gos2.sharp-stream.com:80/lovenationdab.mp3</t>
  </si>
  <si>
    <t>http://edge-audio-05-gos2.sharp-stream.com:80/ghrhulldab.mp3</t>
  </si>
  <si>
    <t>http://edge-audio-05-gos2.sharp-stream.com:80/yourradiodab.mp3</t>
  </si>
  <si>
    <t>http://edge-audio-05-gos2.sharp-stream.com:80/nationscotlanddab.mp3</t>
  </si>
  <si>
    <t>http://edge-audio-05-gos2.sharp-stream.com:80/nationukdab.mp3</t>
  </si>
  <si>
    <t>http://edge-audio-05-gos2.sharp-stream.com:80/ceredigiondab.mp3</t>
  </si>
  <si>
    <t>http://edge-audio-05-gos2.sharp-stream.com:80/nationwalesdab.mp3</t>
  </si>
  <si>
    <t>http://edge-audio-05-gos2.sharp-stream.com:80/nationrocksdab.mp3</t>
  </si>
  <si>
    <t>http://edge-audio-05-gos2.sharp-stream.com:80/nationcarmarthenshiredab.mp3</t>
  </si>
  <si>
    <t>http://edge-audio-05-gos2.sharp-stream.com:80/nationpembrokeshiredab.mp3</t>
  </si>
  <si>
    <t>http://edge-audio-05-gos2.sharp-stream.com:80/slackcity.mp3</t>
  </si>
  <si>
    <t>http://n02a-eu.rcs.revma.com:80/e7c2n0nc508uv</t>
  </si>
  <si>
    <t>http://n02a-eu.rcs.revma.com:80/sa3ccwa9yy8uv</t>
  </si>
  <si>
    <t>http://n02a-eu.rcs.revma.com:80/4bxr9kkgewzuv</t>
  </si>
  <si>
    <t>http://n02a-eu.rcs.revma.com:80/8rud7kqkdwzuv</t>
  </si>
  <si>
    <t>http://n02a-eu.rcs.revma.com:80/hyyz8327ptzuv</t>
  </si>
  <si>
    <t>http://edge-audio-05-gos2.sharp-stream.com:80/sunfmdab.mp3</t>
  </si>
  <si>
    <t>http://edge-audio-05-gos2.sharp-stream.com:80/urfonline.mp3</t>
  </si>
  <si>
    <t>http://edge-bauerabsolute-05-gos2.sharp-stream.com/absoluteclassicrock.mp3?aw_0_1st.skey=1666797541&amp;aw_0_1st.playerid=BMUK_RPi</t>
  </si>
  <si>
    <t>http://edge-bauerabsolute-05-gos2.sharp-stream.com/absoluteradio.mp3?aw_0_1st.skey=1666797541&amp;aw_0_1st.playerid=BMUK_RPi</t>
  </si>
  <si>
    <t>http://edge-bauerabsolute-05-gos2.sharp-stream.com/absolute60s.mp3?aw_0_1st.skey=1666797541&amp;aw_0_1st.playerid=BMUK_RPi</t>
  </si>
  <si>
    <t>http://edge-bauerabsolute-05-gos2.sharp-stream.com/absolute70s.mp3?aw_0_1st.skey=1666797542&amp;aw_0_1st.playerid=BMUK_RPi</t>
  </si>
  <si>
    <t>http://edge-bauerabsolute-05-gos2.sharp-stream.com/absolute80s.mp3?aw_0_1st.skey=1666797542&amp;aw_0_1st.playerid=BMUK_RPi</t>
  </si>
  <si>
    <t>http://edge-bauerabsolute-05-gos2.sharp-stream.com/absolute90s.mp3?aw_0_1st.skey=1666797542&amp;aw_0_1st.playerid=BMUK_RPi</t>
  </si>
  <si>
    <t>http://edge-bauerabsolute-05-gos2.sharp-stream.com/absolute00s.mp3?aw_0_1st.skey=1666797542&amp;aw_0_1st.playerid=BMUK_RPi</t>
  </si>
  <si>
    <t>http://edge-bauerabsolute-05-gos2.sharp-stream.com/absolute10s.mp3?aw_0_1st.skey=1666797542&amp;aw_0_1st.playerid=BMUK_RPi</t>
  </si>
  <si>
    <t>http://edge-bauerall-01-gos2.sharp-stream.com/countryhits.mp3?aw_0_1st.skey=1666797543</t>
  </si>
  <si>
    <t>http://edge-audio-05-gos2.sharp-stream.com:80/ssvcbfbs11.mp3</t>
  </si>
  <si>
    <t>http://edge-audio-05-gos2.sharp-stream.com:80/ssvcbfbs1.mp3</t>
  </si>
  <si>
    <t>http://edge-audio-05-gos2.sharp-stream.com:80/ssvcbfbs20.mp3</t>
  </si>
  <si>
    <t>http://edge-audio-05-gos2.sharp-stream.com:80/ssvcbfbs24.mp3</t>
  </si>
  <si>
    <t>http://edge-audio-05-gos2.sharp-stream.com:80/ssvcbfbs22.mp3</t>
  </si>
  <si>
    <t>http://edge-audio-05-gos2.sharp-stream.com:80/ssvcbfbs3.mp3</t>
  </si>
  <si>
    <t>http://edge-audio-05-gos2.sharp-stream.com:80/ssvcbfbs21.mp3</t>
  </si>
  <si>
    <t>http://edge-bauerall-01-gos2.sharp-stream.com/cfm.mp3?aw_0_1st.skey=1666797565</t>
  </si>
  <si>
    <t>http://n10a-eu.rcs.revma.com:80/kbxu5chhqd0uv</t>
  </si>
  <si>
    <t>http://n10a-eu.rcs.revma.com:80/1b7wddebanzuv</t>
  </si>
  <si>
    <t>http://edge-bauerall-01-gos2.sharp-stream.com/clyde1.mp3?aw_0_1st.skey=1666797566</t>
  </si>
  <si>
    <t>http://edge-bauerall-01-gos2.sharp-stream.com/clyde2.mp3?aw_0_1st.skey=1666797566</t>
  </si>
  <si>
    <t>http://edge-bauerall-01-gos2.sharp-stream.com/coolfm.mp3?aw_0_1st.skey=1666797567</t>
  </si>
  <si>
    <t>http://edge-audio-05-gos2.sharp-stream.com:80/tcdeei.mp3</t>
  </si>
  <si>
    <t>http://edge-audio-05-gos2.sharp-stream.com:80/tcdee.mp3</t>
  </si>
  <si>
    <t>http://edge-bauerall-01-gos2.sharp-stream.com/downtowncountry.mp3?aw_0_1st.skey=1666797569</t>
  </si>
  <si>
    <t>http://edge-bauerall-01-gos2.sharp-stream.com/downtown.mp3?aw_0_1st.skey=1666797569</t>
  </si>
  <si>
    <t>http://edge-audio-05-gos2.sharp-stream.com:80/fixradio.mp3</t>
  </si>
  <si>
    <t>http://edge-bauerall-01-gos2.sharp-stream.com/forth1.mp3?aw_0_1st.skey=1666797572</t>
  </si>
  <si>
    <t>http://edge-bauerall-01-gos2.sharp-stream.com/forth2.mp3?aw_0_1st.skey=1666797572</t>
  </si>
  <si>
    <t>http://edge-bauerall-01-gos2.sharp-stream.com/freebirmingham.mp3?aw_0_1st.skey=1666797573</t>
  </si>
  <si>
    <t>http://edge-bauerall-01-gos2.sharp-stream.com/freeblackcountry.mp3?aw_0_1st.skey=1666797573</t>
  </si>
  <si>
    <t>http://edge-bauerall-01-gos2.sharp-stream.com/freecoventry.mp3?aw_0_1st.skey=1666797573</t>
  </si>
  <si>
    <t>http://edge-bauerall-01-gos2.sharp-stream.com/freehereford.mp3?aw_0_1st.skey=1666797573</t>
  </si>
  <si>
    <t>http://edge-bauerall-01-gos2.sharp-stream.com/freeshropshire.mp3?aw_0_1st.skey=1666797573</t>
  </si>
  <si>
    <t>http://n10a-eu.rcs.revma.com:80/pp2cg1z3tm0uv</t>
  </si>
  <si>
    <t>http://n10a-eu.rcs.revma.com:80/6m5ucmz3tm0uv</t>
  </si>
  <si>
    <t>http://edge-bauerall-01-gos2.sharp-stream.com/gem106.mp3?aw_0_1st.skey=1666797575</t>
  </si>
  <si>
    <t>http://edge-bauermz-01-gos2.sharp-stream.com/net2essex.mp3?aw_0_1st.skey=1666797577</t>
  </si>
  <si>
    <t>http://edge-bauermz-01-gos2.sharp-stream.com/net2suffolk.mp3?aw_0_1st.skey=1666797577</t>
  </si>
  <si>
    <t>http://edge-bauermz-01-gos2.sharp-stream.com/net2norfolk.mp3?aw_0_1st.skey=1666797577</t>
  </si>
  <si>
    <t>http://edge-bauermz-01-gos2.sharp-stream.com/net2westnorfolk.mp3?aw_0_1st.skey=1666797577</t>
  </si>
  <si>
    <t>http://edge-bauermz-01-gos2.sharp-stream.com/net2london.mp3?aw_0_1st.skey=1666797578</t>
  </si>
  <si>
    <t>http://edge-bauermz-01-gos2.sharp-stream.com/net2westmidlands.mp3?aw_0_1st.skey=1666797578</t>
  </si>
  <si>
    <t>http://edge-bauermz-01-gos2.sharp-stream.com/net2wolverhampton.mp3?aw_0_1st.skey=1666797578</t>
  </si>
  <si>
    <t>http://edge-bauermz-01-gos2.sharp-stream.com/net2coventry.mp3?aw_0_1st.skey=1666797578</t>
  </si>
  <si>
    <t>http://edge-bauermz-01-gos2.sharp-stream.com/net2eastmidlands.mp3?aw_0_1st.skey=1666797578</t>
  </si>
  <si>
    <t>http://edge-bauermz-01-gos2.sharp-stream.com/net2worcester.mp3?aw_0_1st.skey=1666797579</t>
  </si>
  <si>
    <t>http://edge-bauermz-01-gos2.sharp-stream.com/net2derbyshire.mp3?aw_0_1st.skey=1666797579</t>
  </si>
  <si>
    <t>http://edge-bauermz-01-gos2.sharp-stream.com/net2stoke.mp3?aw_0_1st.skey=1666797579</t>
  </si>
  <si>
    <t>http://edge-bauermz-01-gos2.sharp-stream.com/net2rutland.mp3?aw_0_1st.skey=1666797579</t>
  </si>
  <si>
    <t>http://edge-bauermz-01-gos2.sharp-stream.com/magic1170.mp3?aw_0_1st.skey=1666797579</t>
  </si>
  <si>
    <t>http://edge-bauermz-01-gos2.sharp-stream.com/magic1152n.mp3?aw_0_1st.skey=1666797579</t>
  </si>
  <si>
    <t>http://edge-bauermz-01-gos2.sharp-stream.com/net2cumbria.mp3?aw_0_1st.skey=1666797580</t>
  </si>
  <si>
    <t>http://edge-bauermz-01-gos2.sharp-stream.com/magic999.mp3?aw_0_1st.skey=1666797580</t>
  </si>
  <si>
    <t>http://edge-bauermz-01-gos2.sharp-stream.com/magic1548.mp3?aw_0_1st.skey=1666797580</t>
  </si>
  <si>
    <t>http://edge-bauermz-01-gos2.sharp-stream.com/magic1152m.mp3?aw_0_1st.skey=1666797580</t>
  </si>
  <si>
    <t>http://edge-bauermz-01-gos2.sharp-stream.com/net2stockport.mp3?aw_0_1st.skey=1666797581</t>
  </si>
  <si>
    <t>http://edge-bauermz-01-gos2.sharp-stream.com/net2wigan.mp3?aw_0_1st.skey=1666797581</t>
  </si>
  <si>
    <t>http://edge-bauermz-01-gos2.sharp-stream.com/net2berkshire.mp3?aw_0_1st.skey=1666797581</t>
  </si>
  <si>
    <t>http://edge-bauermz-01-gos2.sharp-stream.com/net2bournemouth.mp3?aw_0_1st.skey=1666797581</t>
  </si>
  <si>
    <t>http://edge-bauermz-01-gos2.sharp-stream.com/net2aylesbury.mp3?aw_0_1st.skey=1666797581</t>
  </si>
  <si>
    <t>http://edge-bauermz-01-gos2.sharp-stream.com/net2dorset.mp3?aw_0_1st.skey=1666797582</t>
  </si>
  <si>
    <t>http://edge-bauermz-01-gos2.sharp-stream.com/net2salisbury.mp3?aw_0_1st.skey=1666797582</t>
  </si>
  <si>
    <t>http://edge-bauermz-01-gos2.sharp-stream.com/net2southcoast.mp3?aw_0_1st.skey=1666797582</t>
  </si>
  <si>
    <t>http://edge-bauermz-01-gos2.sharp-stream.com/net2surrey.mp3?aw_0_1st.skey=1666797582</t>
  </si>
  <si>
    <t>http://edge-bauermz-01-gos2.sharp-stream.com/net2sussex.mp3?aw_0_1st.skey=1666797582&amp;aw_0_1st.playerid=BMUK_RPi</t>
  </si>
  <si>
    <t>http://edge-bauermz-01-gos2.sharp-stream.com/net2southwales.mp3?aw_0_1st.skey=1666797583</t>
  </si>
  <si>
    <t>http://edge-bauermz-01-gos2.sharp-stream.com/net2bath.mp3?aw_0_1st.skey=1666797583</t>
  </si>
  <si>
    <t>http://edge-bauermz-01-gos2.sharp-stream.com/net2bristol.mp3?aw_0_1st.skey=1666797583</t>
  </si>
  <si>
    <t>http://edge-bauermz-01-gos2.sharp-stream.com/net2cornwall.mp3?aw_0_1st.skey=1666797583</t>
  </si>
  <si>
    <t>http://edge-bauermz-01-gos2.sharp-stream.com/net2devon.mp3?aw_0_1st.skey=1666797583</t>
  </si>
  <si>
    <t>http://edge-bauermz-01-gos2.sharp-stream.com/net2gloucester.mp3?aw_0_1st.skey=1666797584</t>
  </si>
  <si>
    <t>http://edge-bauermz-01-gos2.sharp-stream.com/net2plymouth.mp3?aw_0_1st.skey=1666797584</t>
  </si>
  <si>
    <t>http://edge-bauermz-01-gos2.sharp-stream.com/net2somerset.mp3?aw_0_1st.skey=1666797584</t>
  </si>
  <si>
    <t>http://edge-bauermz-01-gos2.sharp-stream.com/net2swindon.mp3?aw_0_1st.skey=1666797584</t>
  </si>
  <si>
    <t>http://edge-bauermz-01-gos2.sharp-stream.com/net2national.mp3?aw_0_1st.skey=1666797584</t>
  </si>
  <si>
    <t>http://edge-bauermz-01-gos2.sharp-stream.com/net2hull.mp3?aw_0_1st.skey=1666797584</t>
  </si>
  <si>
    <t>http://edge-bauermz-01-gos2.sharp-stream.com/net2grimsby.mp3?aw_0_1st.skey=1666797584</t>
  </si>
  <si>
    <t>http://edge-bauermz-01-gos2.sharp-stream.com/net2harrogate.mp3?aw_0_1st.skey=1666797585</t>
  </si>
  <si>
    <t>http://edge-bauermz-01-gos2.sharp-stream.com/net2lincoln.mp3?aw_0_1st.skey=1666797585</t>
  </si>
  <si>
    <t>http://edge-bauermz-01-gos2.sharp-stream.com/net2chesterfield.mp3?aw_0_1st.skey=1666797585</t>
  </si>
  <si>
    <t>http://edge-bauermz-01-gos2.sharp-stream.com/magicam.mp3?aw_0_1st.skey=1666797586</t>
  </si>
  <si>
    <t>http://edge-bauermz-01-gos2.sharp-stream.com/magic828.mp3?aw_0_1st.skey=1666797586</t>
  </si>
  <si>
    <t>http://edge-bauermz-01-gos2.sharp-stream.com/net2york.mp3?aw_0_1st.skey=1666797586</t>
  </si>
  <si>
    <t>http://edge-bauermz-01-gos2.sharp-stream.com/net2yorkshirecoast.mp3?aw_0_1st.skey=1666797586</t>
  </si>
  <si>
    <t>http://edge-bauerall-01-gos2.sharp-stream.com/hallam.mp3?aw_0_1st.skey=1666797586</t>
  </si>
  <si>
    <t>http://edge-bauerall-01-gos2.sharp-stream.com/heat.mp3?aw_0_1st.skey=1666797591</t>
  </si>
  <si>
    <t>http://edge-bauermz-01-gos2.sharp-stream.com/net1bristol.mp3?aw_0_1st.skey=1666797592</t>
  </si>
  <si>
    <t>http://edge-bauermz-01-gos2.sharp-stream.com/net1london.mp3?aw_0_1st.skey=1666797592</t>
  </si>
  <si>
    <t>http://edge-bauerall-01-gos2.sharp-stream.com/key.mp3?aw_0_1st.skey=1666797592</t>
  </si>
  <si>
    <t>http://edge-bauermz-01-gos2.sharp-stream.com/net1northyorkshire.mp3?aw_0_1st.skey=1666797592</t>
  </si>
  <si>
    <t>http://edge-bauermz-01-gos2.sharp-stream.com/net1bournemouth.mp3?aw_0_1st.skey=1666797592</t>
  </si>
  <si>
    <t>http://edge-bauermz-01-gos2.sharp-stream.com/net1southcoast.mp3?aw_0_1st.skey=1666797592</t>
  </si>
  <si>
    <t>http://edge-bauermz-01-gos2.sharp-stream.com/net1suffolk.mp3?aw_0_1st.skey=1666797593</t>
  </si>
  <si>
    <t>http://edge-bauerall-01-gos2.sharp-stream.com/hits.mp3?aw_0_1st.skey=1666797593</t>
  </si>
  <si>
    <t>http://edge-bauerall-01-gos2.sharp-stream.com/hitsradiopride.mp3?aw_0_1st.skey=1666797593&amp;aw_0_1st.playerid=BMUK_RPi</t>
  </si>
  <si>
    <t>http://n10a-eu.rcs.revma.com:80/epatpyebanzuv</t>
  </si>
  <si>
    <t>http://edge-bauerall-01-gos2.sharp-stream.com/jazz.mp3?aw_0_1st.skey=1666797596</t>
  </si>
  <si>
    <t>http://edge-bauerall-01-gos2.sharp-stream.com/kerrang.mp3?aw_0_1st.skey=1666797596</t>
  </si>
  <si>
    <t>http://live-kiss.sharp-stream.com/kiss100.mp3?aw_0_1st.skey=1666797597</t>
  </si>
  <si>
    <t>http://live-kiss.sharp-stream.com/kissnational.mp3?aw_0_1st.skey=1666797597</t>
  </si>
  <si>
    <t>http://edge-bauerall-01-gos2.sharp-stream.com/kissfresh.mp3?aw_0_1st.skey=1666797597</t>
  </si>
  <si>
    <t>http://edge-bauerall-01-gos2.sharp-stream.com/kisstory.mp3?aw_0_1st.skey=1666797597</t>
  </si>
  <si>
    <t>http://edge-bauermz-01-gos2.sharp-stream.com/net1lincoln.mp3?aw_0_1st.skey=1666797599</t>
  </si>
  <si>
    <t>http://edge-bauermz-01-gos2.sharp-stream.com/magic1054.mp3?aw_0_1st.skey=1666797601</t>
  </si>
  <si>
    <t>http://edge-bauermz-01-gos2.sharp-stream.com/magicnational.mp3?aw_0_1st.skey=1666797601</t>
  </si>
  <si>
    <t>http://edge-bauermz-05-gos2.sharp-stream.com/magicmusicals.mp3?aw_0_1st.skey=1666797601</t>
  </si>
  <si>
    <t>http://edge-bauermz-01-gos2.sharp-stream.com/magicchilled.mp3?aw_0_1st.skey=1666797601</t>
  </si>
  <si>
    <t>http://edge-bauermz-01-gos2.sharp-stream.com/magicsoul.mp3?aw_0_1st.skey=1666797601</t>
  </si>
  <si>
    <t>http://philae.shoutca.st:8054/stream</t>
  </si>
  <si>
    <t>http://edge-bauermz-01-gos2.sharp-stream.com/magicmellow.mp3?aw_0_1st.skey=1666797602</t>
  </si>
  <si>
    <t>http://edge-bauermz-01-gos2.sharp-stream.com/metro.mp3?aw_0_1st.skey=1666797602</t>
  </si>
  <si>
    <t>http://edge-bauermz-01-gos2.sharp-stream.com/mfrfm.mp3?aw_0_1st.skey=1666797602</t>
  </si>
  <si>
    <t>http://edge-bauermz-01-gos2.sharp-stream.com/mfram.mp3?aw_0_1st.skey=1666797602</t>
  </si>
  <si>
    <t>http://proxima.shoutca.st:8122/stream</t>
  </si>
  <si>
    <t>http://n10a-eu.rcs.revma.com:80/6q7ksnnz6k0uv</t>
  </si>
  <si>
    <t>http://edge-audio-05-gos2.sharp-stream.com:80/nationwestdab.mp3</t>
  </si>
  <si>
    <t>http://edge-bauermz-01-gos2.sharp-stream.com/northsound1.mp3?aw_0_1st.skey=1666797610</t>
  </si>
  <si>
    <t>http://edge-bauermz-01-gos2.sharp-stream.com/northsound2.mp3?aw_0_1st.skey=1666797610</t>
  </si>
  <si>
    <t>http://edge-bauermz-01-gos2.sharp-stream.com/net1cornwalleast.mp3?aw_0_1st.skey=1666797612</t>
  </si>
  <si>
    <t>http://edge-bauermz-01-gos2.sharp-stream.com/net1cornwall.mp3?aw_0_1st.skey=1666797612</t>
  </si>
  <si>
    <t>http://edge-bauermz-01-gos2.sharp-stream.com/planetrock.mp3?aw_0_1st.skey=1666797612</t>
  </si>
  <si>
    <t>http://n10a-eu.rcs.revma.com:80/v61s40vqa78uv</t>
  </si>
  <si>
    <t>http://edge-bauermz-01-gos2.sharp-stream.com/net1bradford.mp3?aw_0_1st.skey=1666797616</t>
  </si>
  <si>
    <t>http://edge-audio-05-gos2.sharp-stream.com:80/pure_radio.mp3</t>
  </si>
  <si>
    <t>http://edge-audio-05-gos2.sharp-stream.com:80/qr1070mobile.mp3</t>
  </si>
  <si>
    <t>http://edge-audio-05-gos2.sharp-stream.com:80/qr1070.mp3</t>
  </si>
  <si>
    <t>http://edge-audio-05-gos2.sharp-stream.com:80/qr967mobile.mp3</t>
  </si>
  <si>
    <t>http://edge-audio-05-gos2.sharp-stream.com:80/qr967.mp3</t>
  </si>
  <si>
    <t>http://edge-audio-05-gos2.sharp-stream.com:80/qr972mobile.mp3</t>
  </si>
  <si>
    <t>http://edge-audio-05-gos2.sharp-stream.com:80/qr972.mp3</t>
  </si>
  <si>
    <t>http://edge-audio-05-gos2.sharp-stream.com:80/qr1029mobile.mp3</t>
  </si>
  <si>
    <t>http://edge-audio-05-gos2.sharp-stream.com:80/qr1029.mp3</t>
  </si>
  <si>
    <t>http://edge-audio-05-gos2.sharp-stream.com:80/qr1060mobile.mp3</t>
  </si>
  <si>
    <t>http://edge-audio-05-gos2.sharp-stream.com:80/qr1060.mp3</t>
  </si>
  <si>
    <t>http://edge-audio-05-gos2.sharp-stream.com:80/qr1005mobile.mp3</t>
  </si>
  <si>
    <t>http://edge-audio-05-gos2.sharp-stream.com:80/qr1005.mp3</t>
  </si>
  <si>
    <t>http://edge-audio-05-gos2.sharp-stream.com:80/qr1012mobile.mp3</t>
  </si>
  <si>
    <t>http://edge-audio-05-gos2.sharp-stream.com:80/qr1012.mp3</t>
  </si>
  <si>
    <t>http://edge-bauerall-01-gos2.sharp-stream.com/borders.mp3?aw_0_1st.skey=1666797626</t>
  </si>
  <si>
    <t>http://edge-bauerall-01-gos2.sharp-stream.com/city.mp3?aw_0_1st.skey=1666797627</t>
  </si>
  <si>
    <t>http://listen.radioking.com/radio/416320/stream/469264?ref=RF</t>
  </si>
  <si>
    <t>http://edge-bauermz-01-gos2.sharp-stream.com/rock.mp3?aw_0_1st.skey=1666797634</t>
  </si>
  <si>
    <t>http://edge-bauermz-01-gos2.sharp-stream.com/scala.mp3?aw_0_1st.skey=1666797636</t>
  </si>
  <si>
    <t>http://edge-bauermz-01-gos2.sharp-stream.com/net1stoke.mp3?aw_0_1st.skey=1666797637</t>
  </si>
  <si>
    <t>http://edge-audio-02-thn.sharp-stream.com:80/tcsilki.mp3</t>
  </si>
  <si>
    <t>http://edge-audio-02-thn.sharp-stream.com:80/tcsilk.mp3</t>
  </si>
  <si>
    <t>http://edge-audio-02-thn.sharp-stream.com:80/slackcity.mp3</t>
  </si>
  <si>
    <t>http://edge-audio-02-thn.sharp-stream.com:80/spectrum4.mp3</t>
  </si>
  <si>
    <t>http://edge-audio-02-thn.sharp-stream.com:80/sukhsagar.mp3</t>
  </si>
  <si>
    <t>http://edge-audio-02-thn.sharp-stream.com:80/sunfmdab.mp3</t>
  </si>
  <si>
    <t>http://edge-bauermz-01-gos2.sharp-stream.com/tayfm.mp3?aw_0_1st.skey=1666797644</t>
  </si>
  <si>
    <t>http://edge-bauermz-01-gos2.sharp-stream.com/tayam.mp3?aw_0_1st.skey=1666797645</t>
  </si>
  <si>
    <t>http://edge-bauermz-01-gos2.sharp-stream.com/tfm.mp3?aw_0_1st.skey=1666797645</t>
  </si>
  <si>
    <t>http://edge-bauermz-01-gos2.sharp-stream.com/net1swansea.mp3?aw_0_1st.skey=1666797647</t>
  </si>
  <si>
    <t>http://edge-audio-02-thn.sharp-stream.com:80/twruk.mp3</t>
  </si>
  <si>
    <t>http://edge-audio-02-thn.sharp-stream.com:80/ucbuk.mp3</t>
  </si>
  <si>
    <t>http://edge-audio-02-thn.sharp-stream.com:80/ucbinspirational.mp3</t>
  </si>
  <si>
    <t>http://edge-audio-02-thn.sharp-stream.com:80/urfonline.mp3</t>
  </si>
  <si>
    <t>http://edge-bauermz-01-gos2.sharp-stream.com/viking.mp3?aw_0_1st.skey=1666797650</t>
  </si>
  <si>
    <t>http://edge-bauermz-01-gos2.sharp-stream.com/wave105.mp3?aw_0_1st.skey=1666797651</t>
  </si>
  <si>
    <t>http://stream3.radiomonitor.com/WavesRadio?token=Y4iDZ2mLhGhng4eIk8iypISzsZqh</t>
  </si>
  <si>
    <t>http://edge-bauermz-01-gos2.sharp-stream.com/westfm.mp3?aw_0_1st.skey=1666797651</t>
  </si>
  <si>
    <t>http://edge-bauermz-01-gos2.sharp-stream.com/westsound.mp3?aw_0_1st.skey=1666797651</t>
  </si>
  <si>
    <t>http://edge-bauermz-01-gos2.sharp-stream.com/westsoundfm.mp3?aw_0_1st.skey=1666797652</t>
  </si>
  <si>
    <t>http://edge-audio-02-thn.sharp-stream.com:80/xrhythms.mp3</t>
  </si>
  <si>
    <t>http://as-hls-ww-live.akamaized.net/pool_904/live/ww/bbc_asian_network/bbc_asian_network.isml/bbc_asian_network-audio%3d48000.norewind.m3u8</t>
  </si>
  <si>
    <t>http://as-hls-ww-live.akamaized.net/pool_904/live/ww/bbc_asian_network/bbc_asian_network.isml/bbc_asian_network-audio%3d96000.norewind.m3u8</t>
  </si>
  <si>
    <t>http://as-hls-uk-live.akamaized.net/pool_904/live/uk/bbc_asian_network/bbc_asian_network.isml/bbc_asian_network-audio%3d128000.norewind.m3u8</t>
  </si>
  <si>
    <t>http://as-hls-uk-live.akamaized.net/pool_904/live/uk/bbc_asian_network/bbc_asian_network.isml/bbc_asian_network-audio%3d320000.norewind.m3u8</t>
  </si>
  <si>
    <t>http://as-hls-ww-live.akamaized.net/pool_904/live/ww/bbc_radio_coventry_warwickshire/bbc_radio_coventry_warwickshire.isml/bbc_radio_coventry_warwickshire-audio%3d48000.norewind.m3u8</t>
  </si>
  <si>
    <t>http://as-hls-ww-live.akamaized.net/pool_904/live/ww/bbc_radio_coventry_warwickshire/bbc_radio_coventry_warwickshire.isml/bbc_radio_coventry_warwickshire-audio%3d96000.norewind.m3u8</t>
  </si>
  <si>
    <t>http://as-hls-uk-live.akamaized.net/pool_904/live/uk/bbc_radio_coventry_warwickshire/bbc_radio_coventry_warwickshire.isml/bbc_radio_coventry_warwickshire-audio%3d128000.norewind.m3u8</t>
  </si>
  <si>
    <t>http://as-hls-uk-live.akamaized.net/pool_904/live/uk/bbc_radio_coventry_warwickshire/bbc_radio_coventry_warwickshire.isml/bbc_radio_coventry_warwickshire-audio%3d320000.norewind.m3u8</t>
  </si>
  <si>
    <t>http://as-hls-ww-live.akamaized.net/pool_904/live/ww/bbc_radio_essex/bbc_radio_essex.isml/bbc_radio_essex-audio%3d48000.norewind.m3u8</t>
  </si>
  <si>
    <t>http://as-hls-ww-live.akamaized.net/pool_904/live/ww/bbc_radio_essex/bbc_radio_essex.isml/bbc_radio_essex-audio%3d96000.norewind.m3u8</t>
  </si>
  <si>
    <t>http://as-hls-uk-live.akamaized.net/pool_904/live/uk/bbc_radio_essex/bbc_radio_essex.isml/bbc_radio_essex-audio%3d128000.norewind.m3u8</t>
  </si>
  <si>
    <t>http://as-hls-uk-live.akamaized.net/pool_904/live/uk/bbc_radio_essex/bbc_radio_essex.isml/bbc_radio_essex-audio%3d320000.norewind.m3u8</t>
  </si>
  <si>
    <t>http://as-hls-ww-live.akamaized.net/pool_904/live/ww/bbc_radio_hereford_worcester/bbc_radio_hereford_worcester.isml/bbc_radio_hereford_worcester-audio%3d48000.norewind.m3u8</t>
  </si>
  <si>
    <t>http://as-hls-ww-live.akamaized.net/pool_904/live/ww/bbc_radio_hereford_worcester/bbc_radio_hereford_worcester.isml/bbc_radio_hereford_worcester-audio%3d96000.norewind.m3u8</t>
  </si>
  <si>
    <t>http://as-hls-uk-live.akamaized.net/pool_904/live/uk/bbc_radio_hereford_worcester/bbc_radio_hereford_worcester.isml/bbc_radio_hereford_worcester-audio%3d128000.norewind.m3u8</t>
  </si>
  <si>
    <t>http://as-hls-uk-live.akamaized.net/pool_904/live/uk/bbc_radio_hereford_worcester/bbc_radio_hereford_worcester.isml/bbc_radio_hereford_worcester-audio%3d320000.norewind.m3u8</t>
  </si>
  <si>
    <t>http://as-hls-ww-live.akamaized.net/pool_904/live/ww/bbc_radio_one/bbc_radio_one.isml/bbc_radio_one-audio%3d48000.norewind.m3u8</t>
  </si>
  <si>
    <t>http://as-hls-ww-live.akamaized.net/pool_904/live/ww/bbc_radio_one/bbc_radio_one.isml/bbc_radio_one-audio%3d96000.norewind.m3u8</t>
  </si>
  <si>
    <t>http://as-hls-uk-live.akamaized.net/pool_904/live/uk/bbc_radio_one/bbc_radio_one.isml/bbc_radio_one-audio%3d128000.norewind.m3u8</t>
  </si>
  <si>
    <t>http://as-hls-uk-live.akamaized.net/pool_904/live/uk/bbc_radio_one/bbc_radio_one.isml/bbc_radio_one-audio%3d320000.norewind.m3u8</t>
  </si>
  <si>
    <t>http://as-hls-ww-live.akamaized.net/pool_904/live/ww/bbc_1xtra/bbc_1xtra.isml/bbc_1xtra-audio%3d48000.norewind.m3u8</t>
  </si>
  <si>
    <t>http://as-hls-ww-live.akamaized.net/pool_904/live/ww/bbc_1xtra/bbc_1xtra.isml/bbc_1xtra-audio%3d96000.norewind.m3u8</t>
  </si>
  <si>
    <t>http://as-hls-uk-live.akamaized.net/pool_904/live/uk/bbc_1xtra/bbc_1xtra.isml/bbc_1xtra-audio%3d128000.norewind.m3u8</t>
  </si>
  <si>
    <t>http://as-hls-uk-live.akamaized.net/pool_904/live/uk/bbc_1xtra/bbc_1xtra.isml/bbc_1xtra-audio%3d320000.norewind.m3u8</t>
  </si>
  <si>
    <t>http://as-hls-ww-live.akamaized.net/pool_904/live/ww/bbc_radio_two/bbc_radio_two.isml/bbc_radio_two-audio%3d48000.norewind.m3u8</t>
  </si>
  <si>
    <t>http://as-hls-ww-live.akamaized.net/pool_904/live/ww/bbc_radio_two/bbc_radio_two.isml/bbc_radio_two-audio%3d96000.norewind.m3u8</t>
  </si>
  <si>
    <t>http://as-hls-uk-live.akamaized.net/pool_904/live/uk/bbc_radio_two/bbc_radio_two.isml/bbc_radio_two-audio%3d128000.norewind.m3u8</t>
  </si>
  <si>
    <t>http://as-hls-uk-live.akamaized.net/pool_904/live/uk/bbc_radio_two/bbc_radio_two.isml/bbc_radio_two-audio%3d320000.norewind.m3u8</t>
  </si>
  <si>
    <t>http://as-hls-ww-live.akamaized.net/pool_904/live/ww/bbc_radio_three/bbc_radio_three.isml/bbc_radio_three-audio%3d48000.norewind.m3u8</t>
  </si>
  <si>
    <t>http://as-hls-ww-live.akamaized.net/pool_904/live/ww/bbc_radio_three/bbc_radio_three.isml/bbc_radio_three-audio%3d96000.norewind.m3u8</t>
  </si>
  <si>
    <t>http://as-hls-uk-live.akamaized.net/pool_904/live/uk/bbc_radio_three/bbc_radio_three.isml/bbc_radio_three-audio%3d128000.norewind.m3u8</t>
  </si>
  <si>
    <t>http://as-hls-uk-live.akamaized.net/pool_904/live/uk/bbc_radio_three/bbc_radio_three.isml/bbc_radio_three-audio%3d320000.norewind.m3u8</t>
  </si>
  <si>
    <t>http://as-hls-ww-live.akamaized.net/pool_904/live/ww/bbc_radio_fourfm/bbc_radio_fourfm.isml/bbc_radio_fourfm-audio%3d48000.norewind.m3u8</t>
  </si>
  <si>
    <t>http://as-hls-ww-live.akamaized.net/pool_904/live/ww/bbc_radio_fourfm/bbc_radio_fourfm.isml/bbc_radio_fourfm-audio%3d96000.norewind.m3u8</t>
  </si>
  <si>
    <t>http://as-hls-uk-live.akamaized.net/pool_904/live/uk/bbc_radio_fourfm/bbc_radio_fourfm.isml/bbc_radio_fourfm-audio%3d128000.norewind.m3u8</t>
  </si>
  <si>
    <t>http://as-hls-uk-live.akamaized.net/pool_904/live/uk/bbc_radio_fourfm/bbc_radio_fourfm.isml/bbc_radio_fourfm-audio%3d320000.norewind.m3u8</t>
  </si>
  <si>
    <t>http://as-hls-ww-live.akamaized.net/pool_904/live/ww/bbc_radio_fourlw/bbc_radio_fourlw.isml/bbc_radio_fourlw-audio%3d48000.norewind.m3u8</t>
  </si>
  <si>
    <t>http://as-hls-ww-live.akamaized.net/pool_904/live/ww/bbc_radio_fourlw/bbc_radio_fourlw.isml/bbc_radio_fourlw-audio%3d96000.norewind.m3u8</t>
  </si>
  <si>
    <t>http://as-hls-uk-live.akamaized.net/pool_904/live/uk/bbc_radio_fourlw/bbc_radio_fourlw.isml/bbc_radio_fourlw-audio%3d128000.norewind.m3u8</t>
  </si>
  <si>
    <t>http://as-hls-uk-live.akamaized.net/pool_904/live/uk/bbc_radio_fourlw/bbc_radio_fourlw.isml/bbc_radio_fourlw-audio%3d320000.norewind.m3u8</t>
  </si>
  <si>
    <t>http://as-hls-ww-live.akamaized.net/pool_904/live/ww/bbc_radio_four_extra/bbc_radio_four_extra.isml/bbc_radio_four_extra-audio%3d48000.norewind.m3u8</t>
  </si>
  <si>
    <t>http://as-hls-ww-live.akamaized.net/pool_904/live/ww/bbc_radio_four_extra/bbc_radio_four_extra.isml/bbc_radio_four_extra-audio%3d96000.norewind.m3u8</t>
  </si>
  <si>
    <t>http://as-hls-uk-live.akamaized.net/pool_904/live/uk/bbc_radio_four_extra/bbc_radio_four_extra.isml/bbc_radio_four_extra-audio%3d128000.norewind.m3u8</t>
  </si>
  <si>
    <t>http://as-hls-uk-live.akamaized.net/pool_904/live/uk/bbc_radio_four_extra/bbc_radio_four_extra.isml/bbc_radio_four_extra-audio%3d320000.norewind.m3u8</t>
  </si>
  <si>
    <t>http://as-hls-ww-live.akamaized.net/pool_904/live/ww/bbc_radio_five_live/bbc_radio_five_live.isml/bbc_radio_five_live-audio%3d48000.norewind.m3u8</t>
  </si>
  <si>
    <t>http://as-hls-ww-live.akamaized.net/pool_904/live/ww/bbc_radio_five_live/bbc_radio_five_live.isml/bbc_radio_five_live-audio%3d96000.norewind.m3u8</t>
  </si>
  <si>
    <t>http://as-hls-uk-live.akamaized.net/pool_904/live/uk/bbc_radio_five_live/bbc_radio_five_live.isml/bbc_radio_five_live-audio%3d128000.norewind.m3u8</t>
  </si>
  <si>
    <t>http://as-hls-uk-live.akamaized.net/pool_904/live/uk/bbc_radio_five_live/bbc_radio_five_live.isml/bbc_radio_five_live-audio%3d320000.norewind.m3u8</t>
  </si>
  <si>
    <t>http://as-hls-uk-live.akamaized.net/pool_904/live/uk/bbc_radio_five_live_sports_extra/bbc_radio_five_live_sports_extra.isml/bbc_radio_five_live_sports_extra-audio%3d48000.norewind.m3u8</t>
  </si>
  <si>
    <t>http://as-hls-uk-live.akamaized.net/pool_904/live/uk/bbc_radio_five_live_sports_extra/bbc_radio_five_live_sports_extra.isml/bbc_radio_five_live_sports_extra-audio%3d96000.norewind.m3u8</t>
  </si>
  <si>
    <t>http://as-hls-uk-live.akamaized.net/pool_904/live/uk/bbc_radio_five_live_sports_extra/bbc_radio_five_live_sports_extra.isml/bbc_radio_five_live_sports_extra-audio%3d128000.norewind.m3u8</t>
  </si>
  <si>
    <t>http://as-hls-uk-live.akamaized.net/pool_904/live/uk/bbc_radio_five_live_sports_extra/bbc_radio_five_live_sports_extra.isml/bbc_radio_five_live_sports_extra-audio%3d320000.norewind.m3u8</t>
  </si>
  <si>
    <t>http://as-hls-ww-live.akamaized.net/pool_904/live/ww/bbc_6music/bbc_6music.isml/bbc_6music-audio%3d48000.norewind.m3u8</t>
  </si>
  <si>
    <t>http://as-hls-ww-live.akamaized.net/pool_904/live/ww/bbc_6music/bbc_6music.isml/bbc_6music-audio%3d96000.norewind.m3u8</t>
  </si>
  <si>
    <t>http://as-hls-uk-live.akamaized.net/pool_904/live/uk/bbc_6music/bbc_6music.isml/bbc_6music-audio%3d128000.norewind.m3u8</t>
  </si>
  <si>
    <t>http://as-hls-uk-live.akamaized.net/pool_904/live/uk/bbc_6music/bbc_6music.isml/bbc_6music-audio%3d320000.norewind.m3u8</t>
  </si>
  <si>
    <t>http://as-hls-ww-live.akamaized.net/pool_904/live/ww/bbc_radio_berkshire/bbc_radio_berkshire.isml/bbc_radio_berkshire-audio%3d48000.norewind.m3u8</t>
  </si>
  <si>
    <t>http://as-hls-ww-live.akamaized.net/pool_904/live/ww/bbc_radio_berkshire/bbc_radio_berkshire.isml/bbc_radio_berkshire-audio%3d96000.norewind.m3u8</t>
  </si>
  <si>
    <t>http://as-hls-uk-live.akamaized.net/pool_904/live/uk/bbc_radio_berkshire/bbc_radio_berkshire.isml/bbc_radio_berkshire-audio%3d128000.norewind.m3u8</t>
  </si>
  <si>
    <t>http://as-hls-uk-live.akamaized.net/pool_904/live/uk/bbc_radio_berkshire/bbc_radio_berkshire.isml/bbc_radio_berkshire-audio%3d320000.norewind.m3u8</t>
  </si>
  <si>
    <t>http://as-hls-ww-live.akamaized.net/pool_904/live/ww/bbc_radio_bristol/bbc_radio_bristol.isml/bbc_radio_bristol-audio%3d48000.norewind.m3u8</t>
  </si>
  <si>
    <t>http://as-hls-ww-live.akamaized.net/pool_904/live/ww/bbc_radio_bristol/bbc_radio_bristol.isml/bbc_radio_bristol-audio%3d96000.norewind.m3u8</t>
  </si>
  <si>
    <t>http://as-hls-uk-live.akamaized.net/pool_904/live/uk/bbc_radio_bristol/bbc_radio_bristol.isml/bbc_radio_bristol-audio%3d128000.norewind.m3u8</t>
  </si>
  <si>
    <t>http://as-hls-uk-live.akamaized.net/pool_904/live/uk/bbc_radio_bristol/bbc_radio_bristol.isml/bbc_radio_bristol-audio%3d320000.norewind.m3u8</t>
  </si>
  <si>
    <t>http://as-hls-ww-live.akamaized.net/pool_904/live/ww/bbc_radio_cambridge/bbc_radio_cambridge.isml/bbc_radio_cambridge-audio%3d48000.norewind.m3u8</t>
  </si>
  <si>
    <t>http://as-hls-ww-live.akamaized.net/pool_904/live/ww/bbc_radio_cambridge/bbc_radio_cambridge.isml/bbc_radio_cambridge-audio%3d96000.norewind.m3u8</t>
  </si>
  <si>
    <t>http://as-hls-uk-live.akamaized.net/pool_904/live/uk/bbc_radio_cambridge/bbc_radio_cambridge.isml/bbc_radio_cambridge-audio%3d128000.norewind.m3u8</t>
  </si>
  <si>
    <t>http://as-hls-uk-live.akamaized.net/pool_904/live/uk/bbc_radio_cambridge/bbc_radio_cambridge.isml/bbc_radio_cambridge-audio%3d320000.norewind.m3u8</t>
  </si>
  <si>
    <t>http://as-hls-ww-live.akamaized.net/pool_904/live/ww/bbc_radio_cornwall/bbc_radio_cornwall.isml/bbc_radio_cornwall-audio%3d48000.norewind.m3u8</t>
  </si>
  <si>
    <t>http://as-hls-ww-live.akamaized.net/pool_904/live/ww/bbc_radio_cornwall/bbc_radio_cornwall.isml/bbc_radio_cornwall-audio%3d96000.norewind.m3u8</t>
  </si>
  <si>
    <t>http://as-hls-uk-live.akamaized.net/pool_904/live/uk/bbc_radio_cornwall/bbc_radio_cornwall.isml/bbc_radio_cornwall-audio%3d128000.norewind.m3u8</t>
  </si>
  <si>
    <t>http://as-hls-uk-live.akamaized.net/pool_904/live/uk/bbc_radio_cornwall/bbc_radio_cornwall.isml/bbc_radio_cornwall-audio%3d320000.norewind.m3u8</t>
  </si>
  <si>
    <t>http://as-hls-ww-live.akamaized.net/pool_904/live/ww/bbc_radio_cumbria/bbc_radio_cumbria.isml/bbc_radio_cumbria-audio%3d48000.norewind.m3u8</t>
  </si>
  <si>
    <t>http://as-hls-ww-live.akamaized.net/pool_904/live/ww/bbc_radio_cumbria/bbc_radio_cumbria.isml/bbc_radio_cumbria-audio%3d96000.norewind.m3u8</t>
  </si>
  <si>
    <t>http://as-hls-uk-live.akamaized.net/pool_904/live/uk/bbc_radio_cumbria/bbc_radio_cumbria.isml/bbc_radio_cumbria-audio%3d128000.norewind.m3u8</t>
  </si>
  <si>
    <t>http://as-hls-uk-live.akamaized.net/pool_904/live/uk/bbc_radio_cumbria/bbc_radio_cumbria.isml/bbc_radio_cumbria-audio%3d320000.norewind.m3u8</t>
  </si>
  <si>
    <t>http://as-hls-ww-live.akamaized.net/pool_904/live/ww/bbc_radio_cymru/bbc_radio_cymru.isml/bbc_radio_cymru-audio%3d48000.norewind.m3u8</t>
  </si>
  <si>
    <t>http://as-hls-ww-live.akamaized.net/pool_904/live/ww/bbc_radio_cymru/bbc_radio_cymru.isml/bbc_radio_cymru-audio%3d96000.norewind.m3u8</t>
  </si>
  <si>
    <t>http://as-hls-uk-live.akamaized.net/pool_904/live/uk/bbc_radio_cymru/bbc_radio_cymru.isml/bbc_radio_cymru-audio%3d128000.norewind.m3u8</t>
  </si>
  <si>
    <t>http://as-hls-uk-live.akamaized.net/pool_904/live/uk/bbc_radio_cymru/bbc_radio_cymru.isml/bbc_radio_cymru-audio%3d320000.norewind.m3u8</t>
  </si>
  <si>
    <t>http://as-hls-ww-live.akamaized.net/pool_904/live/ww/bbc_radio_cymru_2/bbc_radio_cymru_2.isml/bbc_radio_cymru_2-audio%3d48000.norewind.m3u8</t>
  </si>
  <si>
    <t>http://as-hls-ww-live.akamaized.net/pool_904/live/ww/bbc_radio_cymru_2/bbc_radio_cymru_2.isml/bbc_radio_cymru_2-audio%3d96000.norewind.m3u8</t>
  </si>
  <si>
    <t>http://as-hls-uk-live.akamaized.net/pool_904/live/uk/bbc_radio_cymru_2/bbc_radio_cymru_2.isml/bbc_radio_cymru_2-audio%3d128000.norewind.m3u8</t>
  </si>
  <si>
    <t>http://as-hls-uk-live.akamaized.net/pool_904/live/uk/bbc_radio_cymru_2/bbc_radio_cymru_2.isml/bbc_radio_cymru_2-audio%3d320000.norewind.m3u8</t>
  </si>
  <si>
    <t>http://as-hls-ww-live.akamaized.net/pool_904/live/ww/bbc_radio_derby/bbc_radio_derby.isml/bbc_radio_derby-audio%3d48000.norewind.m3u8</t>
  </si>
  <si>
    <t>http://as-hls-ww-live.akamaized.net/pool_904/live/ww/bbc_radio_derby/bbc_radio_derby.isml/bbc_radio_derby-audio%3d96000.norewind.m3u8</t>
  </si>
  <si>
    <t>http://as-hls-uk-live.akamaized.net/pool_904/live/uk/bbc_radio_derby/bbc_radio_derby.isml/bbc_radio_derby-audio%3d128000.norewind.m3u8</t>
  </si>
  <si>
    <t>http://as-hls-uk-live.akamaized.net/pool_904/live/uk/bbc_radio_derby/bbc_radio_derby.isml/bbc_radio_derby-audio%3d320000.norewind.m3u8</t>
  </si>
  <si>
    <t>http://as-hls-ww-live.akamaized.net/pool_904/live/ww/bbc_radio_devon/bbc_radio_devon.isml/bbc_radio_devon-audio%3d48000.norewind.m3u8</t>
  </si>
  <si>
    <t>http://as-hls-ww-live.akamaized.net/pool_904/live/ww/bbc_radio_devon/bbc_radio_devon.isml/bbc_radio_devon-audio%3d96000.norewind.m3u8</t>
  </si>
  <si>
    <t>http://as-hls-uk-live.akamaized.net/pool_904/live/uk/bbc_radio_devon/bbc_radio_devon.isml/bbc_radio_devon-audio%3d128000.norewind.m3u8</t>
  </si>
  <si>
    <t>http://as-hls-uk-live.akamaized.net/pool_904/live/uk/bbc_radio_devon/bbc_radio_devon.isml/bbc_radio_devon-audio%3d320000.norewind.m3u8</t>
  </si>
  <si>
    <t>http://as-hls-ww-live.akamaized.net/pool_904/live/ww/bbc_radio_foyle/bbc_radio_foyle.isml/bbc_radio_foyle-audio%3d48000.norewind.m3u8</t>
  </si>
  <si>
    <t>http://as-hls-ww-live.akamaized.net/pool_904/live/ww/bbc_radio_foyle/bbc_radio_foyle.isml/bbc_radio_foyle-audio%3d96000.norewind.m3u8</t>
  </si>
  <si>
    <t>http://as-hls-uk-live.akamaized.net/pool_904/live/uk/bbc_radio_foyle/bbc_radio_foyle.isml/bbc_radio_foyle-audio%3d128000.norewind.m3u8</t>
  </si>
  <si>
    <t>http://as-hls-uk-live.akamaized.net/pool_904/live/uk/bbc_radio_foyle/bbc_radio_foyle.isml/bbc_radio_foyle-audio%3d320000.norewind.m3u8</t>
  </si>
  <si>
    <t>http://as-hls-ww-live.akamaized.net/pool_904/live/ww/bbc_radio_gloucestershire/bbc_radio_gloucestershire.isml/bbc_radio_gloucestershire-audio%3d48000.norewind.m3u8</t>
  </si>
  <si>
    <t>http://as-hls-ww-live.akamaized.net/pool_904/live/ww/bbc_radio_gloucestershire/bbc_radio_gloucestershire.isml/bbc_radio_gloucestershire-audio%3d96000.norewind.m3u8</t>
  </si>
  <si>
    <t>http://as-hls-uk-live.akamaized.net/pool_904/live/uk/bbc_radio_gloucestershire/bbc_radio_gloucestershire.isml/bbc_radio_gloucestershire-audio%3d128000.norewind.m3u8</t>
  </si>
  <si>
    <t>http://as-hls-uk-live.akamaized.net/pool_904/live/uk/bbc_radio_gloucestershire/bbc_radio_gloucestershire.isml/bbc_radio_gloucestershire-audio%3d320000.norewind.m3u8</t>
  </si>
  <si>
    <t>http://as-hls-ww-live.akamaized.net/pool_904/live/ww/bbc_radio_guernsey/bbc_radio_guernsey.isml/bbc_radio_guernsey-audio%3d48000.norewind.m3u8</t>
  </si>
  <si>
    <t>http://as-hls-ww-live.akamaized.net/pool_904/live/ww/bbc_radio_guernsey/bbc_radio_guernsey.isml/bbc_radio_guernsey-audio%3d96000.norewind.m3u8</t>
  </si>
  <si>
    <t>http://as-hls-uk-live.akamaized.net/pool_904/live/uk/bbc_radio_guernsey/bbc_radio_guernsey.isml/bbc_radio_guernsey-audio%3d128000.norewind.m3u8</t>
  </si>
  <si>
    <t>http://as-hls-uk-live.akamaized.net/pool_904/live/uk/bbc_radio_guernsey/bbc_radio_guernsey.isml/bbc_radio_guernsey-audio%3d320000.norewind.m3u8</t>
  </si>
  <si>
    <t>http://as-hls-ww-live.akamaized.net/pool_904/live/ww/bbc_radio_humberside/bbc_radio_humberside.isml/bbc_radio_humberside-audio%3d48000.norewind.m3u8</t>
  </si>
  <si>
    <t>http://as-hls-ww-live.akamaized.net/pool_904/live/ww/bbc_radio_humberside/bbc_radio_humberside.isml/bbc_radio_humberside-audio%3d96000.norewind.m3u8</t>
  </si>
  <si>
    <t>http://as-hls-uk-live.akamaized.net/pool_904/live/uk/bbc_radio_humberside/bbc_radio_humberside.isml/bbc_radio_humberside-audio%3d128000.norewind.m3u8</t>
  </si>
  <si>
    <t>http://as-hls-uk-live.akamaized.net/pool_904/live/uk/bbc_radio_humberside/bbc_radio_humberside.isml/bbc_radio_humberside-audio%3d320000.norewind.m3u8</t>
  </si>
  <si>
    <t>http://as-hls-ww-live.akamaized.net/pool_904/live/ww/bbc_radio_jersey/bbc_radio_jersey.isml/bbc_radio_jersey-audio%3d48000.norewind.m3u8</t>
  </si>
  <si>
    <t>http://as-hls-ww-live.akamaized.net/pool_904/live/ww/bbc_radio_jersey/bbc_radio_jersey.isml/bbc_radio_jersey-audio%3d96000.norewind.m3u8</t>
  </si>
  <si>
    <t>http://as-hls-uk-live.akamaized.net/pool_904/live/uk/bbc_radio_jersey/bbc_radio_jersey.isml/bbc_radio_jersey-audio%3d128000.norewind.m3u8</t>
  </si>
  <si>
    <t>http://as-hls-uk-live.akamaized.net/pool_904/live/uk/bbc_radio_jersey/bbc_radio_jersey.isml/bbc_radio_jersey-audio%3d320000.norewind.m3u8</t>
  </si>
  <si>
    <t>http://as-hls-ww-live.akamaized.net/pool_904/live/ww/bbc_radio_kent/bbc_radio_kent.isml/bbc_radio_kent-audio%3d48000.norewind.m3u8</t>
  </si>
  <si>
    <t>http://as-hls-ww-live.akamaized.net/pool_904/live/ww/bbc_radio_kent/bbc_radio_kent.isml/bbc_radio_kent-audio%3d96000.norewind.m3u8</t>
  </si>
  <si>
    <t>http://as-hls-uk-live.akamaized.net/pool_904/live/uk/bbc_radio_kent/bbc_radio_kent.isml/bbc_radio_kent-audio%3d128000.norewind.m3u8</t>
  </si>
  <si>
    <t>http://as-hls-uk-live.akamaized.net/pool_904/live/uk/bbc_radio_kent/bbc_radio_kent.isml/bbc_radio_kent-audio%3d320000.norewind.m3u8</t>
  </si>
  <si>
    <t>http://as-hls-ww-live.akamaized.net/pool_904/live/ww/bbc_radio_lancashire/bbc_radio_lancashire.isml/bbc_radio_lancashire-audio%3d48000.norewind.m3u8</t>
  </si>
  <si>
    <t>http://as-hls-ww-live.akamaized.net/pool_904/live/ww/bbc_radio_lancashire/bbc_radio_lancashire.isml/bbc_radio_lancashire-audio%3d96000.norewind.m3u8</t>
  </si>
  <si>
    <t>http://as-hls-uk-live.akamaized.net/pool_904/live/uk/bbc_radio_lancashire/bbc_radio_lancashire.isml/bbc_radio_lancashire-audio%3d128000.norewind.m3u8</t>
  </si>
  <si>
    <t>http://as-hls-uk-live.akamaized.net/pool_904/live/uk/bbc_radio_lancashire/bbc_radio_lancashire.isml/bbc_radio_lancashire-audio%3d320000.norewind.m3u8</t>
  </si>
  <si>
    <t>http://as-hls-ww-live.akamaized.net/pool_904/live/ww/bbc_radio_leeds/bbc_radio_leeds.isml/bbc_radio_leeds-audio%3d48000.norewind.m3u8</t>
  </si>
  <si>
    <t>http://as-hls-ww-live.akamaized.net/pool_904/live/ww/bbc_radio_leeds/bbc_radio_leeds.isml/bbc_radio_leeds-audio%3d96000.norewind.m3u8</t>
  </si>
  <si>
    <t>http://as-hls-uk-live.akamaized.net/pool_904/live/uk/bbc_radio_leeds/bbc_radio_leeds.isml/bbc_radio_leeds-audio%3d128000.norewind.m3u8</t>
  </si>
  <si>
    <t>http://as-hls-uk-live.akamaized.net/pool_904/live/uk/bbc_radio_leeds/bbc_radio_leeds.isml/bbc_radio_leeds-audio%3d320000.norewind.m3u8</t>
  </si>
  <si>
    <t>http://as-hls-ww-live.akamaized.net/pool_904/live/ww/bbc_radio_leicester/bbc_radio_leicester.isml/bbc_radio_leicester-audio%3d48000.norewind.m3u8</t>
  </si>
  <si>
    <t>http://as-hls-ww-live.akamaized.net/pool_904/live/ww/bbc_radio_leicester/bbc_radio_leicester.isml/bbc_radio_leicester-audio%3d96000.norewind.m3u8</t>
  </si>
  <si>
    <t>http://as-hls-uk-live.akamaized.net/pool_904/live/uk/bbc_radio_leicester/bbc_radio_leicester.isml/bbc_radio_leicester-audio%3d128000.norewind.m3u8</t>
  </si>
  <si>
    <t>http://as-hls-uk-live.akamaized.net/pool_904/live/uk/bbc_radio_leicester/bbc_radio_leicester.isml/bbc_radio_leicester-audio%3d320000.norewind.m3u8</t>
  </si>
  <si>
    <t>http://as-hls-ww-live.akamaized.net/pool_904/live/ww/bbc_radio_lincolnshire/bbc_radio_lincolnshire.isml/bbc_radio_lincolnshire-audio%3d48000.norewind.m3u8</t>
  </si>
  <si>
    <t>http://as-hls-ww-live.akamaized.net/pool_904/live/ww/bbc_radio_lincolnshire/bbc_radio_lincolnshire.isml/bbc_radio_lincolnshire-audio%3d96000.norewind.m3u8</t>
  </si>
  <si>
    <t>http://as-hls-uk-live.akamaized.net/pool_904/live/uk/bbc_radio_lincolnshire/bbc_radio_lincolnshire.isml/bbc_radio_lincolnshire-audio%3d128000.norewind.m3u8</t>
  </si>
  <si>
    <t>http://as-hls-uk-live.akamaized.net/pool_904/live/uk/bbc_radio_lincolnshire/bbc_radio_lincolnshire.isml/bbc_radio_lincolnshire-audio%3d320000.norewind.m3u8</t>
  </si>
  <si>
    <t>http://as-hls-ww-live.akamaized.net/pool_904/live/ww/bbc_london/bbc_london.isml/bbc_london-audio%3d48000.norewind.m3u8</t>
  </si>
  <si>
    <t>http://as-hls-ww-live.akamaized.net/pool_904/live/ww/bbc_london/bbc_london.isml/bbc_london-audio%3d96000.norewind.m3u8</t>
  </si>
  <si>
    <t>http://as-hls-uk-live.akamaized.net/pool_904/live/uk/bbc_london/bbc_london.isml/bbc_london-audio%3d128000.norewind.m3u8</t>
  </si>
  <si>
    <t>http://as-hls-uk-live.akamaized.net/pool_904/live/uk/bbc_london/bbc_london.isml/bbc_london-audio%3d320000.norewind.m3u8</t>
  </si>
  <si>
    <t>http://as-hls-ww-live.akamaized.net/pool_904/live/ww/bbc_radio_manchester/bbc_radio_manchester.isml/bbc_radio_manchester-audio%3d48000.norewind.m3u8</t>
  </si>
  <si>
    <t>http://as-hls-ww-live.akamaized.net/pool_904/live/ww/bbc_radio_manchester/bbc_radio_manchester.isml/bbc_radio_manchester-audio%3d96000.norewind.m3u8</t>
  </si>
  <si>
    <t>http://as-hls-uk-live.akamaized.net/pool_904/live/uk/bbc_radio_manchester/bbc_radio_manchester.isml/bbc_radio_manchester-audio%3d128000.norewind.m3u8</t>
  </si>
  <si>
    <t>http://as-hls-uk-live.akamaized.net/pool_904/live/uk/bbc_radio_manchester/bbc_radio_manchester.isml/bbc_radio_manchester-audio%3d320000.norewind.m3u8</t>
  </si>
  <si>
    <t>http://as-hls-ww-live.akamaized.net/pool_904/live/ww/bbc_radio_merseyside/bbc_radio_merseyside.isml/bbc_radio_merseyside-audio%3d48000.norewind.m3u8</t>
  </si>
  <si>
    <t>http://as-hls-ww-live.akamaized.net/pool_904/live/ww/bbc_radio_merseyside/bbc_radio_merseyside.isml/bbc_radio_merseyside-audio%3d96000.norewind.m3u8</t>
  </si>
  <si>
    <t>http://as-hls-uk-live.akamaized.net/pool_904/live/uk/bbc_radio_merseyside/bbc_radio_merseyside.isml/bbc_radio_merseyside-audio%3d128000.norewind.m3u8</t>
  </si>
  <si>
    <t>http://as-hls-uk-live.akamaized.net/pool_904/live/uk/bbc_radio_merseyside/bbc_radio_merseyside.isml/bbc_radio_merseyside-audio%3d320000.norewind.m3u8</t>
  </si>
  <si>
    <t>http://as-hls-ww-live.akamaized.net/pool_904/live/ww/bbc_radio_nan_gaidheal/bbc_radio_nan_gaidheal.isml/bbc_radio_nan_gaidheal-audio%3d48000.norewind.m3u8</t>
  </si>
  <si>
    <t>http://as-hls-ww-live.akamaized.net/pool_904/live/ww/bbc_radio_nan_gaidheal/bbc_radio_nan_gaidheal.isml/bbc_radio_nan_gaidheal-audio%3d96000.norewind.m3u8</t>
  </si>
  <si>
    <t>http://as-hls-uk-live.akamaized.net/pool_904/live/uk/bbc_radio_nan_gaidheal/bbc_radio_nan_gaidheal.isml/bbc_radio_nan_gaidheal-audio%3d128000.norewind.m3u8</t>
  </si>
  <si>
    <t>http://as-hls-uk-live.akamaized.net/pool_904/live/uk/bbc_radio_nan_gaidheal/bbc_radio_nan_gaidheal.isml/bbc_radio_nan_gaidheal-audio%3d320000.norewind.m3u8</t>
  </si>
  <si>
    <t>http://as-hls-ww-live.akamaized.net/pool_904/live/ww/bbc_radio_newcastle/bbc_radio_newcastle.isml/bbc_radio_newcastle-audio%3d48000.norewind.m3u8</t>
  </si>
  <si>
    <t>http://as-hls-ww-live.akamaized.net/pool_904/live/ww/bbc_radio_newcastle/bbc_radio_newcastle.isml/bbc_radio_newcastle-audio%3d96000.norewind.m3u8</t>
  </si>
  <si>
    <t>http://as-hls-uk-live.akamaized.net/pool_904/live/uk/bbc_radio_newcastle/bbc_radio_newcastle.isml/bbc_radio_newcastle-audio%3d128000.norewind.m3u8</t>
  </si>
  <si>
    <t>http://as-hls-uk-live.akamaized.net/pool_904/live/uk/bbc_radio_newcastle/bbc_radio_newcastle.isml/bbc_radio_newcastle-audio%3d320000.norewind.m3u8</t>
  </si>
  <si>
    <t>http://as-hls-ww-live.akamaized.net/pool_904/live/ww/bbc_radio_norfolk/bbc_radio_norfolk.isml/bbc_radio_norfolk-audio%3d48000.norewind.m3u8</t>
  </si>
  <si>
    <t>http://as-hls-ww-live.akamaized.net/pool_904/live/ww/bbc_radio_norfolk/bbc_radio_norfolk.isml/bbc_radio_norfolk-audio%3d96000.norewind.m3u8</t>
  </si>
  <si>
    <t>http://as-hls-uk-live.akamaized.net/pool_904/live/uk/bbc_radio_norfolk/bbc_radio_norfolk.isml/bbc_radio_norfolk-audio%3d128000.norewind.m3u8</t>
  </si>
  <si>
    <t>http://as-hls-uk-live.akamaized.net/pool_904/live/uk/bbc_radio_norfolk/bbc_radio_norfolk.isml/bbc_radio_norfolk-audio%3d320000.norewind.m3u8</t>
  </si>
  <si>
    <t>http://as-hls-ww-live.akamaized.net/pool_904/live/ww/bbc_radio_northampton/bbc_radio_northampton.isml/bbc_radio_northampton-audio%3d48000.norewind.m3u8</t>
  </si>
  <si>
    <t>http://as-hls-ww-live.akamaized.net/pool_904/live/ww/bbc_radio_northampton/bbc_radio_northampton.isml/bbc_radio_northampton-audio%3d96000.norewind.m3u8</t>
  </si>
  <si>
    <t>http://as-hls-uk-live.akamaized.net/pool_904/live/uk/bbc_radio_northampton/bbc_radio_northampton.isml/bbc_radio_northampton-audio%3d128000.norewind.m3u8</t>
  </si>
  <si>
    <t>http://as-hls-uk-live.akamaized.net/pool_904/live/uk/bbc_radio_northampton/bbc_radio_northampton.isml/bbc_radio_northampton-audio%3d320000.norewind.m3u8</t>
  </si>
  <si>
    <t>http://as-hls-ww-live.akamaized.net/pool_904/live/ww/bbc_radio_nottingham/bbc_radio_nottingham.isml/bbc_radio_nottingham-audio%3d48000.norewind.m3u8</t>
  </si>
  <si>
    <t>http://as-hls-ww-live.akamaized.net/pool_904/live/ww/bbc_radio_nottingham/bbc_radio_nottingham.isml/bbc_radio_nottingham-audio%3d96000.norewind.m3u8</t>
  </si>
  <si>
    <t>http://as-hls-uk-live.akamaized.net/pool_904/live/uk/bbc_radio_nottingham/bbc_radio_nottingham.isml/bbc_radio_nottingham-audio%3d128000.norewind.m3u8</t>
  </si>
  <si>
    <t>http://as-hls-uk-live.akamaized.net/pool_904/live/uk/bbc_radio_nottingham/bbc_radio_nottingham.isml/bbc_radio_nottingham-audio%3d320000.norewind.m3u8</t>
  </si>
  <si>
    <t>http://as-hls-ww-live.akamaized.net/pool_904/live/ww/bbc_radio_orkney/bbc_radio_orkney.isml/bbc_radio_orkney-audio%3d48000.norewind.m3u8</t>
  </si>
  <si>
    <t>http://as-hls-ww-live.akamaized.net/pool_904/live/ww/bbc_radio_orkney/bbc_radio_orkney.isml/bbc_radio_orkney-audio%3d96000.norewind.m3u8</t>
  </si>
  <si>
    <t>http://as-hls-uk-live.akamaized.net/pool_904/live/uk/bbc_radio_orkney/bbc_radio_orkney.isml/bbc_radio_orkney-audio%3d128000.norewind.m3u8</t>
  </si>
  <si>
    <t>http://as-hls-uk-live.akamaized.net/pool_904/live/uk/bbc_radio_orkney/bbc_radio_orkney.isml/bbc_radio_orkney-audio%3d320000.norewind.m3u8</t>
  </si>
  <si>
    <t>http://as-hls-ww-live.akamaized.net/pool_904/live/ww/bbc_radio_oxford/bbc_radio_oxford.isml/bbc_radio_oxford-audio%3d48000.norewind.m3u8</t>
  </si>
  <si>
    <t>http://as-hls-ww-live.akamaized.net/pool_904/live/ww/bbc_radio_oxford/bbc_radio_oxford.isml/bbc_radio_oxford-audio%3d96000.norewind.m3u8</t>
  </si>
  <si>
    <t>http://as-hls-uk-live.akamaized.net/pool_904/live/uk/bbc_radio_oxford/bbc_radio_oxford.isml/bbc_radio_oxford-audio%3d128000.norewind.m3u8</t>
  </si>
  <si>
    <t>http://as-hls-uk-live.akamaized.net/pool_904/live/uk/bbc_radio_oxford/bbc_radio_oxford.isml/bbc_radio_oxford-audio%3d320000.norewind.m3u8</t>
  </si>
  <si>
    <t>http://as-hls-ww-live.akamaized.net/pool_904/live/ww/bbc_radio_scotland_fm/bbc_radio_scotland_fm.isml/bbc_radio_scotland_fm-audio%3d48000.norewind.m3u8</t>
  </si>
  <si>
    <t>http://as-hls-ww-live.akamaized.net/pool_904/live/ww/bbc_radio_scotland_fm/bbc_radio_scotland_fm.isml/bbc_radio_scotland_fm-audio%3d96000.norewind.m3u8</t>
  </si>
  <si>
    <t>http://as-hls-uk-live.akamaized.net/pool_904/live/uk/bbc_radio_scotland_fm/bbc_radio_scotland_fm.isml/bbc_radio_scotland_fm-audio%3d128000.norewind.m3u8</t>
  </si>
  <si>
    <t>http://as-hls-uk-live.akamaized.net/pool_904/live/uk/bbc_radio_scotland_fm/bbc_radio_scotland_fm.isml/bbc_radio_scotland_fm-audio%3d320000.norewind.m3u8</t>
  </si>
  <si>
    <t>http://as-hls-ww-live.akamaized.net/pool_904/live/ww/bbc_radio_scotland_mw/bbc_radio_scotland_mw.isml/bbc_radio_scotland_mw-audio%3d48000.norewind.m3u8</t>
  </si>
  <si>
    <t>http://as-hls-ww-live.akamaized.net/pool_904/live/ww/bbc_radio_scotland_mw/bbc_radio_scotland_mw.isml/bbc_radio_scotland_mw-audio%3d96000.norewind.m3u8</t>
  </si>
  <si>
    <t>http://as-hls-uk-live.akamaized.net/pool_904/live/uk/bbc_radio_scotland_mw/bbc_radio_scotland_mw.isml/bbc_radio_scotland_mw-audio%3d128000.norewind.m3u8</t>
  </si>
  <si>
    <t>http://as-hls-uk-live.akamaized.net/pool_904/live/uk/bbc_radio_scotland_mw/bbc_radio_scotland_mw.isml/bbc_radio_scotland_mw-audio%3d320000.norewind.m3u8</t>
  </si>
  <si>
    <t>http://as-hls-ww-live.akamaized.net/pool_904/live/ww/bbc_radio_sheffield/bbc_radio_sheffield.isml/bbc_radio_sheffield-audio%3d48000.norewind.m3u8</t>
  </si>
  <si>
    <t>http://as-hls-ww-live.akamaized.net/pool_904/live/ww/bbc_radio_sheffield/bbc_radio_sheffield.isml/bbc_radio_sheffield-audio%3d96000.norewind.m3u8</t>
  </si>
  <si>
    <t>http://as-hls-uk-live.akamaized.net/pool_904/live/uk/bbc_radio_sheffield/bbc_radio_sheffield.isml/bbc_radio_sheffield-audio%3d128000.norewind.m3u8</t>
  </si>
  <si>
    <t>http://as-hls-uk-live.akamaized.net/pool_904/live/uk/bbc_radio_sheffield/bbc_radio_sheffield.isml/bbc_radio_sheffield-audio%3d320000.norewind.m3u8</t>
  </si>
  <si>
    <t>http://as-hls-ww-live.akamaized.net/pool_904/live/ww/bbc_radio_shetland/bbc_radio_shetland.isml/bbc_radio_shetland-audio%3d48000.norewind.m3u8</t>
  </si>
  <si>
    <t>http://as-hls-ww-live.akamaized.net/pool_904/live/ww/bbc_radio_shetland/bbc_radio_shetland.isml/bbc_radio_shetland-audio%3d96000.norewind.m3u8</t>
  </si>
  <si>
    <t>http://as-hls-uk-live.akamaized.net/pool_904/live/uk/bbc_radio_shetland/bbc_radio_shetland.isml/bbc_radio_shetland-audio%3d128000.norewind.m3u8</t>
  </si>
  <si>
    <t>http://as-hls-uk-live.akamaized.net/pool_904/live/uk/bbc_radio_shetland/bbc_radio_shetland.isml/bbc_radio_shetland-audio%3d320000.norewind.m3u8</t>
  </si>
  <si>
    <t>http://as-hls-ww-live.akamaized.net/pool_904/live/ww/bbc_radio_shropshire/bbc_radio_shropshire.isml/bbc_radio_shropshire-audio%3d48000.norewind.m3u8</t>
  </si>
  <si>
    <t>http://as-hls-ww-live.akamaized.net/pool_904/live/ww/bbc_radio_shropshire/bbc_radio_shropshire.isml/bbc_radio_shropshire-audio%3d96000.norewind.m3u8</t>
  </si>
  <si>
    <t>http://as-hls-uk-live.akamaized.net/pool_904/live/uk/bbc_radio_shropshire/bbc_radio_shropshire.isml/bbc_radio_shropshire-audio%3d128000.norewind.m3u8</t>
  </si>
  <si>
    <t>http://as-hls-uk-live.akamaized.net/pool_904/live/uk/bbc_radio_shropshire/bbc_radio_shropshire.isml/bbc_radio_shropshire-audio%3d320000.norewind.m3u8</t>
  </si>
  <si>
    <t>http://as-hls-ww-live.akamaized.net/pool_904/live/ww/bbc_radio_solent/bbc_radio_solent.isml/bbc_radio_solent-audio%3d48000.norewind.m3u8</t>
  </si>
  <si>
    <t>http://as-hls-ww-live.akamaized.net/pool_904/live/ww/bbc_radio_solent/bbc_radio_solent.isml/bbc_radio_solent-audio%3d96000.norewind.m3u8</t>
  </si>
  <si>
    <t>http://as-hls-uk-live.akamaized.net/pool_904/live/uk/bbc_radio_solent/bbc_radio_solent.isml/bbc_radio_solent-audio%3d128000.norewind.m3u8</t>
  </si>
  <si>
    <t>http://as-hls-uk-live.akamaized.net/pool_904/live/uk/bbc_radio_solent/bbc_radio_solent.isml/bbc_radio_solent-audio%3d320000.norewind.m3u8</t>
  </si>
  <si>
    <t>http://as-hls-ww-live.akamaized.net/pool_904/live/ww/bbc_radio_solent_west_dorset/bbc_radio_solent_west_dorset.isml/bbc_radio_solent_west_dorset-audio%3d48000.norewind.m3u8</t>
  </si>
  <si>
    <t>http://as-hls-ww-live.akamaized.net/pool_904/live/ww/bbc_radio_solent_west_dorset/bbc_radio_solent_west_dorset.isml/bbc_radio_solent_west_dorset-audio%3d96000.norewind.m3u8</t>
  </si>
  <si>
    <t>http://as-hls-uk-live.akamaized.net/pool_904/live/uk/bbc_radio_solent_west_dorset/bbc_radio_solent_west_dorset.isml/bbc_radio_solent_west_dorset-audio%3d128000.norewind.m3u8</t>
  </si>
  <si>
    <t>http://as-hls-uk-live.akamaized.net/pool_904/live/uk/bbc_radio_solent_west_dorset/bbc_radio_solent_west_dorset.isml/bbc_radio_solent_west_dorset-audio%3d320000.norewind.m3u8</t>
  </si>
  <si>
    <t>http://as-hls-ww-live.akamaized.net/pool_904/live/ww/bbc_radio_somerset_sound/bbc_radio_somerset_sound.isml/bbc_radio_somerset_sound-audio%3d48000.norewind.m3u8</t>
  </si>
  <si>
    <t>http://as-hls-ww-live.akamaized.net/pool_904/live/ww/bbc_radio_somerset_sound/bbc_radio_somerset_sound.isml/bbc_radio_somerset_sound-audio%3d96000.norewind.m3u8</t>
  </si>
  <si>
    <t>http://as-hls-uk-live.akamaized.net/pool_904/live/uk/bbc_radio_somerset_sound/bbc_radio_somerset_sound.isml/bbc_radio_somerset_sound-audio%3d128000.norewind.m3u8</t>
  </si>
  <si>
    <t>http://as-hls-uk-live.akamaized.net/pool_904/live/uk/bbc_radio_somerset_sound/bbc_radio_somerset_sound.isml/bbc_radio_somerset_sound-audio%3d320000.norewind.m3u8</t>
  </si>
  <si>
    <t>http://as-hls-ww-live.akamaized.net/pool_904/live/ww/bbc_radio_stoke/bbc_radio_stoke.isml/bbc_radio_stoke-audio%3d48000.norewind.m3u8</t>
  </si>
  <si>
    <t>http://as-hls-ww-live.akamaized.net/pool_904/live/ww/bbc_radio_stoke/bbc_radio_stoke.isml/bbc_radio_stoke-audio%3d96000.norewind.m3u8</t>
  </si>
  <si>
    <t>http://as-hls-uk-live.akamaized.net/pool_904/live/uk/bbc_radio_stoke/bbc_radio_stoke.isml/bbc_radio_stoke-audio%3d128000.norewind.m3u8</t>
  </si>
  <si>
    <t>http://as-hls-uk-live.akamaized.net/pool_904/live/uk/bbc_radio_stoke/bbc_radio_stoke.isml/bbc_radio_stoke-audio%3d320000.norewind.m3u8</t>
  </si>
  <si>
    <t>http://as-hls-ww-live.akamaized.net/pool_904/live/ww/bbc_radio_suffolk/bbc_radio_suffolk.isml/bbc_radio_suffolk-audio%3d48000.norewind.m3u8</t>
  </si>
  <si>
    <t>http://as-hls-ww-live.akamaized.net/pool_904/live/ww/bbc_radio_suffolk/bbc_radio_suffolk.isml/bbc_radio_suffolk-audio%3d96000.norewind.m3u8</t>
  </si>
  <si>
    <t>http://as-hls-uk-live.akamaized.net/pool_904/live/uk/bbc_radio_suffolk/bbc_radio_suffolk.isml/bbc_radio_suffolk-audio%3d128000.norewind.m3u8</t>
  </si>
  <si>
    <t>http://as-hls-uk-live.akamaized.net/pool_904/live/uk/bbc_radio_suffolk/bbc_radio_suffolk.isml/bbc_radio_suffolk-audio%3d320000.norewind.m3u8</t>
  </si>
  <si>
    <t>http://as-hls-ww-live.akamaized.net/pool_904/live/ww/bbc_radio_surrey/bbc_radio_surrey.isml/bbc_radio_surrey-audio%3d48000.norewind.m3u8</t>
  </si>
  <si>
    <t>http://as-hls-ww-live.akamaized.net/pool_904/live/ww/bbc_radio_surrey/bbc_radio_surrey.isml/bbc_radio_surrey-audio%3d96000.norewind.m3u8</t>
  </si>
  <si>
    <t>http://as-hls-uk-live.akamaized.net/pool_904/live/uk/bbc_radio_surrey/bbc_radio_surrey.isml/bbc_radio_surrey-audio%3d128000.norewind.m3u8</t>
  </si>
  <si>
    <t>http://as-hls-uk-live.akamaized.net/pool_904/live/uk/bbc_radio_surrey/bbc_radio_surrey.isml/bbc_radio_surrey-audio%3d320000.norewind.m3u8</t>
  </si>
  <si>
    <t>http://as-hls-ww-live.akamaized.net/pool_904/live/ww/bbc_radio_sussex/bbc_radio_sussex.isml/bbc_radio_sussex-audio%3d48000.norewind.m3u8</t>
  </si>
  <si>
    <t>http://as-hls-ww-live.akamaized.net/pool_904/live/ww/bbc_radio_sussex/bbc_radio_sussex.isml/bbc_radio_sussex-audio%3d96000.norewind.m3u8</t>
  </si>
  <si>
    <t>http://as-hls-uk-live.akamaized.net/pool_904/live/uk/bbc_radio_sussex/bbc_radio_sussex.isml/bbc_radio_sussex-audio%3d128000.norewind.m3u8</t>
  </si>
  <si>
    <t>http://as-hls-uk-live.akamaized.net/pool_904/live/uk/bbc_radio_sussex/bbc_radio_sussex.isml/bbc_radio_sussex-audio%3d320000.norewind.m3u8</t>
  </si>
  <si>
    <t>http://as-hls-ww-live.akamaized.net/pool_904/live/ww/bbc_tees/bbc_tees.isml/bbc_tees-audio%3d48000.norewind.m3u8</t>
  </si>
  <si>
    <t>http://as-hls-ww-live.akamaized.net/pool_904/live/ww/bbc_tees/bbc_tees.isml/bbc_tees-audio%3d96000.norewind.m3u8</t>
  </si>
  <si>
    <t>http://as-hls-uk-live.akamaized.net/pool_904/live/uk/bbc_tees/bbc_tees.isml/bbc_tees-audio%3d128000.norewind.m3u8</t>
  </si>
  <si>
    <t>http://as-hls-uk-live.akamaized.net/pool_904/live/uk/bbc_tees/bbc_tees.isml/bbc_tees-audio%3d320000.norewind.m3u8</t>
  </si>
  <si>
    <t>http://as-hls-ww-live.akamaized.net/pool_904/live/ww/bbc_radio_ulster/bbc_radio_ulster.isml/bbc_radio_ulster-audio%3d48000.norewind.m3u8</t>
  </si>
  <si>
    <t>http://as-hls-ww-live.akamaized.net/pool_904/live/ww/bbc_radio_ulster/bbc_radio_ulster.isml/bbc_radio_ulster-audio%3d96000.norewind.m3u8</t>
  </si>
  <si>
    <t>http://as-hls-uk-live.akamaized.net/pool_904/live/uk/bbc_radio_ulster/bbc_radio_ulster.isml/bbc_radio_ulster-audio%3d128000.norewind.m3u8</t>
  </si>
  <si>
    <t>http://as-hls-uk-live.akamaized.net/pool_904/live/uk/bbc_radio_ulster/bbc_radio_ulster.isml/bbc_radio_ulster-audio%3d320000.norewind.m3u8</t>
  </si>
  <si>
    <t>http://as-hls-ww-live.akamaized.net/pool_904/live/ww/bbc_radio_wales_fm/bbc_radio_wales_fm.isml/bbc_radio_wales_fm-audio%3d48000.norewind.m3u8</t>
  </si>
  <si>
    <t>http://as-hls-ww-live.akamaized.net/pool_904/live/ww/bbc_radio_wales_fm/bbc_radio_wales_fm.isml/bbc_radio_wales_fm-audio%3d96000.norewind.m3u8</t>
  </si>
  <si>
    <t>http://as-hls-uk-live.akamaized.net/pool_904/live/uk/bbc_radio_wales_fm/bbc_radio_wales_fm.isml/bbc_radio_wales_fm-audio%3d128000.norewind.m3u8</t>
  </si>
  <si>
    <t>http://as-hls-uk-live.akamaized.net/pool_904/live/uk/bbc_radio_wales_fm/bbc_radio_wales_fm.isml/bbc_radio_wales_fm-audio%3d320000.norewind.m3u8</t>
  </si>
  <si>
    <t>http://as-hls-ww-live.akamaized.net/pool_904/live/ww/bbc_radio_wales_am/bbc_radio_wales_am.isml/bbc_radio_wales_am-audio%3d48000.norewind.m3u8</t>
  </si>
  <si>
    <t>http://as-hls-ww-live.akamaized.net/pool_904/live/ww/bbc_radio_wales_am/bbc_radio_wales_am.isml/bbc_radio_wales_am-audio%3d96000.norewind.m3u8</t>
  </si>
  <si>
    <t>http://as-hls-uk-live.akamaized.net/pool_904/live/uk/bbc_radio_wales_am/bbc_radio_wales_am.isml/bbc_radio_wales_am-audio%3d128000.norewind.m3u8</t>
  </si>
  <si>
    <t>http://as-hls-uk-live.akamaized.net/pool_904/live/uk/bbc_radio_wales_am/bbc_radio_wales_am.isml/bbc_radio_wales_am-audio%3d320000.norewind.m3u8</t>
  </si>
  <si>
    <t>http://as-hls-ww-live.akamaized.net/pool_904/live/ww/bbc_radio_wiltshire/bbc_radio_wiltshire.isml/bbc_radio_wiltshire-audio%3d48000.norewind.m3u8</t>
  </si>
  <si>
    <t>http://as-hls-ww-live.akamaized.net/pool_904/live/ww/bbc_radio_wiltshire/bbc_radio_wiltshire.isml/bbc_radio_wiltshire-audio%3d96000.norewind.m3u8</t>
  </si>
  <si>
    <t>http://as-hls-uk-live.akamaized.net/pool_904/live/uk/bbc_radio_wiltshire/bbc_radio_wiltshire.isml/bbc_radio_wiltshire-audio%3d128000.norewind.m3u8</t>
  </si>
  <si>
    <t>http://as-hls-uk-live.akamaized.net/pool_904/live/uk/bbc_radio_wiltshire/bbc_radio_wiltshire.isml/bbc_radio_wiltshire-audio%3d320000.norewind.m3u8</t>
  </si>
  <si>
    <t>http://as-hls-ww-live.akamaized.net/pool_904/live/ww/bbc_wm/bbc_wm.isml/bbc_wm-audio%3d48000.norewind.m3u8</t>
  </si>
  <si>
    <t>http://as-hls-ww-live.akamaized.net/pool_904/live/ww/bbc_wm/bbc_wm.isml/bbc_wm-audio%3d96000.norewind.m3u8</t>
  </si>
  <si>
    <t>http://as-hls-uk-live.akamaized.net/pool_904/live/uk/bbc_wm/bbc_wm.isml/bbc_wm-audio%3d128000.norewind.m3u8</t>
  </si>
  <si>
    <t>http://as-hls-uk-live.akamaized.net/pool_904/live/uk/bbc_wm/bbc_wm.isml/bbc_wm-audio%3d320000.norewind.m3u8</t>
  </si>
  <si>
    <t>http://as-hls-ww-live.akamaized.net/pool_904/live/ww/bbc_radio_york/bbc_radio_york.isml/bbc_radio_york-audio%3d48000.norewind.m3u8</t>
  </si>
  <si>
    <t>http://as-hls-ww-live.akamaized.net/pool_904/live/ww/bbc_radio_york/bbc_radio_york.isml/bbc_radio_york-audio%3d96000.norewind.m3u8</t>
  </si>
  <si>
    <t>http://as-hls-uk-live.akamaized.net/pool_904/live/uk/bbc_radio_york/bbc_radio_york.isml/bbc_radio_york-audio%3d128000.norewind.m3u8</t>
  </si>
  <si>
    <t>http://as-hls-uk-live.akamaized.net/pool_904/live/uk/bbc_radio_york/bbc_radio_york.isml/bbc_radio_york-audio%3d320000.norewind.m3u8</t>
  </si>
  <si>
    <t>http://as-hls-ww-live.akamaized.net/pool_904/live/ww/bbc_three_counties_radio/bbc_three_counties_radio.isml/bbc_three_counties_radio-audio%3d48000.norewind.m3u8</t>
  </si>
  <si>
    <t>http://as-hls-ww-live.akamaized.net/pool_904/live/ww/bbc_three_counties_radio/bbc_three_counties_radio.isml/bbc_three_counties_radio-audio%3d96000.norewind.m3u8</t>
  </si>
  <si>
    <t>http://as-hls-uk-live.akamaized.net/pool_904/live/uk/bbc_three_counties_radio/bbc_three_counties_radio.isml/bbc_three_counties_radio-audio%3d128000.norewind.m3u8</t>
  </si>
  <si>
    <t>http://as-hls-uk-live.akamaized.net/pool_904/live/uk/bbc_three_counties_radio/bbc_three_counties_radio.isml/bbc_three_counties_radio-audio%3d320000.norewind.m3u8</t>
  </si>
  <si>
    <t>http://as-hls-ww-live.akamaized.net/pool_904/live/ww/bbc_world_service/bbc_world_service.isml/bbc_world_service-audio%3d48000.norewind.m3u8</t>
  </si>
  <si>
    <t>http://as-hls-ww-live.akamaized.net/pool_904/live/ww/bbc_world_service/bbc_world_service.isml/bbc_world_service-audio%3d96000.norewind.m3u8</t>
  </si>
  <si>
    <t>http://media.radiojackie.com/redirector/livestream.m3u8</t>
  </si>
  <si>
    <t>ACC</t>
  </si>
  <si>
    <t>HIFI-QUALITY</t>
  </si>
  <si>
    <t>OTHER</t>
  </si>
  <si>
    <t>Match1</t>
  </si>
  <si>
    <t>Match2</t>
  </si>
  <si>
    <t>Match3</t>
  </si>
  <si>
    <t>Match Chk</t>
  </si>
  <si>
    <t>BFBS (Portsmouth)</t>
  </si>
  <si>
    <t>BFBS (UK)</t>
  </si>
  <si>
    <t>Bridge FM Radio (Bridgend)</t>
  </si>
  <si>
    <t>Capital (Anglesey &amp; Gwynedd)</t>
  </si>
  <si>
    <t>Capital (Liverpool)</t>
  </si>
  <si>
    <t>Capital (London)</t>
  </si>
  <si>
    <t>Capital (Midlands) (Birmingham)</t>
  </si>
  <si>
    <t>Capital (Midlands) (Coventry)</t>
  </si>
  <si>
    <t>Capital (Midlands) (Derbyshire)</t>
  </si>
  <si>
    <t>Capital (Midlands) (Leicestershire)</t>
  </si>
  <si>
    <t>Capital (Midlands) (North Oxfordshire)</t>
  </si>
  <si>
    <t>Capital (Midlands) (Nottinghamshire)</t>
  </si>
  <si>
    <t>Capital (Midlands) (Rugby)</t>
  </si>
  <si>
    <t>Capital (Midlands) (South East Staffordshire)</t>
  </si>
  <si>
    <t>Capital (Midlands) (Stratford-upon-Avon)</t>
  </si>
  <si>
    <t>Capital (Midlands) (Warwick)</t>
  </si>
  <si>
    <t>Capital (North East England) (Teesside)</t>
  </si>
  <si>
    <t>Capital (North East England) (Tyne &amp; Wear)</t>
  </si>
  <si>
    <t>Capital (North West &amp; North Wales) (North Wales Coast)</t>
  </si>
  <si>
    <t>Capital (North West &amp; North Wales) (The Wirral)</t>
  </si>
  <si>
    <t>Capital (North West &amp; North Wales) (Wrexham &amp; Cheshire)</t>
  </si>
  <si>
    <t>Capital (North West England) (Burnley &amp; Pendle)</t>
  </si>
  <si>
    <t>Capital (North West England) (Manchester)</t>
  </si>
  <si>
    <t>Capital (North West England) (Preston &amp; Blackburn)</t>
  </si>
  <si>
    <t>Capital (Scotland) (East)</t>
  </si>
  <si>
    <t>Capital (Scotland) (West)</t>
  </si>
  <si>
    <t>Capital (South) (Brighton)</t>
  </si>
  <si>
    <t>Capital (South) (South Coast)</t>
  </si>
  <si>
    <t>Capital (South Wales)</t>
  </si>
  <si>
    <t>Capital (UK)</t>
  </si>
  <si>
    <t>Capital (Yorkshire) (East)</t>
  </si>
  <si>
    <t>Capital (Yorkshire) (South &amp; West)</t>
  </si>
  <si>
    <t>Capital XTRA (London)</t>
  </si>
  <si>
    <t>Capital XTRA (UK)</t>
  </si>
  <si>
    <t>Central Radio (Lancashire)</t>
  </si>
  <si>
    <t>CFM (East)</t>
  </si>
  <si>
    <t>Classic FM (UK)</t>
  </si>
  <si>
    <t>Classic Hits (UK)</t>
  </si>
  <si>
    <t>CountryLine Radio (formerly Chris Country)</t>
  </si>
  <si>
    <t>Easy Radio (South) (Portsmouth) (formerly Hits Radio)</t>
  </si>
  <si>
    <t>Easy Radio (South) (Southampton) (formerly Hits Radio)</t>
  </si>
  <si>
    <t>Easy Radio (UK) (formerly Breezy Radio)</t>
  </si>
  <si>
    <t>Easy Radio (Wales) (formerly Breezy Radio)</t>
  </si>
  <si>
    <t>Fosse 107 (Hinckley &amp; Nuneaton)</t>
  </si>
  <si>
    <t>Fosse 107 (Loughborough)</t>
  </si>
  <si>
    <t>Free Radio (Herefordshire &amp; Worcestershire) (Worcestershire)</t>
  </si>
  <si>
    <t>Gaydio (Birmingham)</t>
  </si>
  <si>
    <t>Gaydio (Glasgow)</t>
  </si>
  <si>
    <t>Gaydio (London)</t>
  </si>
  <si>
    <t>Gaydio (UK)</t>
  </si>
  <si>
    <t>Greatest Hits Radio (East) (Essex)</t>
  </si>
  <si>
    <t>Greatest Hits Radio (East) (Ipswich &amp; Suffolk)</t>
  </si>
  <si>
    <t>Greatest Hits Radio (East) (Norfolk &amp; North Suffolk)</t>
  </si>
  <si>
    <t>Greatest Hits Radio (East) (West Norfolk)</t>
  </si>
  <si>
    <t>Greatest Hits Radio (Midlands) (Birmingham &amp; the West Midlands)</t>
  </si>
  <si>
    <t>Greatest Hits Radio (Midlands) (Black Country &amp; Shropshire) (Black Country)</t>
  </si>
  <si>
    <t>Greatest Hits Radio (Midlands) (Coventry &amp; Warwickshire)</t>
  </si>
  <si>
    <t>Greatest Hits Radio (Midlands) (East Midlands)</t>
  </si>
  <si>
    <t>Greatest Hits Radio (Midlands) (Herefordshire &amp; Worcestershire)</t>
  </si>
  <si>
    <t>Greatest Hits Radio (Midlands) (South Derbyshire)</t>
  </si>
  <si>
    <t>Greatest Hits Radio (Midlands) (Staffordshire &amp; Cheshire)</t>
  </si>
  <si>
    <t>Greatest Hits Radio (Midlands) (Stamford &amp; Rutland)</t>
  </si>
  <si>
    <t>Greatest Hits Radio (North East) (Teesside)</t>
  </si>
  <si>
    <t>Greatest Hits Radio (North East) (Tyne &amp; Wear)</t>
  </si>
  <si>
    <t>Greatest Hits Radio (North West) (Cumbria)</t>
  </si>
  <si>
    <t>Greatest Hits Radio (North West) (Lancashire) (DAB)</t>
  </si>
  <si>
    <t>Greatest Hits Radio (North West) (Liverpool &amp; the North West) (Liverpool)</t>
  </si>
  <si>
    <t>Greatest Hits Radio (North West) (Manchester &amp; the North West) (DAB &amp; Oldham)</t>
  </si>
  <si>
    <t>Greatest Hits Radio (North West) (South Manchester)</t>
  </si>
  <si>
    <t>Greatest Hits Radio (North West) (Wigan &amp; St Helens)</t>
  </si>
  <si>
    <t>Greatest Hits Radio (South) (Berkshire &amp; North Hampshire)</t>
  </si>
  <si>
    <t>Greatest Hits Radio (South) (Bournemouth &amp; Poole)</t>
  </si>
  <si>
    <t>Greatest Hits Radio (South) (Bucks, Beds &amp; Herts)</t>
  </si>
  <si>
    <t>Greatest Hits Radio (South) (North &amp; West Dorset) (East)</t>
  </si>
  <si>
    <t>Greatest Hits Radio (South) (Salisbury)</t>
  </si>
  <si>
    <t>Greatest Hits Radio (South) (South Hampshire &amp; Isle of Wight)</t>
  </si>
  <si>
    <t>Greatest Hits Radio (South) (Surrey &amp; East Hampshire)</t>
  </si>
  <si>
    <t>Greatest Hits Radio (South) (West Sussex) (South)</t>
  </si>
  <si>
    <t>Greatest Hits Radio (South West) (Bath &amp; the South West)</t>
  </si>
  <si>
    <t>Greatest Hits Radio (South West) (Bristol &amp; the South West)</t>
  </si>
  <si>
    <t>Greatest Hits Radio (South West) (Cornwall)</t>
  </si>
  <si>
    <t>Greatest Hits Radio (South West) (Devon)</t>
  </si>
  <si>
    <t>Greatest Hits Radio (South West) (Gloucestershire)</t>
  </si>
  <si>
    <t>Greatest Hits Radio (South West) (Plymouth)</t>
  </si>
  <si>
    <t>Greatest Hits Radio (South West) (Somerset)</t>
  </si>
  <si>
    <t>Greatest Hits Radio (South West) (Swindon)</t>
  </si>
  <si>
    <t>Greatest Hits Radio (UK)</t>
  </si>
  <si>
    <t>Greatest Hits Radio (Yorkshire) (East Yorkshire &amp; Northern Lincolnshire)</t>
  </si>
  <si>
    <t>Greatest Hits Radio (Yorkshire) (Grimsby)</t>
  </si>
  <si>
    <t>Greatest Hits Radio (Yorkshire) (Harrogate &amp; the Yorkshire Dales) (Harrogate)</t>
  </si>
  <si>
    <t>Greatest Hits Radio (Yorkshire) (Lincolnshire)</t>
  </si>
  <si>
    <t>Greatest Hits Radio (Yorkshire) (North Derbyshire)</t>
  </si>
  <si>
    <t>Greatest Hits Radio (Yorkshire) (South Yorkshire)</t>
  </si>
  <si>
    <t>Greatest Hits Radio (Yorkshire) (West Yorkshire) (Leeds)</t>
  </si>
  <si>
    <t>Greatest Hits Radio (Yorkshire) (York &amp; North Yorkshire) (York)</t>
  </si>
  <si>
    <t>Greatest Hits Radio (Yorkshire) (Yorkshire Coast) (Scarborough)</t>
  </si>
  <si>
    <t>Heart (East) (Bedfordshire)</t>
  </si>
  <si>
    <t>Heart (East) (Beds, Bucks &amp; Herts)</t>
  </si>
  <si>
    <t>Heart (East) (Cambridge &amp; Newmarket)</t>
  </si>
  <si>
    <t>Heart (East) (Colchester)</t>
  </si>
  <si>
    <t>Heart (East) (Greater Peterborough)</t>
  </si>
  <si>
    <t>Heart (East) (Harlow)</t>
  </si>
  <si>
    <t>Heart (East) (Milton Keynes)</t>
  </si>
  <si>
    <t>Heart (East) (Norfolk &amp; North Suffolk)</t>
  </si>
  <si>
    <t>Heart (East) (Northamptonshire)</t>
  </si>
  <si>
    <t>Heart (East) (Southend &amp; Chelmsford)</t>
  </si>
  <si>
    <t>Heart (East) (Suffolk)</t>
  </si>
  <si>
    <t>Heart (Hertfordshire) (North)</t>
  </si>
  <si>
    <t>Heart (Hertfordshire) (Watford &amp; Hemel)</t>
  </si>
  <si>
    <t>Heart (London)</t>
  </si>
  <si>
    <t>Heart (North &amp; Mid Wales)</t>
  </si>
  <si>
    <t>Heart (North East England) (Teesside)</t>
  </si>
  <si>
    <t>Heart (North East England) (Tyne &amp; Wear)</t>
  </si>
  <si>
    <t>Heart (North West England) (North Lancashire &amp; Cumbria)</t>
  </si>
  <si>
    <t>Heart (North West England) (North West England)</t>
  </si>
  <si>
    <t>Heart (Scotland) (East)</t>
  </si>
  <si>
    <t>Heart (Scotland) (West)</t>
  </si>
  <si>
    <t>Heart (South) (Berkshire &amp; North Hampshire)</t>
  </si>
  <si>
    <t>Heart (South) (Crawley &amp; Surrey)</t>
  </si>
  <si>
    <t>Heart (South) (Dorset &amp; The New Forest)</t>
  </si>
  <si>
    <t>Heart (South) (Hampshire &amp; West Sussex)</t>
  </si>
  <si>
    <t>Heart (South) (Kent)</t>
  </si>
  <si>
    <t>Heart (South) (Oxfordshire)</t>
  </si>
  <si>
    <t>Heart (South) (Sussex)</t>
  </si>
  <si>
    <t>Heart (South Wales) (East)</t>
  </si>
  <si>
    <t>Heart (South Wales) (West)</t>
  </si>
  <si>
    <t>Heart (UK)</t>
  </si>
  <si>
    <t>Heart (West) (Bath)</t>
  </si>
  <si>
    <t>Heart (West) (Bristol)</t>
  </si>
  <si>
    <t>Heart (West) (Cornwall)</t>
  </si>
  <si>
    <t>Heart (West) (Exeter &amp; East Devon)</t>
  </si>
  <si>
    <t>Heart (West) (Gloucestershire)</t>
  </si>
  <si>
    <t>Heart (West) (North Devon)</t>
  </si>
  <si>
    <t>Heart (West) (Plymouth)</t>
  </si>
  <si>
    <t>Heart (West) (Somerset)</t>
  </si>
  <si>
    <t>Heart (West) (South Hams)</t>
  </si>
  <si>
    <t>Heart (West) (Torbay)</t>
  </si>
  <si>
    <t>Heart (West) (Wiltshire)</t>
  </si>
  <si>
    <t>Heart (West Midlands)</t>
  </si>
  <si>
    <t>Heart (Yorkshire)</t>
  </si>
  <si>
    <t>Hits Radio (Bristol &amp; the South West)</t>
  </si>
  <si>
    <t>Hits Radio (South) (Bournemouth &amp; Poole)</t>
  </si>
  <si>
    <t>Hits Radio (South) (South Hampshire &amp; Isle of Wight)</t>
  </si>
  <si>
    <t>Hits Radio (Suffolk) (CEASED)</t>
  </si>
  <si>
    <t>Hits Radio (UK)</t>
  </si>
  <si>
    <t>Hope FM (UK)</t>
  </si>
  <si>
    <t>KISS (London)</t>
  </si>
  <si>
    <t>KISS (UK)</t>
  </si>
  <si>
    <t>LBC (London)</t>
  </si>
  <si>
    <t>LBC (UK)</t>
  </si>
  <si>
    <t>LBC News (London)</t>
  </si>
  <si>
    <t>LBC News (UK)</t>
  </si>
  <si>
    <t>LCR2, Leicester Community Radio 2</t>
  </si>
  <si>
    <t>Like ONE (formerly Like Radio)</t>
  </si>
  <si>
    <t>Like POP (formerly POP DAB)</t>
  </si>
  <si>
    <t>Love 80s (Liverpool)</t>
  </si>
  <si>
    <t>Love 80s (Manchester)</t>
  </si>
  <si>
    <t>Magic (London)</t>
  </si>
  <si>
    <t>Magic (UK)</t>
  </si>
  <si>
    <t>Manx Radio (AM)</t>
  </si>
  <si>
    <t>Manx Radio (FM)</t>
  </si>
  <si>
    <t>MLR, Memory Lane Radio</t>
  </si>
  <si>
    <t>More Radio (Eastbourne)</t>
  </si>
  <si>
    <t>More Radio (Hastings)</t>
  </si>
  <si>
    <t>More Radio (Mid Sussex)</t>
  </si>
  <si>
    <t>More Radio (Sussex)</t>
  </si>
  <si>
    <t>More Radio (Worthing)</t>
  </si>
  <si>
    <t>Nation Radio (East Yorkshire) (formerly Greatest Hits Radio)</t>
  </si>
  <si>
    <t>Nation Radio (Scotland) (Dumbarton &amp; Helensburgh)</t>
  </si>
  <si>
    <t>Nation Radio (Scotland) (Glasgow)</t>
  </si>
  <si>
    <t>Nation Radio (South) (Dorset) (formerly Greatest Hits Radio)</t>
  </si>
  <si>
    <t>Nation Radio (South) (South Hampshire &amp; Isle of Wight) (formerly Greatest Hits Radio)</t>
  </si>
  <si>
    <t>Nation Radio (Suffolk)</t>
  </si>
  <si>
    <t>Nation Radio (UK)</t>
  </si>
  <si>
    <t>Nation Radio (Wales) (Ceredigion)</t>
  </si>
  <si>
    <t>Nation Radio (Wales) (South East)</t>
  </si>
  <si>
    <t>Outreach Dance (Launches soon)</t>
  </si>
  <si>
    <t>Petersfield's Shine Radio</t>
  </si>
  <si>
    <t>Pirate FM (East)</t>
  </si>
  <si>
    <t>Pirate FM (West)</t>
  </si>
  <si>
    <t>PRL, Polskie Radio Londyn - Polish Radio London</t>
  </si>
  <si>
    <t>Pure Radio (Central Scotland)</t>
  </si>
  <si>
    <t>Radio Essex (DAB)</t>
  </si>
  <si>
    <t>Radio Maria (England)</t>
  </si>
  <si>
    <t>Radio X (London)</t>
  </si>
  <si>
    <t>Radio X (Manchester)</t>
  </si>
  <si>
    <t>Radio X (UK)</t>
  </si>
  <si>
    <t>Smooth Radio (Bristol &amp; Bath)</t>
  </si>
  <si>
    <t>Smooth Radio (Dorset)</t>
  </si>
  <si>
    <t>Smooth Radio (East Midlands) (Derbyshire)</t>
  </si>
  <si>
    <t>Smooth Radio (East Midlands) (East Midlands)</t>
  </si>
  <si>
    <t>Smooth Radio (East Midlands) (Northamptonshire &amp; Peterborough)</t>
  </si>
  <si>
    <t>Smooth Radio (Essex)</t>
  </si>
  <si>
    <t>Smooth Radio (Gloucestershire)</t>
  </si>
  <si>
    <t>Smooth Radio (Hampshire &amp; West Sussex)</t>
  </si>
  <si>
    <t>Smooth Radio (Herts, Beds &amp; Bucks)</t>
  </si>
  <si>
    <t>Smooth Radio (Kent)</t>
  </si>
  <si>
    <t>Smooth Radio (Lake District)</t>
  </si>
  <si>
    <t>Smooth Radio (London)</t>
  </si>
  <si>
    <t>Smooth Radio (Norfolk &amp; North Suffolk)</t>
  </si>
  <si>
    <t>Smooth Radio (North East England) (Teesside)</t>
  </si>
  <si>
    <t>Smooth Radio (North East England) (Tyne &amp; Wear)</t>
  </si>
  <si>
    <t>Smooth Radio (North Wales &amp; Cheshire)</t>
  </si>
  <si>
    <t>Smooth Radio (North West England)</t>
  </si>
  <si>
    <t>Smooth Radio (Plymouth)</t>
  </si>
  <si>
    <t>Smooth Radio (Scotland)</t>
  </si>
  <si>
    <t>Smooth Radio (South Wales)</t>
  </si>
  <si>
    <t>Smooth Radio (Suffolk)</t>
  </si>
  <si>
    <t>Smooth Radio (Sussex)</t>
  </si>
  <si>
    <t>Smooth Radio (Thames Valley)</t>
  </si>
  <si>
    <t>Smooth Radio (UK)</t>
  </si>
  <si>
    <t>Smooth Radio (West Midlands)</t>
  </si>
  <si>
    <t>Smooth Radio (Wiltshire)</t>
  </si>
  <si>
    <t>Star Radio (Cambridgeshire)</t>
  </si>
  <si>
    <t>talkSPORT (UK)</t>
  </si>
  <si>
    <t>Two Lochs Radio (West)</t>
  </si>
  <si>
    <t>VIBE Yorkshire (Launches October)</t>
  </si>
  <si>
    <t>West Sound (Ayrshire)</t>
  </si>
  <si>
    <t>West Sound (Dumfries &amp; Galloway)</t>
  </si>
  <si>
    <t>Zack FM (DAB)</t>
  </si>
  <si>
    <t>Juice Radio (DAB)</t>
  </si>
  <si>
    <t>River Radio (Thames Valley)</t>
  </si>
  <si>
    <t>Sunrise Radio (Yorkshire)</t>
  </si>
  <si>
    <t>URF, University Radio Falmer</t>
  </si>
  <si>
    <t>Wyvern (formerly Youthcomm Radio)</t>
  </si>
  <si>
    <t>YO1 Radio (North Yorkshire)</t>
  </si>
  <si>
    <t>Angel Radio (Portsmouth &amp; Havant)</t>
  </si>
  <si>
    <t>BBC Radio 1 (England)</t>
  </si>
  <si>
    <t>BBC Radio 4 (DAB)</t>
  </si>
  <si>
    <t>BBC Radio 4 (LW)</t>
  </si>
  <si>
    <t>BBC Radio Cambridgeshire (Cambridge)</t>
  </si>
  <si>
    <t>BBC Radio Cumbria (FM)</t>
  </si>
  <si>
    <t>BBC Radio Cymru (South Wales)</t>
  </si>
  <si>
    <t>BBC Radio Derby (FM)</t>
  </si>
  <si>
    <t>BBC Radio Devon (County)</t>
  </si>
  <si>
    <t>BBC Radio Guernsey (FM)</t>
  </si>
  <si>
    <t>BBC Radio Humberside (FM)</t>
  </si>
  <si>
    <t>BBC Radio Jersey (FM)</t>
  </si>
  <si>
    <t>BBC Radio London (FM)</t>
  </si>
  <si>
    <t>BBC Radio Manchester (DAB)</t>
  </si>
  <si>
    <t>BBC Radio Scotland (Network FM)</t>
  </si>
  <si>
    <t>BBC Radio Scotland (MW)</t>
  </si>
  <si>
    <t>BBC Radio Solent (South Hampshire, Isle of Wight &amp; East Dorset)</t>
  </si>
  <si>
    <t>BBC Radio Solent (West Dorset)</t>
  </si>
  <si>
    <t>BBC Radio Wales (Network FM)</t>
  </si>
  <si>
    <t>BBC Radio Wiltshire (County)</t>
  </si>
  <si>
    <t>BBC Radio York (York)</t>
  </si>
  <si>
    <t>BRIDGEfm (Dundee)</t>
  </si>
  <si>
    <t>Hot Gold (Dorset)</t>
  </si>
  <si>
    <t>Hot Radio (Dorset)</t>
  </si>
  <si>
    <t>Hot Radio (Wiltshire)</t>
  </si>
  <si>
    <t>Jeo Radio (formerly Asian FX)</t>
  </si>
  <si>
    <t>kmfm (Ashford)</t>
  </si>
  <si>
    <t>kmfm (Canterbury, Whitstable &amp; Herne Bay)</t>
  </si>
  <si>
    <t>kmfm (Maidstone)</t>
  </si>
  <si>
    <t>kmfm (Medway)</t>
  </si>
  <si>
    <t>kmfm (Shepway &amp; White Cliffs Country)</t>
  </si>
  <si>
    <t>kmfm (Thanet)</t>
  </si>
  <si>
    <t>kmfm (West Kent)</t>
  </si>
  <si>
    <t>LGR, London Greek Radio</t>
  </si>
  <si>
    <t>Metal Meyhem Radio (CEASED)</t>
  </si>
  <si>
    <t>Mighty Radio (Leeds) (Launches soon)</t>
  </si>
  <si>
    <t>Mom's Spaghetti</t>
  </si>
  <si>
    <t>Nation Radio (Wales) (South West)</t>
  </si>
  <si>
    <t>Premier Christian Radio (UK)</t>
  </si>
  <si>
    <t>Pure Radio (Tayside)</t>
  </si>
  <si>
    <t>Q Radio (Ballymena)</t>
  </si>
  <si>
    <t>Q Radio (Belfast)</t>
  </si>
  <si>
    <t>Q Radio (Coleraine)</t>
  </si>
  <si>
    <t>Q Radio (Londonderry)</t>
  </si>
  <si>
    <t>Q Radio (Mid-Ulster)</t>
  </si>
  <si>
    <t>Q Radio (Newry)</t>
  </si>
  <si>
    <t>Q Radio (Omagh &amp; Enniskillen)</t>
  </si>
  <si>
    <t>Radio Central (Birmingham)</t>
  </si>
  <si>
    <t>Radio Exe (Exeter)</t>
  </si>
  <si>
    <t>Radio Exe (Plymouth)</t>
  </si>
  <si>
    <t>Rangoli Radio (Launches soon)</t>
  </si>
  <si>
    <t>River Radio (Londonderry)</t>
  </si>
  <si>
    <t>Rootz 'n' Rockerz (CEASED)</t>
  </si>
  <si>
    <t>SN Radio, South Norfolk Radio (CEASED)</t>
  </si>
  <si>
    <t>Sunrise Radio (London)</t>
  </si>
  <si>
    <t>Sunrise Radio (UK)</t>
  </si>
  <si>
    <t>Sunshine Radio (Herefordshire)</t>
  </si>
  <si>
    <t>Sunshine Radio (Monmouthshire)</t>
  </si>
  <si>
    <t>Sunshine Radio (Shropshire)</t>
  </si>
  <si>
    <t>Wow Blackpool, WBPL</t>
  </si>
  <si>
    <t>BBC Radio Wales (MW)</t>
  </si>
  <si>
    <t>BBC Radio 1 (England).png</t>
  </si>
  <si>
    <t>Virgin Radio Chilled.png</t>
  </si>
  <si>
    <t>Virgin Radio Anthems.png</t>
  </si>
  <si>
    <t>Virgin Radio.png</t>
  </si>
  <si>
    <t>talkSPORT (UK).png</t>
  </si>
  <si>
    <t>BBC Radio 4 (LW).png</t>
  </si>
  <si>
    <t>BBC Radio 4 (DAB).png</t>
  </si>
  <si>
    <t>LBC (London).jpg</t>
  </si>
  <si>
    <t>LBC News (London).jpg</t>
  </si>
  <si>
    <t>LBC News (UK).jpg</t>
  </si>
  <si>
    <t>LBC (UK).jpg</t>
  </si>
  <si>
    <t>Capital (UK).jpg</t>
  </si>
  <si>
    <t>BBC Radio Cumbria (FM).png</t>
  </si>
  <si>
    <t>BBC Radio London (FM).png</t>
  </si>
  <si>
    <t>BBC Radio Manchester (DAB).png</t>
  </si>
  <si>
    <t>Capital XTRA (UK).jpg</t>
  </si>
  <si>
    <t>Hits Radio (UK).jpg</t>
  </si>
  <si>
    <t>Magic (UK).jpg</t>
  </si>
  <si>
    <t>Heart (UK).jpg</t>
  </si>
  <si>
    <t>Smooth Radio (UK).jpg</t>
  </si>
  <si>
    <t>Greatest Hits Radio (UK).jpg</t>
  </si>
  <si>
    <t>Lake District Radio</t>
  </si>
  <si>
    <t>https://streamer.radio.co:80/sf97bc756a/listen</t>
  </si>
  <si>
    <t>KISS (UK).jpg</t>
  </si>
  <si>
    <t>Classic FM (UK).jpg</t>
  </si>
  <si>
    <t>Radio X (UK).jpg</t>
  </si>
  <si>
    <t>Heart (North West England) (North Lancashire &amp; Cumbria).jpg</t>
  </si>
  <si>
    <t>Smooth Radio (Lake District).jpg</t>
  </si>
  <si>
    <t>Gold.jpg</t>
  </si>
  <si>
    <t>CandoFM.jpg</t>
  </si>
  <si>
    <t>Capital (Anglesey &amp; Gwynedd).jpg</t>
  </si>
  <si>
    <t>Capital (Liverpool).jpg</t>
  </si>
  <si>
    <t>Capital (London).jpg</t>
  </si>
  <si>
    <t>Capital (Midlands) (Birmingham).jpg</t>
  </si>
  <si>
    <t>Capital (Midlands) (North Oxfordshire).jpg</t>
  </si>
  <si>
    <t>Capital (Midlands) (South East Staffordshire).jpg</t>
  </si>
  <si>
    <t>Capital (North West &amp; North Wales) (North Wales Coast).jpg</t>
  </si>
  <si>
    <t>Capital (South Wales).jpg</t>
  </si>
  <si>
    <t>Capital (South) (Brighton).jpg</t>
  </si>
  <si>
    <t>Capital (South) (South Coast).jpg</t>
  </si>
  <si>
    <t>Capital (Yorkshire) (East).jpg</t>
  </si>
  <si>
    <t>Capital (Yorkshire) (South &amp; West).jpg</t>
  </si>
  <si>
    <t>Capital XTRA (London).jpg</t>
  </si>
  <si>
    <t>Greatest Hits Radio (East) (Essex).jpg</t>
  </si>
  <si>
    <t>Greatest Hits Radio (East) (Ipswich &amp; Suffolk).jpg</t>
  </si>
  <si>
    <t>Greatest Hits Radio (East) (West Norfolk).jpg</t>
  </si>
  <si>
    <t>Greatest Hits Radio (Midlands) (Birmingham &amp; the West Midlands).jpg</t>
  </si>
  <si>
    <t>Greatest Hits Radio (Midlands) (Black Country &amp; Shropshire) (Black Country).jpg</t>
  </si>
  <si>
    <t>Greatest Hits Radio (Midlands) (Coventry &amp; Warwickshire).jpg</t>
  </si>
  <si>
    <t>Greatest Hits Radio (Midlands) (East Midlands).jpg</t>
  </si>
  <si>
    <t>Greatest Hits Radio (Midlands) (Herefordshire &amp; Worcestershire).jpg</t>
  </si>
  <si>
    <t>Greatest Hits Radio (Midlands) (Staffordshire &amp; Cheshire).jpg</t>
  </si>
  <si>
    <t>Greatest Hits Radio (Midlands) (Stamford &amp; Rutland).jpg</t>
  </si>
  <si>
    <t>Greatest Hits Radio (North West) (Lancashire) (DAB).jpg</t>
  </si>
  <si>
    <t>Greatest Hits Radio (North West) (Liverpool &amp; the North West) (Liverpool).jpg</t>
  </si>
  <si>
    <t>Greatest Hits Radio (North West) (Wigan &amp; St Helens).jpg</t>
  </si>
  <si>
    <t>Greatest Hits Radio (South West) (Bristol &amp; the South West).jpg</t>
  </si>
  <si>
    <t>Greatest Hits Radio (South West) (Cornwall).jpg</t>
  </si>
  <si>
    <t>Greatest Hits Radio (South West) (Gloucestershire).jpg</t>
  </si>
  <si>
    <t>Greatest Hits Radio (South) (Salisbury).jpg</t>
  </si>
  <si>
    <t>Greatest Hits Radio (South) (Surrey &amp; East Hampshire).jpg</t>
  </si>
  <si>
    <t>Greatest Hits Radio (Yorkshire) (East Yorkshire &amp; Northern Lincolnshire).jpg</t>
  </si>
  <si>
    <t>Greatest Hits Radio (Yorkshire) (Harrogate &amp; the Yorkshire Dales) (Harrogate).jpg</t>
  </si>
  <si>
    <t>Greatest Hits Radio (Yorkshire) (Lincolnshire).jpg</t>
  </si>
  <si>
    <t>Greatest Hits Radio (Yorkshire) (South Yorkshire).jpg</t>
  </si>
  <si>
    <t>Heart (East) (Beds, Bucks &amp; Herts).jpg</t>
  </si>
  <si>
    <t>Heart (East) (Colchester).jpg</t>
  </si>
  <si>
    <t>Heart (East) (Greater Peterborough).jpg</t>
  </si>
  <si>
    <t>Heart (East) (Harlow).jpg</t>
  </si>
  <si>
    <t>Heart (East) (Milton Keynes).jpg</t>
  </si>
  <si>
    <t>Heart (East) (Norfolk &amp; North Suffolk).jpg</t>
  </si>
  <si>
    <t>Heart (East) (Northamptonshire).jpg</t>
  </si>
  <si>
    <t>Heart (East) (Southend &amp; Chelmsford).jpg</t>
  </si>
  <si>
    <t>Heart (Hertfordshire) (North).jpg</t>
  </si>
  <si>
    <t>Heart (London).jpg</t>
  </si>
  <si>
    <t>Heart (North East England) (Teesside).jpg</t>
  </si>
  <si>
    <t>Heart (Scotland) (East).jpg</t>
  </si>
  <si>
    <t>Heart (South Wales) (West).jpg</t>
  </si>
  <si>
    <t>Heart (South) (Berkshire &amp; North Hampshire).jpg</t>
  </si>
  <si>
    <t>Heart (West Midlands).jpg</t>
  </si>
  <si>
    <t>Heart (West) (Bristol).jpg</t>
  </si>
  <si>
    <t>Heart (West) (Gloucestershire).jpg</t>
  </si>
  <si>
    <t>Heart (West) (South Hams).jpg</t>
  </si>
  <si>
    <t>Heart (West) (Wiltshire).jpg</t>
  </si>
  <si>
    <t>Heart (Yorkshire).jpg</t>
  </si>
  <si>
    <t>Hits Radio (Bristol &amp; the South West).jpg</t>
  </si>
  <si>
    <t>Magic Radio at the Movies.jpg</t>
  </si>
  <si>
    <t>Smooth Radio (Bristol &amp; Bath).jpg</t>
  </si>
  <si>
    <t>Smooth Radio (Dorset).jpg</t>
  </si>
  <si>
    <t>Smooth Radio (East Midlands) (Derbyshire).jpg</t>
  </si>
  <si>
    <t>Smooth Radio (Herts, Beds &amp; Bucks).jpg</t>
  </si>
  <si>
    <t>Smooth Radio (North Wales &amp; Cheshire).jpg</t>
  </si>
  <si>
    <t>Smooth Radio (Plymouth).jpg</t>
  </si>
  <si>
    <t>Smooth Radio (Scotland).jpg</t>
  </si>
  <si>
    <t>Smooth Radio (South Wales).jpg</t>
  </si>
  <si>
    <t>Smooth Radio (West Midlands).jpg</t>
  </si>
  <si>
    <t>Smooth Radio (Wiltshire).jpg</t>
  </si>
  <si>
    <t>Virgin Radio 80s PLUS.png</t>
  </si>
  <si>
    <t>filt</t>
  </si>
  <si>
    <t>Capital (Midlands) (Nottinghamshire).jpg</t>
  </si>
  <si>
    <t>Capital (Midlands) (Rugby).jpg</t>
  </si>
  <si>
    <t>Capital Dance.jpg</t>
  </si>
  <si>
    <t>Greatest Hits Radio (North East) (Teesside).jpg</t>
  </si>
  <si>
    <t>Greatest Hits Radio (North West) (Manchester &amp; the North West) (DAB &amp; Oldham).jpg</t>
  </si>
  <si>
    <t>Greatest Hits Radio (South West) (Plymouth).jpg</t>
  </si>
  <si>
    <t>Greatest Hits Radio (South West) (Somerset).jpg</t>
  </si>
  <si>
    <t>Greatest Hits Radio (South) (North &amp; West Dorset) (East).jpg</t>
  </si>
  <si>
    <t>Greatest Hits Radio (Yorkshire) (Grimsby).jpg</t>
  </si>
  <si>
    <t>Heart (East) (Bedfordshire).jpg</t>
  </si>
  <si>
    <t>Heart (East) (Cambridge &amp; Newmarket).jpg</t>
  </si>
  <si>
    <t>Heart (East) (Suffolk).jpg</t>
  </si>
  <si>
    <t>Heart (North &amp; Mid Wales).jpg</t>
  </si>
  <si>
    <t>Heart (North East England) (Tyne &amp; Wear).jpg</t>
  </si>
  <si>
    <t>Heart (Scotland) (West).jpg</t>
  </si>
  <si>
    <t>Heart (South Wales) (East).jpg</t>
  </si>
  <si>
    <t>Heart (South) (Crawley &amp; Surrey).jpg</t>
  </si>
  <si>
    <t>Heart (South) (Kent).jpg</t>
  </si>
  <si>
    <t>Heart (South) (Sussex).jpg</t>
  </si>
  <si>
    <t>Heart (West) (Bath).jpg</t>
  </si>
  <si>
    <t>Heart (West) (Cornwall).jpg</t>
  </si>
  <si>
    <t>Heart (West) (Plymouth).jpg</t>
  </si>
  <si>
    <t>Heart (West) (Somerset).jpg</t>
  </si>
  <si>
    <t>Smooth Radio (London).jpg</t>
  </si>
  <si>
    <t>Capital (Midlands) (Coventry).jpg</t>
  </si>
  <si>
    <t>Capital (Midlands) (Derbyshire).jpg</t>
  </si>
  <si>
    <t>Capital (Midlands) (Leicestershire).jpg</t>
  </si>
  <si>
    <t>Capital (Midlands) (Stratford-upon-Avon).jpg</t>
  </si>
  <si>
    <t>Capital (Midlands) (Warwick).jpg</t>
  </si>
  <si>
    <t>Capital (North East England) (Teesside).jpg</t>
  </si>
  <si>
    <t>Capital (North East England) (Tyne &amp; Wear).jpg</t>
  </si>
  <si>
    <t>Capital (North West &amp; North Wales) (The Wirral).jpg</t>
  </si>
  <si>
    <t>Capital (North West &amp; North Wales) (Wrexham &amp; Cheshire).jpg</t>
  </si>
  <si>
    <t>Capital (North West England) (Burnley &amp; Pendle).jpg</t>
  </si>
  <si>
    <t>Capital (North West England) (Manchester).jpg</t>
  </si>
  <si>
    <t>Capital (North West England) (Preston &amp; Blackburn).jpg</t>
  </si>
  <si>
    <t>Capital (Scotland) (East).jpg</t>
  </si>
  <si>
    <t>Capital (Scotland) (West).jpg</t>
  </si>
  <si>
    <t>Heart (Hertfordshire) (Watford &amp; Hemel).jpg</t>
  </si>
  <si>
    <t>Heart (North West England) (North West England).jpg</t>
  </si>
  <si>
    <t>Heart (South) (Dorset &amp; The New Forest).jpg</t>
  </si>
  <si>
    <t>Heart (South) (Hampshire &amp; West Sussex).jpg</t>
  </si>
  <si>
    <t>Heart (South) (Oxfordshire).jpg</t>
  </si>
  <si>
    <t>Heart (West) (Exeter &amp; East Devon).jpg</t>
  </si>
  <si>
    <t>Heart (West) (North Devon).jpg</t>
  </si>
  <si>
    <t>Smooth Radio (Essex).jpg</t>
  </si>
  <si>
    <t>Smooth Radio (Gloucestershire).jpg</t>
  </si>
  <si>
    <t>Smooth Radio (Hampshire &amp; West Sussex).jpg</t>
  </si>
  <si>
    <t>Smooth Radio (Kent).jpg</t>
  </si>
  <si>
    <t>Smooth Radio (Norfolk &amp; North Suffolk).jpg</t>
  </si>
  <si>
    <t>Smooth Radio (North East England) (Teesside).jpg</t>
  </si>
  <si>
    <t>Smooth Radio (North East England) (Tyne &amp; Wear).jpg</t>
  </si>
  <si>
    <t>Smooth Radio (North West England).jpg</t>
  </si>
  <si>
    <t>Smooth Radio (Suffolk).jpg</t>
  </si>
  <si>
    <t>Smooth Radio (Sussex).jpg</t>
  </si>
  <si>
    <t>Bay Trust Radio.jpg</t>
  </si>
  <si>
    <t>Heart (West) (Torbay).jpg</t>
  </si>
  <si>
    <t>Heart Xmas.png</t>
  </si>
  <si>
    <t>KISS FRESH.png</t>
  </si>
  <si>
    <t>Lake District Radio.jpg</t>
  </si>
  <si>
    <t>Greatest Hits Radio (East) (Norfolk &amp; North Suffolk).jpg</t>
  </si>
  <si>
    <t>Greatest Hits Radio (Midlands) (South Derbyshire).jpg</t>
  </si>
  <si>
    <t>Greatest Hits Radio (North East) (Tyne &amp; Wear).jpg</t>
  </si>
  <si>
    <t>Greatest Hits Radio (North West) (Cumbria).jpg</t>
  </si>
  <si>
    <t>Greatest Hits Radio (North West) (South Manchester).jpg</t>
  </si>
  <si>
    <t>Greatest Hits Radio (South West) (Bath &amp; the South West).jpg</t>
  </si>
  <si>
    <t>Greatest Hits Radio (South West) (Devon).jpg</t>
  </si>
  <si>
    <t>Greatest Hits Radio (South West) (Swindon).jpg</t>
  </si>
  <si>
    <t>Greatest Hits Radio (South) (Berkshire &amp; North Hampshire).jpg</t>
  </si>
  <si>
    <t>Greatest Hits Radio (South) (Bournemouth &amp; Poole).jpg</t>
  </si>
  <si>
    <t>Greatest Hits Radio (South) (Bucks, Beds &amp; Herts).jpg</t>
  </si>
  <si>
    <t>Greatest Hits Radio (South) (South Hampshire &amp; Isle of Wight).jpg</t>
  </si>
  <si>
    <t>Greatest Hits Radio (South) (West Sussex) (South).jpg</t>
  </si>
  <si>
    <t>Greatest Hits Radio (Yorkshire) (North Derbyshire).jpg</t>
  </si>
  <si>
    <t>Greatest Hits Radio (Yorkshire) (West Yorkshire) (Leeds).jpg</t>
  </si>
  <si>
    <t>Greatest Hits Radio (Yorkshire) (York &amp; North Yorkshire) (York).jpg</t>
  </si>
  <si>
    <t>Greatest Hits Radio (Yorkshire) (Yorkshire Coast) (Scarborough).jpg</t>
  </si>
  <si>
    <t>Smooth Radio (East Midlands) (East Midlands).jpg</t>
  </si>
  <si>
    <t>Smooth Radio (East Midlands) (Northamptonshire &amp; Peterborough).jpg</t>
  </si>
  <si>
    <t>Smooth Radio (Thames Valley).jpg</t>
  </si>
  <si>
    <t>key</t>
  </si>
  <si>
    <t>orderId</t>
  </si>
  <si>
    <t>ar</t>
  </si>
  <si>
    <t>https://stream-ar.planetradio.co.uk/absoluteradiohigh.aac?aw_0_1st.skey=1666797541&amp;aw_0_1st.playerid=BMUK_Rpi</t>
  </si>
  <si>
    <t>rpId</t>
  </si>
  <si>
    <t>serviceName</t>
  </si>
  <si>
    <t>audioType</t>
  </si>
  <si>
    <t>audioSource</t>
  </si>
  <si>
    <t>imageUrl</t>
  </si>
  <si>
    <t>consoleUrl</t>
  </si>
  <si>
    <t>3FM Isle Of Man</t>
  </si>
  <si>
    <t>NA</t>
  </si>
  <si>
    <t>https://stream.rcs.revma.com/0kv9v43t87zuv?=&amp;&amp;___cb=142164447510403</t>
  </si>
  <si>
    <t>https://uk-assets.radioplayer.org/image/1075_86x48_2017-03-07-17-00-01-339.png</t>
  </si>
  <si>
    <t>https://www.three.fm/radioplayer/</t>
  </si>
  <si>
    <t>http://92.27.32.159:8400/45Radio?=&amp;&amp;___cb=923517872655643</t>
  </si>
  <si>
    <t>https://uk-assets.radioplayer.org/image/1436_86x48_2018-06-15-09-15-00-949.png</t>
  </si>
  <si>
    <t>http://www.ambersoundfm.com/45radio/console/</t>
  </si>
  <si>
    <t>https://stream.mybroadbandradio.com/80srhythm/?=&amp;&amp;___cb=253690576035420</t>
  </si>
  <si>
    <t>https://uk-assets.radioplayer.org/image/1469_86x48_2019-06-19-09-30-04-749.png</t>
  </si>
  <si>
    <t>https://www.80srhythm.com/radioplayer/</t>
  </si>
  <si>
    <t>Abacus</t>
  </si>
  <si>
    <t>http://stream3.hippynet.co.uk:8008/stream?=&amp;&amp;___cb=124411147902822</t>
  </si>
  <si>
    <t>https://uk-assets.radioplayer.org/image/1549_86x48_2022-06-23-10-00-46-270.png</t>
  </si>
  <si>
    <t>https://radioplayerhosting.com/stations/live/1549/index.html</t>
  </si>
  <si>
    <t>http://185.80.221.113:8610/stream?=&amp;&amp;___cb=978580508888489</t>
  </si>
  <si>
    <t>http://stream3.hippynet.co.uk:8008/stream?=&amp;&amp;___cb=896844625841870</t>
  </si>
  <si>
    <t>https://stream-ar.planetradio.co.uk/absolute10shigh.aac?direct=true&amp;aw_0_1st.bauer_listenerid=60beeb6431338b72c00bee59cbb7d33b&amp;listenerid=60beeb6431338b72c00bee59cbb7d33b&amp;aw_0_1st.permutiveid=f41bfaad-62d1-4e99-ab33-6596a60b67c8&amp;aw_0_1st.octave_permutive=%5B%22122421%22%5D&amp;aw_0_1st.skey=1667145883&amp;aw_0_1st.playerid=BMUK_ukrp&amp;amsparams=playerid:BMUK_ukrp;skey=1667145883;=&amp;&amp;___cb=429502284316835</t>
  </si>
  <si>
    <t>https://uk-assets.radioplayer.org/image/105_86x48_2019-11-18-11-45-10-684.png</t>
  </si>
  <si>
    <t>https://radioplayer.planetradio.co.uk/ab1</t>
  </si>
  <si>
    <t>https://stream-ar.planetradio.co.uk/absoluteclassicrockhigh.aac?direct=true&amp;aw_0_1st.bauer_listenerid=60beeb6431338b72c00bee59cbb7d33b&amp;listenerid=60beeb6431338b72c00bee59cbb7d33b&amp;aw_0_1st.permutiveid=f41bfaad-62d1-4e99-ab33-6596a60b67c8&amp;aw_0_1st.octave_permutive=&amp;aw_0_1st.skey=1667145885&amp;aw_0_1st.playerid=BMUK_ukrp&amp;amsparams=playerid:BMUK_ukrp;skey=1667145885;=&amp;&amp;___cb=522614146704840</t>
  </si>
  <si>
    <t>https://uk-assets.radioplayer.org/image/104_86x48_2019-10-23-16-30-10-343.png</t>
  </si>
  <si>
    <t>https://radioplayer.planetradio.co.uk/abc</t>
  </si>
  <si>
    <t>https://stream-ar.planetradio.co.uk/absolutecountryhigh.aac?direct=true&amp;aw_0_1st.bauer_listenerid=60beeb6431338b72c00bee59cbb7d33b&amp;listenerid=60beeb6431338b72c00bee59cbb7d33b&amp;aw_0_1st.permutiveid=f41bfaad-62d1-4e99-ab33-6596a60b67c8&amp;aw_0_1st.octave_permutive=&amp;aw_0_1st.skey=1667145887&amp;aw_0_1st.playerid=BMUK_ukrp&amp;amsparams=playerid:BMUK_ukrp;skey=1667145887;=&amp;&amp;___cb=51501599785507</t>
  </si>
  <si>
    <t>https://uk-assets.radioplayer.org/image/107_86x48_2021-07-23-13-30-54-943.png</t>
  </si>
  <si>
    <t>https://radioplayer.planetradio.co.uk/abk</t>
  </si>
  <si>
    <t>https://stream-ar.planetradio.co.uk/absolute80shigh.aac?direct=true&amp;aw_0_1st.bauer_listenerid=60beeb6431338b72c00bee59cbb7d33b&amp;listenerid=60beeb6431338b72c00bee59cbb7d33b&amp;aw_0_1st.permutiveid=f41bfaad-62d1-4e99-ab33-6596a60b67c8&amp;aw_0_1st.octave_permutive=&amp;aw_0_1st.skey=1667145889&amp;aw_0_1st.playerid=BMUK_ukrp&amp;amsparams=playerid:BMUK_ukrp;skey=1667145889;=&amp;&amp;___cb=867133284405188</t>
  </si>
  <si>
    <t>https://uk-assets.radioplayer.org/image/101_86x48_2019-10-23-16-30-12-423.png</t>
  </si>
  <si>
    <t>https://radioplayer.planetradio.co.uk/ab8</t>
  </si>
  <si>
    <t>https://stream-ar.planetradio.co.uk/absoluteradiohigh.aac?direct=true&amp;aw_0_1st.bauer_listenerid=60beeb6431338b72c00bee59cbb7d33b&amp;listenerid=60beeb6431338b72c00bee59cbb7d33b&amp;aw_0_1st.permutiveid=f41bfaad-62d1-4e99-ab33-6596a60b67c8&amp;aw_0_1st.octave_permutive=&amp;aw_0_1st.skey=1667145893&amp;aw_0_1st.playerid=BMUK_ukrp&amp;amsparams=playerid:BMUK_ukrp;skey=1667145893;=&amp;&amp;___cb=611556143424685</t>
  </si>
  <si>
    <t>https://uk-assets.radioplayer.org/image/100_86x48_2019-10-23-16-30-16-108.png</t>
  </si>
  <si>
    <t>https://radioplayer.planetradio.co.uk/abr</t>
  </si>
  <si>
    <t>https://stream-ar.planetradio.co.uk/absolute60shigh.aac?direct=true&amp;aw_0_1st.bauer_listenerid=60beeb6431338b72c00bee59cbb7d33b&amp;listenerid=60beeb6431338b72c00bee59cbb7d33b&amp;aw_0_1st.permutiveid=f41bfaad-62d1-4e99-ab33-6596a60b67c8&amp;aw_0_1st.octave_permutive=&amp;aw_0_1st.skey=1667145895&amp;aw_0_1st.playerid=BMUK_ukrp&amp;amsparams=playerid:BMUK_ukrp;skey=1667145895;=&amp;&amp;___cb=255858834088119</t>
  </si>
  <si>
    <t>https://uk-assets.radioplayer.org/image/1187_86x48_2019-10-23-16-30-18-838.png</t>
  </si>
  <si>
    <t>https://radioplayer.planetradio.co.uk/ab6</t>
  </si>
  <si>
    <t>https://stream-mz.planetradio.co.uk/webcast3high.aac?direct=true&amp;aw_0_1st.bauer_listenerid=60beeb6431338b72c00bee59cbb7d33b&amp;listenerid=60beeb6431338b72c00bee59cbb7d33b&amp;aw_0_1st.permutiveid=f41bfaad-62d1-4e99-ab33-6596a60b67c8&amp;aw_0_1st.octave_permutive=&amp;aw_0_1st.skey=1667145897&amp;aw_0_1st.playerid=BMUK_ukrp&amp;amsparams=playerid:BMUK_ukrp;skey=1667145897;=&amp;&amp;___cb=639199674868704</t>
  </si>
  <si>
    <t>https://uk-assets.radioplayer.org/image/106_86x48_2020-12-09-11-00-17-836.png</t>
  </si>
  <si>
    <t>https://radioplayer.planetradio.co.uk/ab2</t>
  </si>
  <si>
    <t>https://stream-ar.planetradio.co.uk/absolute70shigh.aac?direct=true&amp;aw_0_1st.bauer_listenerid=60beeb6431338b72c00bee59cbb7d33b&amp;listenerid=60beeb6431338b72c00bee59cbb7d33b&amp;aw_0_1st.permutiveid=f41bfaad-62d1-4e99-ab33-6596a60b67c8&amp;aw_0_1st.octave_permutive=&amp;aw_0_1st.skey=1667145900&amp;aw_0_1st.playerid=BMUK_ukrp&amp;amsparams=playerid:BMUK_ukrp;skey=1667145900;=&amp;&amp;___cb=583729854120048</t>
  </si>
  <si>
    <t>https://uk-assets.radioplayer.org/image/1188_86x48_2019-10-23-16-30-20-871.png</t>
  </si>
  <si>
    <t>https://radioplayer.planetradio.co.uk/ab7</t>
  </si>
  <si>
    <t>https://stream-ar.planetradio.co.uk/absolute00shigh.aac?direct=true&amp;aw_0_1st.bauer_listenerid=60beeb6431338b72c00bee59cbb7d33b&amp;listenerid=60beeb6431338b72c00bee59cbb7d33b&amp;aw_0_1st.permutiveid=f41bfaad-62d1-4e99-ab33-6596a60b67c8&amp;aw_0_1st.octave_permutive=&amp;aw_0_1st.skey=1667145902&amp;aw_0_1st.playerid=BMUK_ukrp&amp;amsparams=playerid:BMUK_ukrp;skey=1667145902;=&amp;&amp;___cb=390654549649016</t>
  </si>
  <si>
    <t>https://uk-assets.radioplayer.org/image/103_86x48_2019-10-23-16-30-23-80.png</t>
  </si>
  <si>
    <t>https://radioplayer.planetradio.co.uk/ab0</t>
  </si>
  <si>
    <t>https://securestreams.autopo.st:1174/stream?=&amp;&amp;___cb=34078269418609</t>
  </si>
  <si>
    <t>https://uk-assets.radioplayer.org/image/1505_86x48_2022-09-04-21-01-07-365.png</t>
  </si>
  <si>
    <t>https://www.actualradio.com/radioplayer/</t>
  </si>
  <si>
    <t>AIR 107.2</t>
  </si>
  <si>
    <t>https://stream.air1072.com/web?=&amp;&amp;___cb=983073238237235</t>
  </si>
  <si>
    <t>https://uk-assets.radioplayer.org/image/1290_86x48_2018-02-18-17-15-01-780.png</t>
  </si>
  <si>
    <t>https://air1072.com/listen/</t>
  </si>
  <si>
    <t>https://stream.air1072.com/mobile?=&amp;&amp;___cb=397107879508930</t>
  </si>
  <si>
    <t>https://stream.air1072.com/high?=&amp;&amp;___cb=181050144302268</t>
  </si>
  <si>
    <t>https://stream.air1072.com/web?=&amp;&amp;___cb=452895667406297</t>
  </si>
  <si>
    <t>Alfred Radio</t>
  </si>
  <si>
    <t>https://stream2.hippynet.co.uk/stream/8204?=&amp;&amp;___cb=791639284027861</t>
  </si>
  <si>
    <t>https://uk-assets.radioplayer.org/image/1552_86x48_2022-03-03-16-31-08-847.png</t>
  </si>
  <si>
    <t>https://thisisalfred.com/radioplayer/</t>
  </si>
  <si>
    <t>https://stream2.hippynet.co.uk/stream/8204?=&amp;&amp;___cb=578895788369688</t>
  </si>
  <si>
    <t xml:space="preserve">Amber Sound 107.2FM Derbyshire </t>
  </si>
  <si>
    <t>http://92.27.32.159:8400/live?=&amp;&amp;___cb=702994653232924</t>
  </si>
  <si>
    <t>https://uk-assets.radioplayer.org/image/1095_86x48_2020-05-18-10-00-26-227.png</t>
  </si>
  <si>
    <t>http://www.ambersoundfm.com/ukrpconsole13/</t>
  </si>
  <si>
    <t>Andover Radio</t>
  </si>
  <si>
    <t>https://securestreams5.autopo.st:1965?=&amp;&amp;___cb=408449562079236</t>
  </si>
  <si>
    <t>https://uk-assets.radioplayer.org/image/1437_86x48_2019-09-03-09-00-22-915.png</t>
  </si>
  <si>
    <t>https://www.loveandover.com/rp-consol/index.html</t>
  </si>
  <si>
    <t>https://edge.clrmedia.co.uk/angel_hb?=&amp;&amp;___cb=929905102271785</t>
  </si>
  <si>
    <t>https://uk-assets.radioplayer.org/image/1307_86x48_2017-03-07-17-00-03-338.png</t>
  </si>
  <si>
    <t>http://www.angelradioplayer.co.uk</t>
  </si>
  <si>
    <t>https://edge.clrmedia.co.uk/angel_lb?=&amp;&amp;___cb=426246284434795</t>
  </si>
  <si>
    <t>https://edge.clrmedia.co.uk/angel_lb?=&amp;&amp;___cb=330100517518169</t>
  </si>
  <si>
    <t>https://arenaradio.radioca.st/stream?=&amp;&amp;___cb=628331246210980</t>
  </si>
  <si>
    <t>https://uk-assets.radioplayer.org/image/1546_86x48_2022-01-13-17-31-25-929.png</t>
  </si>
  <si>
    <t>https://www.playarenaradio.com/radioplayer/</t>
  </si>
  <si>
    <t>Asian Star Radio</t>
  </si>
  <si>
    <t>https://radio.canstream.co.uk:9067/live.mp3?=&amp;&amp;___cb=924402692406199</t>
  </si>
  <si>
    <t>https://uk-assets.radioplayer.org/image/1283_86x48_2017-03-07-17-00-03-637.png</t>
  </si>
  <si>
    <t>https://www.asianstarradio.co.uk/radio-rp</t>
  </si>
  <si>
    <t>https://radio.canstream.co.uk:8067/live.mp3?=&amp;&amp;___cb=974173074250411</t>
  </si>
  <si>
    <t>https://listen-awaite.sharp-stream.com/aspenwaiteprem.aac?=&amp;&amp;___cb=404448055933920</t>
  </si>
  <si>
    <t>https://uk-assets.radioplayer.org/image/1493_86x48_2021-05-05-12-31-33-478.png</t>
  </si>
  <si>
    <t>https://www.aspenwaiteradio.com/radioplayer/index.html</t>
  </si>
  <si>
    <t>https://listen-awaite.sharp-stream.com/aspenwaiteprem.mp3?=&amp;&amp;___cb=491756154708469</t>
  </si>
  <si>
    <t>https://listen-awaite.sharp-stream.com/aspenwaiteprem.mp3?=&amp;&amp;___cb=335312165198693</t>
  </si>
  <si>
    <t>Atmosphere Radio</t>
  </si>
  <si>
    <t>https://tx.sharp-stream.com/http_live.php?i=mangovibe.aac&amp;=&amp;&amp;___cb=749805941038604</t>
  </si>
  <si>
    <t>https://uk-assets.radioplayer.org/image/1319_86x48_2018-12-23-13-52-50-32.png</t>
  </si>
  <si>
    <t>https://player.atmosphere.radio/</t>
  </si>
  <si>
    <t>https://tx.sharp-stream.com/http_live.php?i=mangovibe.mp3&amp;=&amp;&amp;___cb=71876067972118</t>
  </si>
  <si>
    <t>https://tx.sharp-stream.com/http_live.php?i=mangovibe.mp3&amp;=&amp;&amp;___cb=545042532529912</t>
  </si>
  <si>
    <t>B Radio (Hampshire &amp; Surrey)</t>
  </si>
  <si>
    <t>https://stream.radiojar.com/v9srurnvty8uv?=&amp;&amp;___cb=932545001051113</t>
  </si>
  <si>
    <t>https://uk-assets.radioplayer.org/image/1527_86x48_2021-07-07-14-31-36-806.png</t>
  </si>
  <si>
    <t>https://www.bradio.co.uk/hampshire-surrey/radioplayer/</t>
  </si>
  <si>
    <t>B Radio (Reading &amp; Berkshire)</t>
  </si>
  <si>
    <t>https://stream.radiojar.com/a3z70zaqua0uv?=&amp;&amp;___cb=762451013023133</t>
  </si>
  <si>
    <t>https://uk-assets.radioplayer.org/image/1491_86x48_2020-09-16-16-00-36-367.png</t>
  </si>
  <si>
    <t>https://www.bradio.co.uk/berkshire/radioplayer/</t>
  </si>
  <si>
    <t>Bailrigg FM</t>
  </si>
  <si>
    <t>https://bfm-stream.lancs.ac.uk/320.mp3?=&amp;&amp;___cb=481839717149594</t>
  </si>
  <si>
    <t>https://uk-assets.radioplayer.org/image/1227_86x48_2020-05-26-15-30-52-954.png</t>
  </si>
  <si>
    <t>http://bailriggradio.lancastersu.co.uk/player/</t>
  </si>
  <si>
    <t>https://bfm-stream.lancs.ac.uk/128.mp3?=&amp;&amp;___cb=678038344760737</t>
  </si>
  <si>
    <t>https://bfm-stream.lancs.ac.uk/256.mp3?=&amp;&amp;___cb=311879348528313</t>
  </si>
  <si>
    <t>http://bfm-stream.lancs.ac.uk/mobile.mp3?=&amp;&amp;___cb=602614339441340</t>
  </si>
  <si>
    <t>https://uk-assets.radioplayer.org/image/1563_86x48_2022-06-27-16-31-52-584.png</t>
  </si>
  <si>
    <t>https://www.baytrustradio.org.uk/radioplayer</t>
  </si>
  <si>
    <t>https://baytrustradio.radioca.st/stream?=&amp;&amp;___cb=684766204011664</t>
  </si>
  <si>
    <t>https://baytrustradio.radioca.st/stream2?=&amp;&amp;___cb=858483123425311</t>
  </si>
  <si>
    <t>BCB 106.6fm - Bradford Community Broadcasting</t>
  </si>
  <si>
    <t>https://radio.canstream.co.uk:9071/live.mp3?=&amp;&amp;___cb=361347212091026</t>
  </si>
  <si>
    <t>https://uk-assets.radioplayer.org/image/1163_86x48_2020-11-09-16-32-41-11.png</t>
  </si>
  <si>
    <t>http://www.bcbradio.co.uk/player/</t>
  </si>
  <si>
    <t>https://radio.canstream.co.uk:9071/live.aac?=&amp;&amp;___cb=741588385483820</t>
  </si>
  <si>
    <t>https://radio.canstream.co.uk:9071/live.mp3?=&amp;&amp;___cb=378896535212002</t>
  </si>
  <si>
    <t>https://stream6.hippynet.co.uk/proxy/bedford/stream?=&amp;&amp;___cb=821705474869541</t>
  </si>
  <si>
    <t>https://uk-assets.radioplayer.org/image/1566_86x48_2022-07-19-19-05-43-95.png</t>
  </si>
  <si>
    <t>https://bedford.radio/console/</t>
  </si>
  <si>
    <t>https://stream.beyondradio.co.uk/radio/8000/med?=&amp;&amp;___cb=750764204688168</t>
  </si>
  <si>
    <t>https://uk-assets.radioplayer.org/image/1543_86x48_2021-12-06-17-05-03-372.png</t>
  </si>
  <si>
    <t>https://www.beyondradio.co.uk/on-air/radioplayer/</t>
  </si>
  <si>
    <t>https://listen-ssvcbfbs.sharp-stream.com/ssvcbfbs3.aac?=&amp;&amp;___cb=63140977246528</t>
  </si>
  <si>
    <t>https://uk-assets.radioplayer.org/image/1151_86x48_2020-03-06-09-32-08-778.png</t>
  </si>
  <si>
    <t>https://radioplayerhosting.com/stations/live/1151/index.html</t>
  </si>
  <si>
    <t>http://listen-ssvcbfbs.sharp-stream.com/ssvcbfbs3.mp3?=&amp;&amp;___cb=432137222222060</t>
  </si>
  <si>
    <t>BFBS Northern Ireland</t>
  </si>
  <si>
    <t>https://listen-ssvcbfbs.sharp-stream.com/ssvcbfbs4.aac?=&amp;&amp;___cb=114740159099921</t>
  </si>
  <si>
    <t>https://uk-assets.radioplayer.org/image/1152_86x48_2020-03-06-09-32-09-994.png</t>
  </si>
  <si>
    <t>https://radioplayerhosting.com/stations/live/1152/index.html</t>
  </si>
  <si>
    <t>https://listen-ssvcbfbs.sharp-stream.com/ssvcbfbs4.mp3?=&amp;&amp;___cb=846968549478658</t>
  </si>
  <si>
    <t>BFBS United Kingdom</t>
  </si>
  <si>
    <t>https://listen-ssvcbfbs.sharp-stream.com/ssvcbfbs1.mp3?=&amp;&amp;___cb=932139430080240</t>
  </si>
  <si>
    <t>https://uk-assets.radioplayer.org/image/1091_86x48_2020-03-05-09-32-01-767.png</t>
  </si>
  <si>
    <t>https://radioplayerhosting.com/stations/live/1091/index.html</t>
  </si>
  <si>
    <t>105.9 Bishop FM</t>
  </si>
  <si>
    <t>https://playoutonestreaming.com/proxy/bishopfm?mp=/stream&amp;=&amp;&amp;___cb=226092021055587</t>
  </si>
  <si>
    <t>https://uk-assets.radioplayer.org/image/1246_86x48_2019-07-05-09-02-33-625.png</t>
  </si>
  <si>
    <t>https://radioplayer.bishopfm.com/console/</t>
  </si>
  <si>
    <t>https://bishop.radioca.st/?=&amp;&amp;___cb=723146256325120</t>
  </si>
  <si>
    <t>http://tachyon.shoutca.st:8792/stream?=&amp;&amp;___cb=295713281001863</t>
  </si>
  <si>
    <t>https://listen-blackcountryradio.sharp-stream.com/blackcountryradio.mp3?=&amp;&amp;___cb=27278973852522</t>
  </si>
  <si>
    <t>https://uk-assets.radioplayer.org/image/1142_86x48_2020-07-05-23-32-24-238.png</t>
  </si>
  <si>
    <t>https://www.blackcountryradio.co.uk/radioplayer/</t>
  </si>
  <si>
    <t>Bolton FM</t>
  </si>
  <si>
    <t>https://radio.canstream.co.uk:8083/live.mp3?=&amp;&amp;___cb=192970625013225</t>
  </si>
  <si>
    <t>https://uk-assets.radioplayer.org/image/1179_86x48_2019-06-07-09-02-48-36.png</t>
  </si>
  <si>
    <t>https://www.boltonfm.com/player/</t>
  </si>
  <si>
    <t>https://radio.canstream.co.uk:8083/live.mp3?=&amp;&amp;___cb=446243505079548</t>
  </si>
  <si>
    <t>Boom Light from Boom Radio</t>
  </si>
  <si>
    <t>https://listen-boomradio.sharp-stream.com/65_boom_light_128_mp3?=&amp;&amp;___cb=5973101821910</t>
  </si>
  <si>
    <t>https://uk-assets.radioplayer.org/image/1562_86x48_2022-06-22-14-35-42-149.png</t>
  </si>
  <si>
    <t>https://www.boomradiouk.com/radioplayer/boom-light/</t>
  </si>
  <si>
    <t>https://listen-boomradio.sharp-stream.com/65_boom_light_256_aac?=&amp;&amp;___cb=420368118884265</t>
  </si>
  <si>
    <t>https://listen-boomradio.sharp-stream.com/65_boom_light_128_aac?=&amp;&amp;___cb=875845973461869</t>
  </si>
  <si>
    <t>https://listen-boomradio.sharp-stream.com/65_boom_light_64_aac?=&amp;&amp;___cb=221804821576776</t>
  </si>
  <si>
    <t>https://listen-boomradio.sharp-stream.com/65_boom_radio_live_64?=&amp;&amp;___cb=460086709176459</t>
  </si>
  <si>
    <t>https://uk-assets.radioplayer.org/image/1509_86x48_2021-01-29-16-33-02-787.png</t>
  </si>
  <si>
    <t>https://www.boomradiouk.com/radioplayer/</t>
  </si>
  <si>
    <t>https://listen-boomradio.sharp-stream.com/65_boom_radio_live_128_aac?=&amp;&amp;___cb=811606145634973</t>
  </si>
  <si>
    <t>https://listen-boomradio.sharp-stream.com/65_boom_radio_live_128?=&amp;&amp;___cb=553869034991897</t>
  </si>
  <si>
    <t>Branch FM</t>
  </si>
  <si>
    <t>https://443-1.reliastream.com/39/;stream.mp3?=&amp;&amp;___cb=689980633807039</t>
  </si>
  <si>
    <t>https://uk-assets.radioplayer.org/image/1315_86x48_2017-03-07-17-00-28-7.png</t>
  </si>
  <si>
    <t>http://www.branchfm.com/player</t>
  </si>
  <si>
    <t>Easy Radio Wales</t>
  </si>
  <si>
    <t>https://listen-nation.sharp-stream.com/tcbay.mp3?listenerid=60beeb6431338b72c00bee59cbb7d33b&amp;aw_0_1st.octave_permutive=&amp;aw_0_1st.skey=1667146069&amp;aw_0_1st.playerid=RadioPlayer_WEB&amp;amsparams=playerid:RadioPlayer_WEB;skey=1667146069;aw_0_req.gdpr=true&amp;lon=-0.0827&amp;lat=51.2826&amp;=&amp;&amp;___cb=824395390048390</t>
  </si>
  <si>
    <t>https://uk-assets.radioplayer.org/image/1145_86x48_2022-09-01-15-06-45-241.png</t>
  </si>
  <si>
    <t>https://radioplayer.nationplayer.com/EasyWales</t>
  </si>
  <si>
    <t>https://listen-nation.sharp-stream.com/tcbay.aac?listenerid=60beeb6431338b72c00bee59cbb7d33b&amp;aw_0_1st.octave_permutive=&amp;aw_0_1st.skey=1667146069&amp;aw_0_1st.playerid=RadioPlayer_WEB&amp;amsparams=playerid:RadioPlayer_WEB;skey=1667146069;aw_0_req.gdpr=true&amp;lon=-0.0827&amp;lat=51.2826&amp;=&amp;&amp;___cb=98508786527508</t>
  </si>
  <si>
    <t>https://listen-nation.sharp-stream.com/tcbay.mp3?listenerid=60beeb6431338b72c00bee59cbb7d33b&amp;aw_0_1st.octave_permutive=&amp;aw_0_1st.skey=1667146069&amp;aw_0_1st.playerid=RadioPlayer_WEB&amp;amsparams=playerid:RadioPlayer_WEB;skey=1667146069;aw_0_req.gdpr=true&amp;lon=-0.0827&amp;lat=51.2826&amp;=&amp;&amp;___cb=987539555388691</t>
  </si>
  <si>
    <t>Bridge FM Radio</t>
  </si>
  <si>
    <t>https://listen-nation.sharp-stream.com/tcbridge.aac?listenerid=60beeb6431338b72c00bee59cbb7d33b&amp;aw_0_1st.octave_permutive=&amp;aw_0_1st.skey=1667146071&amp;aw_0_1st.playerid=RadioPlayer_WEB&amp;amsparams=playerid:RadioPlayer_WEB;skey=1667146071;aw_0_req.gdpr=true&amp;lon=-0.0827&amp;lat=51.2826&amp;=&amp;&amp;___cb=971584239311763</t>
  </si>
  <si>
    <t>https://uk-assets.radioplayer.org/image/1060_86x48_2022-04-04-13-05-41-610.png</t>
  </si>
  <si>
    <t>https://radioplayer.nationplayer.com/BridgeFMRadio</t>
  </si>
  <si>
    <t>https://listen-nation.sharp-stream.com/tcbridge.mp3?listenerid=60beeb6431338b72c00bee59cbb7d33b&amp;aw_0_1st.octave_permutive=&amp;aw_0_1st.skey=1667146071&amp;aw_0_1st.playerid=RadioPlayer_WEB&amp;amsparams=playerid:RadioPlayer_WEB;skey=1667146071;aw_0_req.gdpr=true&amp;lon=-0.0827&amp;lat=51.2826&amp;=&amp;&amp;___cb=771175756563617</t>
  </si>
  <si>
    <t>https://listen-nation.sharp-stream.com/tcbridge.mp3?listenerid=60beeb6431338b72c00bee59cbb7d33b&amp;aw_0_1st.octave_permutive=&amp;aw_0_1st.skey=1667146071&amp;aw_0_1st.playerid=RadioPlayer_WEB&amp;amsparams=playerid:RadioPlayer_WEB;skey=1667146071;aw_0_req.gdpr=true&amp;lon=-0.0827&amp;lat=51.2826&amp;=&amp;&amp;___cb=464512502411117</t>
  </si>
  <si>
    <t>Bro Radio</t>
  </si>
  <si>
    <t>https://streaming.broadcastradio.com:8422/brorad?=&amp;&amp;___cb=429867419776944</t>
  </si>
  <si>
    <t>https://uk-assets.radioplayer.org/image/1127_86x48_2022-01-13-11-05-39-682.png</t>
  </si>
  <si>
    <t>https://broradio.radiofinity.com/console/index.php</t>
  </si>
  <si>
    <t>https://stream.audiospace.co/broradio?=&amp;&amp;___cb=958022447102099</t>
  </si>
  <si>
    <t>http://streaming.broadcastradio.com:8420/brorad?=&amp;&amp;___cb=785254874406776</t>
  </si>
  <si>
    <t>https://stream.cambridge105.co.uk:8443/105-radioplayer-low?=&amp;&amp;___cb=193327854232957</t>
  </si>
  <si>
    <t>https://uk-assets.radioplayer.org/image/1297_86x48_2022-08-13-17-06-27-304.png</t>
  </si>
  <si>
    <t>https://cambridge105.co.uk/radioplayer</t>
  </si>
  <si>
    <t>Capital Birmingham</t>
  </si>
  <si>
    <t>https://media-ssl.musicradio.com/CapitalBirmingham?=&amp;&amp;___cb=157488410848220</t>
  </si>
  <si>
    <t>https://uk-assets.radioplayer.org/image/245_86x48_2017-03-07-17-00-33-269.png</t>
  </si>
  <si>
    <t>https://radioplayer.musicradio.com/radio/capital/birmingham</t>
  </si>
  <si>
    <t>Capital Brighton</t>
  </si>
  <si>
    <t>https://media-ssl.musicradio.com/CapitalBrighton?=&amp;&amp;___cb=613400624699708</t>
  </si>
  <si>
    <t>https://uk-assets.radioplayer.org/image/276_86x48_2018-08-14-10-45-31-711.png</t>
  </si>
  <si>
    <t>https://radioplayer.musicradio.com/radio/capital/brighton</t>
  </si>
  <si>
    <t>Capital Lancashire - Burnley</t>
  </si>
  <si>
    <t>https://media-ssl.musicradio.com/CapitalBurnley?=&amp;&amp;___cb=19525252249797</t>
  </si>
  <si>
    <t>https://uk-assets.radioplayer.org/image/278_86x48_2019-04-05-15-33-29-427.png</t>
  </si>
  <si>
    <t>https://radioplayer.musicradio.com/radio/capital/burnley</t>
  </si>
  <si>
    <t>Capital Coventry</t>
  </si>
  <si>
    <t>https://media-ssl.musicradio.com/CapitalCoventry?=&amp;&amp;___cb=489409578571385</t>
  </si>
  <si>
    <t>https://uk-assets.radioplayer.org/image/267_86x48_2019-11-28-15-48-30-246.png</t>
  </si>
  <si>
    <t>https://radioplayer.musicradio.com/radio/capital/coventry</t>
  </si>
  <si>
    <t>Capital DANCE</t>
  </si>
  <si>
    <t>https://media-ssl.musicradio.com/CapitalDance?=&amp;&amp;___cb=610856137548369</t>
  </si>
  <si>
    <t>https://uk-assets.radioplayer.org/image/291_86x48_2020-11-02-17-33-39-980.png</t>
  </si>
  <si>
    <t>https://radioplayer.musicradio.com/radio/capitaldance/uk/</t>
  </si>
  <si>
    <t>Capital Derbyshire</t>
  </si>
  <si>
    <t>https://media-ssl.musicradio.com/CapitalDerbyshire?=&amp;&amp;___cb=775195122300156</t>
  </si>
  <si>
    <t>https://uk-assets.radioplayer.org/image/238_86x48_2017-03-07-17-00-33-461.png</t>
  </si>
  <si>
    <t>https://radioplayer.musicradio.com/radio/capital/derbyshire</t>
  </si>
  <si>
    <t>https://media-ssl.musicradio.com/CapitalUK?=&amp;&amp;___cb=303970338613821</t>
  </si>
  <si>
    <t>https://uk-assets.radioplayer.org/image/274_86x48_2020-09-02-11-03-39-762.png</t>
  </si>
  <si>
    <t>https://radioplayer.musicradio.com/radio/capital/uk</t>
  </si>
  <si>
    <t>Capital Edinburgh</t>
  </si>
  <si>
    <t>https://media-ssl.musicradio.com/CapitalEdinburgh?=&amp;&amp;___cb=783368660496600</t>
  </si>
  <si>
    <t>https://uk-assets.radioplayer.org/image/250_86x48_2017-03-07-17-00-33-752.png</t>
  </si>
  <si>
    <t>https://radioplayer.musicradio.com/radio/capital/edinburgh</t>
  </si>
  <si>
    <t>Capital Glasgow</t>
  </si>
  <si>
    <t>https://media-ssl.musicradio.com/CapitalGlasgow?=&amp;&amp;___cb=554926233262038</t>
  </si>
  <si>
    <t>https://uk-assets.radioplayer.org/image/247_86x48_2017-03-07-17-00-33-950.png</t>
  </si>
  <si>
    <t>https://radioplayer.musicradio.com/radio/capital/glasgow</t>
  </si>
  <si>
    <t>Capital Leicestershire</t>
  </si>
  <si>
    <t>https://media-ssl.musicradio.com/CapitalLeicestershire?=&amp;&amp;___cb=156095041651411</t>
  </si>
  <si>
    <t>https://uk-assets.radioplayer.org/image/239_86x48_2017-03-07-17-00-34-137.png</t>
  </si>
  <si>
    <t>https://radioplayer.musicradio.com/radio/capital/leicestershire</t>
  </si>
  <si>
    <t>https://media-ssl.musicradio.com/CapitalLiverpool?=&amp;&amp;___cb=962687432265227</t>
  </si>
  <si>
    <t>https://uk-assets.radioplayer.org/image/275_86x48_2017-03-07-17-00-35-710.png</t>
  </si>
  <si>
    <t>https://radioplayer.musicradio.com/radio/capital/liverpool</t>
  </si>
  <si>
    <t>https://media-ssl.musicradio.com/Capital?=&amp;&amp;___cb=55701876403389</t>
  </si>
  <si>
    <t>https://uk-assets.radioplayer.org/image/237_86x48_2017-03-07-17-00-35-881.png</t>
  </si>
  <si>
    <t>https://radioplayer.musicradio.com/radio/capital/london</t>
  </si>
  <si>
    <t>Capital Manchester</t>
  </si>
  <si>
    <t>https://media-ssl.musicradio.com/CapitalManchester?=&amp;&amp;___cb=404265062611242</t>
  </si>
  <si>
    <t>https://uk-assets.radioplayer.org/image/243_86x48_2017-03-07-17-00-36-51.png</t>
  </si>
  <si>
    <t>https://radioplayer.musicradio.com/radio/capital/manchester</t>
  </si>
  <si>
    <t>Capital North Wales - North Wales Coast</t>
  </si>
  <si>
    <t>https://media-ssl.musicradio.com/CapitalWalesCoast?=&amp;&amp;___cb=674917393661561</t>
  </si>
  <si>
    <t>https://uk-assets.radioplayer.org/image/271_86x48_2017-03-07-17-00-36-363.png</t>
  </si>
  <si>
    <t>https://radioplayer.musicradio.com/radio/capital/walescoast</t>
  </si>
  <si>
    <t>Capital North Oxfordshire</t>
  </si>
  <si>
    <t>https://media-ssl.musicradio.com/CapitalNorthOxfordshire?=&amp;&amp;___cb=673888844204112</t>
  </si>
  <si>
    <t>https://uk-assets.radioplayer.org/image/279_86x48_2019-11-28-15-48-44-679.png</t>
  </si>
  <si>
    <t>https://radioplayer.musicradio.com/radio/capital/northoxfordshire/</t>
  </si>
  <si>
    <t>Capital North Wales - Anglesey &amp; Gwynedd</t>
  </si>
  <si>
    <t>https://media-ssl.musicradio.com/CapitalCymru?=&amp;&amp;___cb=717455060559203</t>
  </si>
  <si>
    <t>https://uk-assets.radioplayer.org/image/270_86x48_2017-03-07-17-00-36-561.png</t>
  </si>
  <si>
    <t>https://radioplayer.musicradio.com/radio/capital/cymru</t>
  </si>
  <si>
    <t>Capital Nottinghamshire</t>
  </si>
  <si>
    <t>https://media-ssl.musicradio.com/CapitalNottinghamshire?=&amp;&amp;___cb=479236789437890</t>
  </si>
  <si>
    <t>https://uk-assets.radioplayer.org/image/240_86x48_2017-03-07-17-00-36-755.png</t>
  </si>
  <si>
    <t>https://radioplayer.musicradio.com/radio/capital/nottinghamshire</t>
  </si>
  <si>
    <t>Capital Lancashire - Preston</t>
  </si>
  <si>
    <t>https://media-ssl.musicradio.com/CapitalPreston?=&amp;&amp;___cb=559779371629517</t>
  </si>
  <si>
    <t>https://uk-assets.radioplayer.org/image/277_86x48_2019-04-05-15-33-47-505.png</t>
  </si>
  <si>
    <t>https://radioplayer.musicradio.com/radio/capital/preston</t>
  </si>
  <si>
    <t>Capital Rugby</t>
  </si>
  <si>
    <t>https://media-ssl.musicradio.com/CapitalRugby?=&amp;&amp;___cb=262127169316144</t>
  </si>
  <si>
    <t>https://uk-assets.radioplayer.org/image/263_86x48_2019-11-28-15-48-50-0.png</t>
  </si>
  <si>
    <t>https://radioplayer.musicradio.com/radio/capital/rugby</t>
  </si>
  <si>
    <t>Capital South Coast</t>
  </si>
  <si>
    <t>https://media-ssl.musicradio.com/CapitalSouthCoast?=&amp;&amp;___cb=892559037126497</t>
  </si>
  <si>
    <t>https://uk-assets.radioplayer.org/image/246_86x48_2017-03-07-17-00-36-936.png</t>
  </si>
  <si>
    <t>https://radioplayer.musicradio.com/radio/capital/southcoast</t>
  </si>
  <si>
    <t>https://media-ssl.musicradio.com/CapitalSouthWales?=&amp;&amp;___cb=355922496324985</t>
  </si>
  <si>
    <t>https://uk-assets.radioplayer.org/image/241_86x48_2017-03-07-17-00-37-233.png</t>
  </si>
  <si>
    <t>https://radioplayer.musicradio.com/radio/capital/southwales</t>
  </si>
  <si>
    <t>Capital South East Staffordshire</t>
  </si>
  <si>
    <t>https://media-ssl.musicradio.com/CapitalSouthEastStaffordshire?=&amp;&amp;___cb=245034454173725</t>
  </si>
  <si>
    <t>https://uk-assets.radioplayer.org/image/266_86x48_2019-11-28-15-48-53-989.png</t>
  </si>
  <si>
    <t>https://radioplayer.musicradio.com/radio/capital/southeaststaffordshire</t>
  </si>
  <si>
    <t>Capital Stratford</t>
  </si>
  <si>
    <t>https://media-ssl.musicradio.com/CapitalStratford?=&amp;&amp;___cb=684821264457432</t>
  </si>
  <si>
    <t>https://uk-assets.radioplayer.org/image/268_86x48_2019-11-28-15-48-54-179.png</t>
  </si>
  <si>
    <t>https://radioplayer.musicradio.com/radio/capital/stratford</t>
  </si>
  <si>
    <t>Capital Teesside</t>
  </si>
  <si>
    <t>https://media-ssl.musicradio.com/CapitalTeesside?=&amp;&amp;___cb=894811586107680</t>
  </si>
  <si>
    <t>https://uk-assets.radioplayer.org/image/244_86x48_2017-03-07-17-00-37-420.png</t>
  </si>
  <si>
    <t>https://radioplayer.musicradio.com/radio/capital/teesside</t>
  </si>
  <si>
    <t>Capital Tyne and Wear</t>
  </si>
  <si>
    <t>https://media-ssl.musicradio.com/CapitalTyneWear?=&amp;&amp;___cb=655322994866326</t>
  </si>
  <si>
    <t>https://uk-assets.radioplayer.org/image/249_86x48_2017-03-07-17-00-37-712.png</t>
  </si>
  <si>
    <t>https://radioplayer.musicradio.com/radio/capital/tynewear</t>
  </si>
  <si>
    <t>Capital Warwick</t>
  </si>
  <si>
    <t>https://media-ssl.musicradio.com/CapitalWarwick?=&amp;&amp;___cb=271707614250658</t>
  </si>
  <si>
    <t>https://uk-assets.radioplayer.org/image/262_86x48_2019-11-28-15-48-57-972.png</t>
  </si>
  <si>
    <t>https://radioplayer.musicradio.com/radio/capital/warwick</t>
  </si>
  <si>
    <t>Capital Wirral</t>
  </si>
  <si>
    <t>https://media-ssl.musicradio.com/CapitalWirral?=&amp;&amp;___cb=660016030119988</t>
  </si>
  <si>
    <t>https://uk-assets.radioplayer.org/image/272_86x48_2017-03-07-17-00-37-902.png</t>
  </si>
  <si>
    <t>https://radioplayer.musicradio.com/radio/capital/wirral</t>
  </si>
  <si>
    <t>Capital Wrexham &amp; Cheshire</t>
  </si>
  <si>
    <t>https://media-ssl.musicradio.com/CapitalWrexham?=&amp;&amp;___cb=37994689868288</t>
  </si>
  <si>
    <t>https://uk-assets.radioplayer.org/image/273_86x48_2017-03-07-17-00-38-98.png</t>
  </si>
  <si>
    <t>https://radioplayer.musicradio.com/radio/capital/wrexham</t>
  </si>
  <si>
    <t>https://media-ssl.musicradio.com/CapitalXTRALondon?=&amp;&amp;___cb=739641097445909</t>
  </si>
  <si>
    <t>https://uk-assets.radioplayer.org/image/1269_86x48_2017-03-07-17-00-38-281.png</t>
  </si>
  <si>
    <t>https://radioplayer.musicradio.com/radio/capitalxtra/london/</t>
  </si>
  <si>
    <t>https://media-ssl.musicradio.com/CapitalXTRAReloaded?=&amp;&amp;___cb=156309748586447</t>
  </si>
  <si>
    <t>https://uk-assets.radioplayer.org/image/264_86x48_2019-08-30-14-34-44-165.png</t>
  </si>
  <si>
    <t>https://radioplayer.musicradio.com/radio/capitalxtrareloaded/uk</t>
  </si>
  <si>
    <t>https://media-ssl.musicradio.com/CapitalXTRANational?=&amp;&amp;___cb=105313169225901</t>
  </si>
  <si>
    <t>https://uk-assets.radioplayer.org/image/1268_86x48_2017-03-07-17-00-38-415.png</t>
  </si>
  <si>
    <t>https://radioplayer.musicradio.com/radio/capitalxtra/uk</t>
  </si>
  <si>
    <t>Capital Yorkshire (East)</t>
  </si>
  <si>
    <t>https://media-ssl.musicradio.com/CapitalYorkshireEast?=&amp;&amp;___cb=777928982091171</t>
  </si>
  <si>
    <t>https://uk-assets.radioplayer.org/image/242_86x48_2017-03-07-17-00-38-559.png</t>
  </si>
  <si>
    <t>https://radioplayer.musicradio.com/radio/capital/yorkshireeast</t>
  </si>
  <si>
    <t>Capital Yorkshire (South and West)</t>
  </si>
  <si>
    <t>https://media-ssl.musicradio.com/CapitalYorkshireSouthWest?=&amp;&amp;___cb=414164756878652</t>
  </si>
  <si>
    <t>https://uk-assets.radioplayer.org/image/248_86x48_2017-03-07-17-00-38-727.png</t>
  </si>
  <si>
    <t>https://radioplayer.musicradio.com/radio/capital/yorkshiresouthwest</t>
  </si>
  <si>
    <t>https://listen-nation.sharp-stream.com/tccarmarthenshire.aac?listenerid=60beeb6431338b72c00bee59cbb7d33b&amp;aw_0_1st.octave_permutive=&amp;aw_0_1st.skey=1667146121&amp;aw_0_1st.playerid=RadioPlayer_WEB&amp;amsparams=playerid:RadioPlayer_WEB;skey=1667146121;aw_0_req.gdpr=true&amp;lon=-0.0827&amp;lat=51.2826&amp;=&amp;&amp;___cb=212120346702518</t>
  </si>
  <si>
    <t>https://uk-assets.radioplayer.org/image/1146_86x48_2022-04-04-13-06-09-712.png</t>
  </si>
  <si>
    <t>https://radioplayer.nationplayer.com/RadioCarmarthenshire</t>
  </si>
  <si>
    <t>https://listen-nation.sharp-stream.com/tccarmarthenshire.aac?listenerid=60beeb6431338b72c00bee59cbb7d33b&amp;aw_0_1st.octave_permutive=&amp;aw_0_1st.skey=1667146121&amp;aw_0_1st.playerid=RadioPlayer_WEB&amp;amsparams=playerid:RadioPlayer_WEB;skey=1667146121;aw_0_req.gdpr=true&amp;lon=-0.0827&amp;lat=51.2826&amp;=&amp;&amp;___cb=660561247724183</t>
  </si>
  <si>
    <t>Radio Caroline</t>
  </si>
  <si>
    <t>http://sc6.radiocaroline.net:8040/;=?&amp;___cb=677505150450915</t>
  </si>
  <si>
    <t>https://uk-assets.radioplayer.org/image/1065_86x48_2020-11-23-09-04-10-718.png</t>
  </si>
  <si>
    <t>http://www.radiocaroline.co.uk/radioplayer4/index.html</t>
  </si>
  <si>
    <t>http://sc2.radiocaroline.net:8000/;=?&amp;___cb=719059495911693</t>
  </si>
  <si>
    <t>http://sc6.radiocaroline.net:8040?=&amp;&amp;___cb=855380989433849</t>
  </si>
  <si>
    <t>https://streaming.cdnx.co.uk/proxy/cx128mp3?mp=/stream&amp;=&amp;&amp;___cb=454392275231501</t>
  </si>
  <si>
    <t>https://uk-assets.radioplayer.org/image/1478_86x48_2020-01-27-10-38-17-358.png</t>
  </si>
  <si>
    <t>https://player.cdnx.co.uk/</t>
  </si>
  <si>
    <t>Celtic Music Radio</t>
  </si>
  <si>
    <t>http://uksouth.streaming.broadcast.radio:11130/celtic?=&amp;&amp;___cb=89461316770810</t>
  </si>
  <si>
    <t>https://uk-assets.radioplayer.org/image/1102_86x48_2022-01-24-11-06-35-520.png</t>
  </si>
  <si>
    <t>http://player.celticmusicradio.net/</t>
  </si>
  <si>
    <t>https://streaming.broadcast.radio/celtic?=&amp;&amp;___cb=21276143162977</t>
  </si>
  <si>
    <t>https://streaming.broadcastradio.com:11135/celtic?=&amp;&amp;___cb=946110592050798</t>
  </si>
  <si>
    <t>Central Radio</t>
  </si>
  <si>
    <t>https://stream.central.radio/listen/web/high?=&amp;&amp;___cb=751541238803120</t>
  </si>
  <si>
    <t>https://uk-assets.radioplayer.org/image/1567_86x48_2022-08-23-13-36-40-243.png</t>
  </si>
  <si>
    <t>https://www.central.radio/radioplayer/</t>
  </si>
  <si>
    <t>Nation Radio Ceredigion</t>
  </si>
  <si>
    <t>https://listen-nation.sharp-stream.com/tcceredigion.aac?listenerid=60beeb6431338b72c00bee59cbb7d33b&amp;aw_0_1st.octave_permutive=&amp;aw_0_1st.skey=1667146138&amp;aw_0_1st.playerid=RadioPlayer_WEB&amp;amsparams=playerid:RadioPlayer_WEB;skey=1667146138;aw_0_req.gdpr=true&amp;lon=-0.0827&amp;lat=51.2826&amp;=&amp;&amp;___cb=779168981896170</t>
  </si>
  <si>
    <t>https://uk-assets.radioplayer.org/image/1149_86x48_2022-04-04-13-06-20-898.png</t>
  </si>
  <si>
    <t>https://radioplayer.nationplayer.com/NationCeredigion</t>
  </si>
  <si>
    <t>https://listen-nation.sharp-stream.com/tcceredigion.aac?listenerid=60beeb6431338b72c00bee59cbb7d33b&amp;aw_0_1st.octave_permutive=&amp;aw_0_1st.skey=1667146138&amp;aw_0_1st.playerid=RadioPlayer_WEB&amp;amsparams=playerid:RadioPlayer_WEB;skey=1667146138;aw_0_req.gdpr=true&amp;lon=-0.0827&amp;lat=51.2826&amp;=&amp;&amp;___cb=497938298080022</t>
  </si>
  <si>
    <t>https://stream-al.planetradio.co.uk/cfm.aac?direct=true&amp;aw_0_1st.bauer_listenerid=60beeb6431338b72c00bee59cbb7d33b&amp;listenerid=60beeb6431338b72c00bee59cbb7d33b&amp;aw_0_1st.permutiveid=f41bfaad-62d1-4e99-ab33-6596a60b67c8&amp;aw_0_1st.octave_permutive=&amp;aw_0_1st.skey=1667146141&amp;aw_0_1st.playerid=BMUK_ukrp&amp;amsparams=playerid:BMUK_ukrp;skey=1667146141;=&amp;&amp;___cb=116438455005248</t>
  </si>
  <si>
    <t>https://uk-assets.radioplayer.org/image/557_86x48_2017-03-07-17-00-39-661.png</t>
  </si>
  <si>
    <t>https://radioplayer.planetradio.co.uk/cfm</t>
  </si>
  <si>
    <t>https://stream.rcs.revma.com/1b7wddebanzuv?=&amp;&amp;___cb=565318170215802</t>
  </si>
  <si>
    <t>https://uk-assets.radioplayer.org/image/1035_86x48_2019-06-10-17-04-26-253.png</t>
  </si>
  <si>
    <t>https://www.channel103.com/radioplayer/</t>
  </si>
  <si>
    <t>https://listen-cheesyfm.sharp-stream.com/cheesyfm.aac?=&amp;&amp;___cb=995047151297952</t>
  </si>
  <si>
    <t>https://uk-assets.radioplayer.org/image/1377_86x48_2019-06-25-11-04-48-368.png</t>
  </si>
  <si>
    <t>https://radioplayerhosting.com/stations/live/1377/index.html</t>
  </si>
  <si>
    <t>https://listen-cheesyfm.sharp-stream.com/cheesyfm.mp3?=&amp;&amp;___cb=517022295760621</t>
  </si>
  <si>
    <t>https://listen-cheesyfm.sharp-stream.com/cheesyfm.aac?=&amp;&amp;___cb=275311617460982</t>
  </si>
  <si>
    <t>CountryLine Radio</t>
  </si>
  <si>
    <t>https://tx.sharp-stream.com/http_live.php?i=chriscountry.mp3&amp;=&amp;&amp;___cb=310242234166035</t>
  </si>
  <si>
    <t>https://uk-assets.radioplayer.org/image/1320_86x48_2022-03-06-21-36-37-439.png</t>
  </si>
  <si>
    <t>https://www.countryline.radio/radioplayer/</t>
  </si>
  <si>
    <t>Classic FM</t>
  </si>
  <si>
    <t>https://media-ssl.musicradio.com/ClassicFM?=&amp;&amp;___cb=256805943061853</t>
  </si>
  <si>
    <t>https://uk-assets.radioplayer.org/image/256_86x48_2017-03-07-17-00-42-740.png</t>
  </si>
  <si>
    <t>https://radioplayer.musicradio.com/radio/classicfm/uk</t>
  </si>
  <si>
    <t>Club Asia Radio</t>
  </si>
  <si>
    <t>https://s3.citrus3.com:8320/stream?=&amp;&amp;___cb=862818431574198</t>
  </si>
  <si>
    <t>https://uk-assets.radioplayer.org/image/1521_86x48_2021-07-05-15-06-39-490.png</t>
  </si>
  <si>
    <t>http://www.clubasia.co.uk/radioplayer/</t>
  </si>
  <si>
    <t>https://s3.citrus3.com:8320/stream?=&amp;&amp;___cb=725929983837509</t>
  </si>
  <si>
    <t>https://stream-al.planetradio.co.uk/clyde1.aac?direct=true&amp;aw_0_1st.bauer_listenerid=60beeb6431338b72c00bee59cbb7d33b&amp;listenerid=60beeb6431338b72c00bee59cbb7d33b&amp;aw_0_1st.permutiveid=f41bfaad-62d1-4e99-ab33-6596a60b67c8&amp;aw_0_1st.octave_permutive=&amp;aw_0_1st.skey=1667146153&amp;aw_0_1st.playerid=BMUK_ukrp&amp;amsparams=playerid:BMUK_ukrp;skey=1667146153;=&amp;&amp;___cb=302582000885246</t>
  </si>
  <si>
    <t>https://uk-assets.radioplayer.org/image/560_86x48_2017-03-07-17-00-43-67.png</t>
  </si>
  <si>
    <t>https://radioplayer.planetradio.co.uk/cl1</t>
  </si>
  <si>
    <t>https://stream-al.planetradio.co.uk/clyde2.aac?direct=true&amp;aw_0_1st.bauer_listenerid=60beeb6431338b72c00bee59cbb7d33b&amp;listenerid=60beeb6431338b72c00bee59cbb7d33b&amp;aw_0_1st.permutiveid=f41bfaad-62d1-4e99-ab33-6596a60b67c8&amp;aw_0_1st.octave_permutive=&amp;aw_0_1st.skey=1667146155&amp;aw_0_1st.playerid=BMUK_ukrp&amp;amsparams=playerid:BMUK_ukrp;skey=1667146155;=&amp;&amp;___cb=363963999739771</t>
  </si>
  <si>
    <t>https://uk-assets.radioplayer.org/image/561_86x48_2017-03-07-17-00-43-596.png</t>
  </si>
  <si>
    <t>https://radioplayer.planetradio.co.uk/cl2</t>
  </si>
  <si>
    <t>Coast and County Radio</t>
  </si>
  <si>
    <t>https://my.superstreaming.co.uk/8006/stream?=&amp;&amp;___cb=47524715950515</t>
  </si>
  <si>
    <t>https://uk-assets.radioplayer.org/image/1554_86x48_2022-05-11-14-36-37-119.png</t>
  </si>
  <si>
    <t>https://www.coastandcountyradio.co.uk/radioplayer</t>
  </si>
  <si>
    <t>https://my.superstreaming.co.uk/8006/stream?=&amp;&amp;___cb=572138451218778</t>
  </si>
  <si>
    <t>https://stream-al.planetradio.co.uk/coolfm.aac?direct=true&amp;aw_0_1st.bauer_listenerid=60beeb6431338b72c00bee59cbb7d33b&amp;listenerid=60beeb6431338b72c00bee59cbb7d33b&amp;aw_0_1st.permutiveid=f41bfaad-62d1-4e99-ab33-6596a60b67c8&amp;aw_0_1st.octave_permutive=&amp;aw_0_1st.skey=1667146159&amp;aw_0_1st.playerid=BMUK_ukrp&amp;amsparams=playerid:BMUK_ukrp;skey=1667146159;=&amp;&amp;___cb=748133621863653</t>
  </si>
  <si>
    <t>https://uk-assets.radioplayer.org/image/562_86x48_2017-03-07-17-00-45-55.png</t>
  </si>
  <si>
    <t>https://radioplayer.planetradio.co.uk/coo</t>
  </si>
  <si>
    <t>Cross Rhythms City Radio</t>
  </si>
  <si>
    <t>https://stream.crossrhythms.co.uk/city/hq.mp3?=&amp;&amp;___cb=689374767763916</t>
  </si>
  <si>
    <t>https://uk-assets.radioplayer.org/image/1108_86x48_2017-03-07-17-00-45-226.png</t>
  </si>
  <si>
    <t>https://www.crossrhythms.co.uk/radio/console</t>
  </si>
  <si>
    <t>https://stream.crossrhythms.co.uk/city/lq.mp3?=&amp;&amp;___cb=241224209513017</t>
  </si>
  <si>
    <t>https://stream.crossrhythms.co.uk/city/lq.mp3?=&amp;&amp;___cb=539706114476609</t>
  </si>
  <si>
    <t>https://dalesradio.radioca.st/stream?=&amp;&amp;___cb=876224975727201</t>
  </si>
  <si>
    <t>https://uk-assets.radioplayer.org/image/1396_86x48_2021-05-11-18-35-57-746.png</t>
  </si>
  <si>
    <t>https://www.dalesradio.co/onair/radioplayer/</t>
  </si>
  <si>
    <t>Dee 106.3</t>
  </si>
  <si>
    <t>http://tx.sharp-stream.com/icecast.php?i=tcdee.mp3&amp;=&amp;&amp;___cb=728545392330377</t>
  </si>
  <si>
    <t>https://uk-assets.radioplayer.org/image/1072_86x48_2018-03-17-22-00-46-231.png</t>
  </si>
  <si>
    <t>http://www.dee1063.com/radioplayer</t>
  </si>
  <si>
    <t>http://stream.deliteonline.com:48000/live256?=&amp;&amp;___cb=725977881813155</t>
  </si>
  <si>
    <t>https://uk-assets.radioplayer.org/image/1379_86x48_2018-08-15-16-00-59-896.png</t>
  </si>
  <si>
    <t>https://radioplayerhosting.com/stations/live/1379/index.html</t>
  </si>
  <si>
    <t>http://stream.deliteonline.com:48000/live320?=&amp;&amp;___cb=277483385733481</t>
  </si>
  <si>
    <t>http://stream.deliteonline.com:48000/live128?=&amp;&amp;___cb=315469822879714</t>
  </si>
  <si>
    <t>http://stream.deliteonline.com:48000/live192?=&amp;&amp;___cb=137058640302331</t>
  </si>
  <si>
    <t>http://s4.voscast.com:8642/stream.aac?=&amp;&amp;___cb=213249119587320</t>
  </si>
  <si>
    <t>Diverse FM</t>
  </si>
  <si>
    <t>https://icecast.mediaice.co.uk/DiverseAAC?=&amp;&amp;___cb=488377398663984</t>
  </si>
  <si>
    <t>https://uk-assets.radioplayer.org/image/1126_86x48_2020-07-14-11-04-37-502.png</t>
  </si>
  <si>
    <t>https://www.diversefm.com/radioplayer/</t>
  </si>
  <si>
    <t>https://icecast.mediaice.co.uk/DiverseMP3?=&amp;&amp;___cb=4487586354806</t>
  </si>
  <si>
    <t>https://media-ice.co.uk:8000/DiverseMP3?=&amp;&amp;___cb=563911667320851</t>
  </si>
  <si>
    <t>https://stream-al.planetradio.co.uk/downtown.aac?direct=true&amp;aw_0_1st.bauer_listenerid=60beeb6431338b72c00bee59cbb7d33b&amp;listenerid=60beeb6431338b72c00bee59cbb7d33b&amp;aw_0_1st.permutiveid=f41bfaad-62d1-4e99-ab33-6596a60b67c8&amp;aw_0_1st.octave_permutive=&amp;aw_0_1st.skey=1667146173&amp;aw_0_1st.playerid=BMUK_ukrp&amp;amsparams=playerid:BMUK_ukrp;skey=1667146173;=&amp;&amp;___cb=546020682031102</t>
  </si>
  <si>
    <t>https://uk-assets.radioplayer.org/image/563_86x48_2017-03-07-17-00-46-452.png</t>
  </si>
  <si>
    <t>https://radioplayer.planetradio.co.uk/dra</t>
  </si>
  <si>
    <t>https://stream-al.planetradio.co.uk/downtowncountry.aac?direct=true&amp;aw_0_1st.bauer_listenerid=60beeb6431338b72c00bee59cbb7d33b&amp;listenerid=60beeb6431338b72c00bee59cbb7d33b&amp;aw_0_1st.permutiveid=f41bfaad-62d1-4e99-ab33-6596a60b67c8&amp;aw_0_1st.octave_permutive=&amp;aw_0_1st.skey=1667146175&amp;aw_0_1st.playerid=BMUK_ukrp&amp;amsparams=playerid:BMUK_ukrp;skey=1667146175;=&amp;&amp;___cb=263591293640788</t>
  </si>
  <si>
    <t>https://uk-assets.radioplayer.org/image/569_86x48_2017-03-07-17-00-46-911.png</t>
  </si>
  <si>
    <t>https://radioplayer.planetradio.co.uk/dco</t>
  </si>
  <si>
    <t>https://listen-nation.sharp-stream.com/tcnationdigital.aac?listenerid=60beeb6431338b72c00bee59cbb7d33b&amp;aw_0_1st.octave_permutive=&amp;aw_0_1st.skey=1667146176&amp;aw_0_1st.playerid=RadioPlayer_WEB&amp;amsparams=playerid:RadioPlayer_WEB;skey=1667146176;aw_0_req.gdpr=true&amp;lon=-0.0827&amp;lat=51.2826&amp;=&amp;&amp;___cb=950080637913943</t>
  </si>
  <si>
    <t>https://uk-assets.radioplayer.org/image/1331_86x48_2022-04-04-13-07-03-249.png</t>
  </si>
  <si>
    <t>https://radioplayer.nationplayer.com/Dragon</t>
  </si>
  <si>
    <t>https://listen-nation.sharp-stream.com/tcnationdigital.mp3?listenerid=60beeb6431338b72c00bee59cbb7d33b&amp;aw_0_1st.octave_permutive=&amp;aw_0_1st.skey=1667146176&amp;aw_0_1st.playerid=RadioPlayer_WEB&amp;amsparams=playerid:RadioPlayer_WEB;skey=1667146176;aw_0_req.gdpr=true&amp;lon=-0.0827&amp;lat=51.2826&amp;=&amp;&amp;___cb=276836794460287</t>
  </si>
  <si>
    <t>https://listen-nation.sharp-stream.com/tcnationdigital.mp3?listenerid=60beeb6431338b72c00bee59cbb7d33b&amp;aw_0_1st.octave_permutive=&amp;aw_0_1st.skey=1667146176&amp;aw_0_1st.playerid=RadioPlayer_WEB&amp;amsparams=playerid:RadioPlayer_WEB;skey=1667146176;aw_0_req.gdpr=true&amp;lon=-0.0827&amp;lat=51.2826&amp;=&amp;&amp;___cb=70363838177834</t>
  </si>
  <si>
    <t>https://fra-ranger01.dedicateware.com:8010/stream?=&amp;&amp;___cb=333000366336228</t>
  </si>
  <si>
    <t>https://uk-assets.radioplayer.org/image/1532_86x48_2021-11-19-12-07-06-376.png</t>
  </si>
  <si>
    <t>https://radioplayerhosting.com/stations/live/1532/index.html</t>
  </si>
  <si>
    <t>https://fra-ranger01.dedicateware.com:8010/mobile?=&amp;&amp;___cb=826000797735278</t>
  </si>
  <si>
    <t>Easy Radio South</t>
  </si>
  <si>
    <t>https://listen-nation.sharp-stream.com/nationeasysoton.mp3?listenerid=60beeb6431338b72c00bee59cbb7d33b&amp;aw_0_1st.octave_permutive=&amp;aw_0_1st.skey=1667146182&amp;aw_0_1st.playerid=RadioPlayer_WEB&amp;amsparams=playerid:RadioPlayer_WEB;skey=1667146182;aw_0_req.gdpr=true&amp;lon=-0.0827&amp;lat=51.2826&amp;=&amp;&amp;___cb=175868455801264</t>
  </si>
  <si>
    <t>https://uk-assets.radioplayer.org/image/1569_86x48_2022-09-18-20-38-49-711.png</t>
  </si>
  <si>
    <t>https://radioplayer.nationplayer.com/EasySouth</t>
  </si>
  <si>
    <t>https://listen-nation.sharp-stream.com/nationeasysoton.aac?listenerid=60beeb6431338b72c00bee59cbb7d33b&amp;aw_0_1st.octave_permutive=&amp;aw_0_1st.skey=1667146182&amp;aw_0_1st.playerid=RadioPlayer_WEB&amp;amsparams=playerid:RadioPlayer_WEB;skey=1667146182;aw_0_req.gdpr=true&amp;lon=-0.0827&amp;lat=51.2826&amp;=&amp;&amp;___cb=189311540040107</t>
  </si>
  <si>
    <t>https://listen-nation.sharp-stream.com/nationeasysoton.mp3?listenerid=60beeb6431338b72c00bee59cbb7d33b&amp;aw_0_1st.octave_permutive=&amp;aw_0_1st.skey=1667146182&amp;aw_0_1st.playerid=RadioPlayer_WEB&amp;amsparams=playerid:RadioPlayer_WEB;skey=1667146182;aw_0_req.gdpr=true&amp;lon=-0.0827&amp;lat=51.2826&amp;=&amp;&amp;___cb=981087076644179</t>
  </si>
  <si>
    <t>Easy Radio UK</t>
  </si>
  <si>
    <t>https://listen-nation.sharp-stream.com/breezyradiouk.mp3?listenerid=60beeb6431338b72c00bee59cbb7d33b&amp;aw_0_1st.octave_permutive=&amp;aw_0_1st.skey=1667146183&amp;aw_0_1st.playerid=RadioPlayer_WEB&amp;amsparams=playerid:RadioPlayer_WEB;skey=1667146183;aw_0_req.gdpr=true&amp;lon=-0.0827&amp;lat=51.2826&amp;=&amp;&amp;___cb=486326509752221</t>
  </si>
  <si>
    <t>https://uk-assets.radioplayer.org/image/1561_86x48_2022-09-01-15-06-43-991.png</t>
  </si>
  <si>
    <t>https://radioplayer.nationplayer.com/EasyUK</t>
  </si>
  <si>
    <t>https://listen-nation.sharp-stream.com/breezyradiouk.aac?listenerid=60beeb6431338b72c00bee59cbb7d33b&amp;aw_0_1st.octave_permutive=&amp;aw_0_1st.skey=1667146183&amp;aw_0_1st.playerid=RadioPlayer_WEB&amp;amsparams=playerid:RadioPlayer_WEB;skey=1667146183;aw_0_req.gdpr=true&amp;lon=-0.0827&amp;lat=51.2826&amp;=&amp;&amp;___cb=402180394880299</t>
  </si>
  <si>
    <t>https://listen-nation.sharp-stream.com/breezyradiouk.mp3?listenerid=60beeb6431338b72c00bee59cbb7d33b&amp;aw_0_1st.octave_permutive=&amp;aw_0_1st.skey=1667146183&amp;aw_0_1st.playerid=RadioPlayer_WEB&amp;amsparams=playerid:RadioPlayer_WEB;skey=1667146183;aw_0_req.gdpr=true&amp;lon=-0.0827&amp;lat=51.2826&amp;=&amp;&amp;___cb=407712989874668</t>
  </si>
  <si>
    <t>https://eirewave.ice.infomaniak.ch/eirewave-128.mp3?=&amp;&amp;___cb=209552619316869</t>
  </si>
  <si>
    <t>https://uk-assets.radioplayer.org/image/1564_86x48_2022-07-21-16-38-59-35.png</t>
  </si>
  <si>
    <t>https://www.eirewave.co.uk/assets/rplayer/</t>
  </si>
  <si>
    <t>http://eirewave.ice.infomaniak.ch/eirewave-64.aac?=&amp;&amp;___cb=52519579449561</t>
  </si>
  <si>
    <t>107 Endeavour FM</t>
  </si>
  <si>
    <t>https://solid48.streamupsolutions.com/proxy/tepghymx/stream?=&amp;&amp;___cb=642947042891728</t>
  </si>
  <si>
    <t>https://uk-assets.radioplayer.org/image/1496_86x48_2020-11-27-13-35-29-204.png</t>
  </si>
  <si>
    <t>http://www.endeavourfm.co.uk/listen</t>
  </si>
  <si>
    <t>https://solid48.streamupsolutions.com/proxy/tepghymx/stream?=&amp;&amp;___cb=209695413940866</t>
  </si>
  <si>
    <t>https://streaming.broadcast.radio/energyfm?=&amp;&amp;___cb=20887360234962</t>
  </si>
  <si>
    <t>https://uk-assets.radioplayer.org/image/1250_86x48_2017-03-07-17-00-49-480.png</t>
  </si>
  <si>
    <t>http://www.energyfm.net/radioplayer</t>
  </si>
  <si>
    <t>Erewash Sound</t>
  </si>
  <si>
    <t>http://stream01.erewashsound.com/erewashaac?=&amp;&amp;___cb=634651627426894</t>
  </si>
  <si>
    <t>https://uk-assets.radioplayer.org/image/1441_86x48_2021-01-06-10-05-24-708.png</t>
  </si>
  <si>
    <t>http://www.erewashsound.com/radioplayer</t>
  </si>
  <si>
    <t>https://securestreams2.autopo.st:1298/stream?=&amp;&amp;___cb=617234969514790</t>
  </si>
  <si>
    <t>https://uk-assets.radioplayer.org/image/1512_86x48_2021-03-10-10-06-39-171.png</t>
  </si>
  <si>
    <t>https://www.eruptionradio.uk/player/</t>
  </si>
  <si>
    <t>https://securestreams6.autopo.st:2293/stream?=&amp;&amp;___cb=183649485615849</t>
  </si>
  <si>
    <t>https://securestreams6.autopo.st:2293/stream?=&amp;&amp;___cb=659847986846556</t>
  </si>
  <si>
    <t>https://streams.radio.co/sf2a4d9132/listen?=&amp;&amp;___cb=905117325729102</t>
  </si>
  <si>
    <t>https://uk-assets.radioplayer.org/image/1136_86x48_2021-06-09-10-08-17-27.png</t>
  </si>
  <si>
    <t>https://www.radioexe.co.uk/devon/radioplayer/</t>
  </si>
  <si>
    <t>https://s4.radio.co/sd9ae042f5/listen?=&amp;&amp;___cb=690141226636754</t>
  </si>
  <si>
    <t>https://uk-assets.radioplayer.org/image/1553_86x48_2022-03-15-16-19-02-986.png</t>
  </si>
  <si>
    <t>https://www.radioexe.co.uk/plymouth/radioplayer/</t>
  </si>
  <si>
    <t>https://s4.radio.co/sd9ae042f5/listen?=&amp;&amp;___cb=216268436661280</t>
  </si>
  <si>
    <t>https://uksouth.streaming.broadcast.radio/exmouthmp3?=&amp;&amp;___cb=990500087825862</t>
  </si>
  <si>
    <t>https://uk-assets.radioplayer.org/image/1369_86x48_2021-03-13-22-06-47-540.png</t>
  </si>
  <si>
    <t>https://www.eastdevon.radio/radioplayer/</t>
  </si>
  <si>
    <t>Fantasy Radio</t>
  </si>
  <si>
    <t>https://sc01.lemonhost.ovh/fantasyradio?=&amp;&amp;___cb=431838633671700</t>
  </si>
  <si>
    <t>https://uk-assets.radioplayer.org/image/1298_86x48_2017-03-07-17-00-50-328.png</t>
  </si>
  <si>
    <t>https://player.fantasyradio.co.uk/</t>
  </si>
  <si>
    <t>https://listen-fixradio.sharp-stream.com/fixradio.aac?=fixradiowebsite&amp;=&amp;&amp;___cb=748970488027166</t>
  </si>
  <si>
    <t>https://uk-assets.radioplayer.org/image/1395_86x48_2022-03-15-11-38-57-81.png</t>
  </si>
  <si>
    <t>https://www.fixradio.co.uk/radioplayer/</t>
  </si>
  <si>
    <t>Flame CCR (Christian and Community Radio)</t>
  </si>
  <si>
    <t>https://radio.canstream.co.uk:8120/live.mp3?=&amp;&amp;___cb=353088288750693</t>
  </si>
  <si>
    <t>https://uk-assets.radioplayer.org/image/1115_86x48_2022-02-16-11-39-02-74.png</t>
  </si>
  <si>
    <t>https://radioplayerhosting.com/stations/live/1115/index.html</t>
  </si>
  <si>
    <t>https://radio.canstream.co.uk:8120/live.aac?=&amp;&amp;___cb=605802801628864</t>
  </si>
  <si>
    <t>Forest FM</t>
  </si>
  <si>
    <t>http://stream.audiospace.co/forestfm?=&amp;&amp;___cb=602742383001948</t>
  </si>
  <si>
    <t>https://uk-assets.radioplayer.org/image/1097_86x48_2020-08-03-10-04-54-98.png</t>
  </si>
  <si>
    <t>http://www.forestfm.co.uk/radioplayer/console/</t>
  </si>
  <si>
    <t>https://stream-al.planetradio.co.uk/forth1.aac?direct=true&amp;aw_0_1st.bauer_listenerid=60beeb6431338b72c00bee59cbb7d33b&amp;listenerid=60beeb6431338b72c00bee59cbb7d33b&amp;aw_0_1st.permutiveid=f41bfaad-62d1-4e99-ab33-6596a60b67c8&amp;aw_0_1st.octave_permutive=&amp;aw_0_1st.skey=1667146204&amp;aw_0_1st.playerid=BMUK_ukrp&amp;amsparams=playerid:BMUK_ukrp;skey=1667146204;=&amp;&amp;___cb=262970669039383</t>
  </si>
  <si>
    <t>https://uk-assets.radioplayer.org/image/564_86x48_2017-03-07-17-00-51-778.png</t>
  </si>
  <si>
    <t>https://radioplayer.planetradio.co.uk/fo1</t>
  </si>
  <si>
    <t>https://stream-al.planetradio.co.uk/forth2.aac?direct=true&amp;aw_0_1st.bauer_listenerid=60beeb6431338b72c00bee59cbb7d33b&amp;listenerid=60beeb6431338b72c00bee59cbb7d33b&amp;aw_0_1st.permutiveid=f41bfaad-62d1-4e99-ab33-6596a60b67c8&amp;aw_0_1st.octave_permutive=&amp;aw_0_1st.skey=1667146207&amp;aw_0_1st.playerid=BMUK_ukrp&amp;amsparams=playerid:BMUK_ukrp;skey=1667146207;=&amp;&amp;___cb=558057934263416</t>
  </si>
  <si>
    <t>https://uk-assets.radioplayer.org/image/565_86x48_2017-03-07-17-00-52-275.png</t>
  </si>
  <si>
    <t>https://radioplayer.planetradio.co.uk/fo2</t>
  </si>
  <si>
    <t>https://stream.apollo.audio/fr1/hi/aac/?direct=true&amp;do_not_geostream=true&amp;aw_0_1st.bauer_listenerid=60beeb6431338b72c00bee59cbb7d33b&amp;listenerid=60beeb6431338b72c00bee59cbb7d33b&amp;aw_0_1st.permutiveid=f41bfaad-62d1-4e99-ab33-6596a60b67c8&amp;aw_0_1st.octave_permutive=&amp;aw_0_1st.skey=1667146209&amp;aw_0_1st.playerid=BMUK_ukrp&amp;amsparams=playerid:BMUK_ukrp;skey=1667146209;=&amp;&amp;___cb=357393118776194</t>
  </si>
  <si>
    <t>https://uk-assets.radioplayer.org/image/1218_86x48_2017-03-07-17-00-53-485.png</t>
  </si>
  <si>
    <t>https://radioplayer.planetradio.co.uk/fr1&amp;region=fr1</t>
  </si>
  <si>
    <t>https://stream-al.planetradio.co.uk/freeblackcountry.aac?direct=true&amp;aw_0_1st.bauer_listenerid=60beeb6431338b72c00bee59cbb7d33b&amp;listenerid=60beeb6431338b72c00bee59cbb7d33b&amp;aw_0_1st.permutiveid=f41bfaad-62d1-4e99-ab33-6596a60b67c8&amp;aw_0_1st.octave_permutive=&amp;aw_0_1st.skey=1667146211&amp;aw_0_1st.playerid=BMUK_ukrp&amp;amsparams=playerid:BMUK_ukrp;skey=1667146211;=&amp;&amp;___cb=837766499687314</t>
  </si>
  <si>
    <t>https://uk-assets.radioplayer.org/image/1217_86x48_2017-03-07-17-00-53-578.png</t>
  </si>
  <si>
    <t>https://radioplayer.planetradio.co.uk/fr2&amp;region=fr2</t>
  </si>
  <si>
    <t>https://stream-al.planetradio.co.uk/freecoventry.aac?direct=true&amp;aw_0_1st.bauer_listenerid=60beeb6431338b72c00bee59cbb7d33b&amp;listenerid=60beeb6431338b72c00bee59cbb7d33b&amp;aw_0_1st.permutiveid=f41bfaad-62d1-4e99-ab33-6596a60b67c8&amp;aw_0_1st.octave_permutive=&amp;aw_0_1st.skey=1667146214&amp;aw_0_1st.playerid=BMUK_ukrp&amp;amsparams=playerid:BMUK_ukrp;skey=1667146214;=&amp;&amp;___cb=793560985630892</t>
  </si>
  <si>
    <t>https://uk-assets.radioplayer.org/image/1219_86x48_2017-03-07-17-00-53-682.png</t>
  </si>
  <si>
    <t>https://radioplayer.planetradio.co.uk/fr3&amp;region=fr3</t>
  </si>
  <si>
    <t>https://stream-al.planetradio.co.uk/freehereford.aac?direct=true&amp;aw_0_1st.bauer_listenerid=60beeb6431338b72c00bee59cbb7d33b&amp;listenerid=60beeb6431338b72c00bee59cbb7d33b&amp;aw_0_1st.permutiveid=f41bfaad-62d1-4e99-ab33-6596a60b67c8&amp;aw_0_1st.octave_permutive=&amp;aw_0_1st.skey=1667146216&amp;aw_0_1st.playerid=BMUK_ukrp&amp;amsparams=playerid:BMUK_ukrp;skey=1667146216;=&amp;&amp;___cb=184993025125255</t>
  </si>
  <si>
    <t>https://uk-assets.radioplayer.org/image/1220_86x48_2017-03-07-17-00-53-767.png</t>
  </si>
  <si>
    <t>https://radioplayer.planetradio.co.uk/fr4&amp;region=fr4</t>
  </si>
  <si>
    <t>https://stream-al.planetradio.co.uk/freeshropshire.aac?direct=true&amp;aw_0_1st.bauer_listenerid=60beeb6431338b72c00bee59cbb7d33b&amp;listenerid=60beeb6431338b72c00bee59cbb7d33b&amp;aw_0_1st.permutiveid=f41bfaad-62d1-4e99-ab33-6596a60b67c8&amp;aw_0_1st.octave_permutive=&amp;aw_0_1st.skey=1667146219&amp;aw_0_1st.playerid=BMUK_ukrp&amp;amsparams=playerid:BMUK_ukrp;skey=1667146219;=&amp;&amp;___cb=591820494273612</t>
  </si>
  <si>
    <t>https://uk-assets.radioplayer.org/image/1216_86x48_2017-03-07-17-00-53-814.png</t>
  </si>
  <si>
    <t>https://radioplayer.planetradio.co.uk/fr5&amp;region=fr5</t>
  </si>
  <si>
    <t>Fun Kids Classical</t>
  </si>
  <si>
    <t>https://stream.rcs.revma.com/s1gvh2z3tm0uv?=&amp;&amp;___cb=154625715313157</t>
  </si>
  <si>
    <t>https://uk-assets.radioplayer.org/image/1504_86x48_2021-01-15-09-36-53-766.png</t>
  </si>
  <si>
    <t>https://www.funkidslive.com/player/classical</t>
  </si>
  <si>
    <t>https://stream.rcs.revma.com/n2tzvkr3tm0uv?=&amp;&amp;___cb=19616053645520</t>
  </si>
  <si>
    <t>https://stream.rcs.revma.com/n2tzvkr3tm0uv?=&amp;&amp;___cb=846822259178719</t>
  </si>
  <si>
    <t>Funky Essex</t>
  </si>
  <si>
    <t>http://stream1.funky.sx:8000/studio1?=&amp;&amp;___cb=525837611503723</t>
  </si>
  <si>
    <t>https://uk-assets.radioplayer.org/image/1339_86x48_2020-05-01-14-35-39-160.png</t>
  </si>
  <si>
    <t>http://www.funkysx.com/radioplayer</t>
  </si>
  <si>
    <t>http://stream1.funky.sx:8000/baone?=&amp;&amp;___cb=535425041349476</t>
  </si>
  <si>
    <t>Future Radio</t>
  </si>
  <si>
    <t>https://radio.canstream.co.uk:8007/live.mp3?=&amp;&amp;___cb=117352667291581</t>
  </si>
  <si>
    <t>https://uk-assets.radioplayer.org/image/1106_86x48_2020-03-11-11-04-55-535.png</t>
  </si>
  <si>
    <t>http://futureradio.co.uk/futureplayer/radioplayer/index.html</t>
  </si>
  <si>
    <t>Gateway 97.8 FM</t>
  </si>
  <si>
    <t>http://stream.gateway978.com:8000/;stream.mp3?=&amp;&amp;___cb=366084955954912</t>
  </si>
  <si>
    <t>https://uk-assets.radioplayer.org/image/1113_86x48_2017-03-07-17-00-54-505.png</t>
  </si>
  <si>
    <t>https://player.gateway978.com/</t>
  </si>
  <si>
    <t>https://stream.gateway978.com/proxy/gateway?mp=/stream&amp;=&amp;&amp;___cb=670521673922064</t>
  </si>
  <si>
    <t>https://stream.gateway978.com/proxy/gateway?mp=/stream&amp;=&amp;&amp;___cb=474185652777469</t>
  </si>
  <si>
    <t>GB News Radio</t>
  </si>
  <si>
    <t>https://listen-gbnews.sharp-stream.com/gbnews.aac?=&amp;&amp;___cb=596104397674256</t>
  </si>
  <si>
    <t>https://uk-assets.radioplayer.org/image/1541_86x48_2021-12-07-13-39-17-472.png</t>
  </si>
  <si>
    <t>https://www.gbnews.uk/radioplayer</t>
  </si>
  <si>
    <t>https://listen-gbnews.sharp-stream.com/gbnews.mp3?=&amp;&amp;___cb=705237511481059</t>
  </si>
  <si>
    <t>https://listen-gbnews.sharp-stream.com/gbnews.aac?=&amp;&amp;___cb=842080948646454</t>
  </si>
  <si>
    <t>https://stream-al.planetradio.co.uk/gem106.aac?direct=true&amp;aw_0_1st.bauer_listenerid=60beeb6431338b72c00bee59cbb7d33b&amp;listenerid=60beeb6431338b72c00bee59cbb7d33b&amp;aw_0_1st.permutiveid=f41bfaad-62d1-4e99-ab33-6596a60b67c8&amp;aw_0_1st.octave_permutive=&amp;aw_0_1st.skey=1667146238&amp;aw_0_1st.playerid=BMUK_ukrp&amp;amsparams=playerid:BMUK_ukrp;skey=1667146238;=&amp;&amp;___cb=124864906460599</t>
  </si>
  <si>
    <t>https://uk-assets.radioplayer.org/image/1049_86x48_2017-03-07-17-00-55-46.png</t>
  </si>
  <si>
    <t>https://radioplayer.planetradio.co.uk/ge1</t>
  </si>
  <si>
    <t>https://stream.getradio.co.uk/aac?=&amp;&amp;___cb=291827525666818</t>
  </si>
  <si>
    <t>https://uk-assets.radioplayer.org/image/1506_86x48_2021-01-25-11-05-46-869.png</t>
  </si>
  <si>
    <t>https://www.getradio.co.uk/radioplayer/</t>
  </si>
  <si>
    <t>https://stream.getradio.co.uk/mp3?=&amp;&amp;___cb=301931588592818</t>
  </si>
  <si>
    <t>https://stream.getradio.co.uk/aac64?=&amp;&amp;___cb=481700120811915</t>
  </si>
  <si>
    <t>https://stream.getradio.co.uk/mp3?=&amp;&amp;___cb=488903557508834</t>
  </si>
  <si>
    <t>Go Radio</t>
  </si>
  <si>
    <t>https://streaming.broadcastradio.com/goradio?=&amp;&amp;___cb=679315646042942</t>
  </si>
  <si>
    <t>https://uk-assets.radioplayer.org/image/1465_86x48_2020-01-29-12-11-37-144.png</t>
  </si>
  <si>
    <t>https://radioplayerhosting.com/stations/live/1465/index.html</t>
  </si>
  <si>
    <t>Gold UK</t>
  </si>
  <si>
    <t>https://media-ssl.musicradio.com/Gold?=&amp;&amp;___cb=265484173208362</t>
  </si>
  <si>
    <t>https://uk-assets.radioplayer.org/image/257_86x48_2017-03-07-17-00-55-163.png</t>
  </si>
  <si>
    <t>https://radioplayer.musicradio.com/radio/gold/uk</t>
  </si>
  <si>
    <t>https://stream.rcs.revma.com/1pnutwsuvrhvv?=&amp;&amp;___cb=334076373789374</t>
  </si>
  <si>
    <t>https://uk-assets.radioplayer.org/image/1559_86x48_2022-05-19-10-39-36-974.png</t>
  </si>
  <si>
    <t>https://www.greatbritish.radio/radioplayer/</t>
  </si>
  <si>
    <t>https://stream.rcs.revma.com/1pnutwsuvrhvv?=&amp;&amp;___cb=589740352991974</t>
  </si>
  <si>
    <t>Great Driffield Radio</t>
  </si>
  <si>
    <t>https://my.superstreaming.co.uk/8066/greatdriffield?=&amp;&amp;___cb=975867728221833</t>
  </si>
  <si>
    <t>https://uk-assets.radioplayer.org/image/1464_86x48_2021-02-17-17-06-25-470.png</t>
  </si>
  <si>
    <t>https://www.greatdriffieldradio.co.uk/radioplayer</t>
  </si>
  <si>
    <t>Greatest Hits Radio (Bath &amp; The South West)</t>
  </si>
  <si>
    <t>https://stream-mz.planetradio.co.uk/net2bath.aac?direct=true&amp;aw_0_1st.bauer_listenerid=60beeb6431338b72c00bee59cbb7d33b&amp;listenerid=60beeb6431338b72c00bee59cbb7d33b&amp;aw_0_1st.permutiveid=f41bfaad-62d1-4e99-ab33-6596a60b67c8&amp;aw_0_1st.octave_permutive=&amp;aw_0_1st.skey=1667146249&amp;aw_0_1st.playerid=BMUK_ukrp&amp;amsparams=playerid:BMUK_ukrp;skey=1667146249;=&amp;&amp;___cb=847186687055402</t>
  </si>
  <si>
    <t>https://uk-assets.radioplayer.org/image/609_86x48_2020-09-01-09-36-27-226.png</t>
  </si>
  <si>
    <t>https://radioplayer.planetradio.co.uk/gax&amp;region=gax</t>
  </si>
  <si>
    <t>Greatest Hits Radio (Berkshire &amp; North Hampshire)</t>
  </si>
  <si>
    <t>https://stream-mz.planetradio.co.uk/net2berkshire.aac?direct=true&amp;aw_0_1st.bauer_listenerid=60beeb6431338b72c00bee59cbb7d33b&amp;listenerid=60beeb6431338b72c00bee59cbb7d33b&amp;aw_0_1st.permutiveid=f41bfaad-62d1-4e99-ab33-6596a60b67c8&amp;aw_0_1st.octave_permutive=&amp;aw_0_1st.skey=1667146251&amp;aw_0_1st.playerid=BMUK_ukrp&amp;amsparams=playerid:BMUK_ukrp;skey=1667146251;=&amp;&amp;___cb=220284378758566</t>
  </si>
  <si>
    <t>https://uk-assets.radioplayer.org/image/611_86x48_2020-09-01-10-06-21-917.png</t>
  </si>
  <si>
    <t>https://radioplayer.planetradio.co.uk/gav&amp;region=gav</t>
  </si>
  <si>
    <t>Greatest Hits Radio (Birmingham &amp; the West Midlands)</t>
  </si>
  <si>
    <t>https://stream-mz.planetradio.co.uk/net2westmidlands.aac?direct=true&amp;aw_0_1st.bauer_listenerid=60beeb6431338b72c00bee59cbb7d33b&amp;listenerid=60beeb6431338b72c00bee59cbb7d33b&amp;aw_0_1st.permutiveid=f41bfaad-62d1-4e99-ab33-6596a60b67c8&amp;aw_0_1st.octave_permutive=&amp;aw_0_1st.skey=1667146253&amp;aw_0_1st.playerid=BMUK_ukrp&amp;amsparams=playerid:BMUK_ukrp;skey=1667146253;=&amp;&amp;___cb=429198757651354</t>
  </si>
  <si>
    <t>https://uk-assets.radioplayer.org/image/583_86x48_2020-11-04-16-06-23-420.png</t>
  </si>
  <si>
    <t>https://radioplayer.planetradio.co.uk/ghb&amp;region=ghb</t>
  </si>
  <si>
    <t>Greatest Hits Radio (Black Country &amp; Shropshire)</t>
  </si>
  <si>
    <t>https://stream-mz.planetradio.co.uk/net2wolverhampton.aac?direct=true&amp;aw_0_1st.bauer_listenerid=60beeb6431338b72c00bee59cbb7d33b&amp;listenerid=60beeb6431338b72c00bee59cbb7d33b&amp;aw_0_1st.permutiveid=f41bfaad-62d1-4e99-ab33-6596a60b67c8&amp;aw_0_1st.octave_permutive=&amp;aw_0_1st.skey=1667146256&amp;aw_0_1st.playerid=BMUK_ukrp&amp;amsparams=playerid:BMUK_ukrp;skey=1667146256;=&amp;&amp;___cb=506511266937169</t>
  </si>
  <si>
    <t>https://uk-assets.radioplayer.org/image/622_86x48_2020-09-01-10-06-23-665.png</t>
  </si>
  <si>
    <t>https://radioplayer.planetradio.co.uk/gak&amp;region=gak</t>
  </si>
  <si>
    <t>https://stream-mz.planetradio.co.uk/net2bristol.aac?direct=true&amp;aw_0_1st.bauer_listenerid=60beeb6431338b72c00bee59cbb7d33b&amp;listenerid=60beeb6431338b72c00bee59cbb7d33b&amp;aw_0_1st.permutiveid=f41bfaad-62d1-4e99-ab33-6596a60b67c8&amp;aw_0_1st.octave_permutive=&amp;aw_0_1st.skey=1667146259&amp;aw_0_1st.playerid=BMUK_ukrp&amp;amsparams=playerid:BMUK_ukrp;skey=1667146259;=&amp;&amp;___cb=894237362747671</t>
  </si>
  <si>
    <t>https://uk-assets.radioplayer.org/image/612_86x48_2020-09-01-10-06-24-800.png</t>
  </si>
  <si>
    <t>https://radioplayer.planetradio.co.uk/gaw&amp;region=gaw</t>
  </si>
  <si>
    <t>Greatest Hits Radio (Bucks, Beds and Herts)</t>
  </si>
  <si>
    <t>https://stream-mz.planetradio.co.uk/net2aylesbury.aac?direct=true&amp;aw_0_1st.bauer_listenerid=60beeb6431338b72c00bee59cbb7d33b&amp;listenerid=60beeb6431338b72c00bee59cbb7d33b&amp;aw_0_1st.permutiveid=f41bfaad-62d1-4e99-ab33-6596a60b67c8&amp;aw_0_1st.octave_permutive=&amp;aw_0_1st.skey=1667146262&amp;aw_0_1st.playerid=BMUK_ukrp&amp;amsparams=playerid:BMUK_ukrp;skey=1667146262;=&amp;&amp;___cb=913153534736633</t>
  </si>
  <si>
    <t>https://uk-assets.radioplayer.org/image/618_86x48_2020-09-01-10-06-25-838.png</t>
  </si>
  <si>
    <t>https://radioplayer.planetradio.co.uk/ghz&amp;region=ghz</t>
  </si>
  <si>
    <t>https://stream.apollo.audio/gh0/hi/aac/?direct=true&amp;do_not_geostream=true&amp;aw_0_1st.bauer_listenerid=60beeb6431338b72c00bee59cbb7d33b&amp;listenerid=60beeb6431338b72c00bee59cbb7d33b&amp;aw_0_1st.permutiveid=f41bfaad-62d1-4e99-ab33-6596a60b67c8&amp;aw_0_1st.octave_permutive=&amp;aw_0_1st.skey=1667146265&amp;aw_0_1st.playerid=BMUK_ukrp&amp;amsparams=playerid:BMUK_ukrp;skey=1667146265;=&amp;&amp;___cb=600303506627818</t>
  </si>
  <si>
    <t>https://uk-assets.radioplayer.org/image/594_86x48_2020-11-26-15-36-42-579.png</t>
  </si>
  <si>
    <t>https://radioplayer.planetradio.co.uk/gh0&amp;region=gh0</t>
  </si>
  <si>
    <t>Greatest Hits Radio (Cornwall)</t>
  </si>
  <si>
    <t>https://stream-mz.planetradio.co.uk/net2cornwall.aac?direct=true&amp;aw_0_1st.bauer_listenerid=60beeb6431338b72c00bee59cbb7d33b&amp;listenerid=60beeb6431338b72c00bee59cbb7d33b&amp;aw_0_1st.permutiveid=f41bfaad-62d1-4e99-ab33-6596a60b67c8&amp;aw_0_1st.octave_permutive=&amp;aw_0_1st.skey=1667146268&amp;aw_0_1st.playerid=BMUK_ukrp&amp;amsparams=playerid:BMUK_ukrp;skey=1667146268;=&amp;&amp;___cb=911353906466160</t>
  </si>
  <si>
    <t>https://uk-assets.radioplayer.org/image/600_86x48_2020-12-09-11-06-04-836.png</t>
  </si>
  <si>
    <t>https://radioplayer.planetradio.co.uk/ghi&amp;region=ghi</t>
  </si>
  <si>
    <t>Greatest Hits Radio (Coventry &amp; Warwickshire)</t>
  </si>
  <si>
    <t>https://stream-mz.planetradio.co.uk/net2coventry.aac?direct=true&amp;aw_0_1st.bauer_listenerid=60beeb6431338b72c00bee59cbb7d33b&amp;listenerid=60beeb6431338b72c00bee59cbb7d33b&amp;aw_0_1st.permutiveid=f41bfaad-62d1-4e99-ab33-6596a60b67c8&amp;aw_0_1st.octave_permutive=&amp;aw_0_1st.skey=1667146271&amp;aw_0_1st.playerid=BMUK_ukrp&amp;amsparams=playerid:BMUK_ukrp;skey=1667146271;=&amp;&amp;___cb=444771083555277</t>
  </si>
  <si>
    <t>https://uk-assets.radioplayer.org/image/585_86x48_2020-11-04-16-06-29-648.png</t>
  </si>
  <si>
    <t>https://radioplayer.planetradio.co.uk/gh9&amp;region=gh9</t>
  </si>
  <si>
    <t>https://stream-mz.planetradio.co.uk/net2devon.aac?direct=true&amp;aw_0_1st.bauer_listenerid=60beeb6431338b72c00bee59cbb7d33b&amp;listenerid=60beeb6431338b72c00bee59cbb7d33b&amp;aw_0_1st.permutiveid=f41bfaad-62d1-4e99-ab33-6596a60b67c8&amp;aw_0_1st.octave_permutive=&amp;aw_0_1st.skey=1667146274&amp;aw_0_1st.playerid=BMUK_ukrp&amp;amsparams=playerid:BMUK_ukrp;skey=1667146274;=&amp;&amp;___cb=870106219213909</t>
  </si>
  <si>
    <t>https://uk-assets.radioplayer.org/image/604_86x48_2020-11-26-15-36-45-551.png</t>
  </si>
  <si>
    <t>https://radioplayer.planetradio.co.uk/gau&amp;region=gau</t>
  </si>
  <si>
    <t>Greatest Hits Radio (Dorset)</t>
  </si>
  <si>
    <t>https://stream.apollo.audio/gwd/hi/aac/?direct=true&amp;do_not_geostream=true&amp;aw_0_1st.bauer_listenerid=60beeb6431338b72c00bee59cbb7d33b&amp;listenerid=60beeb6431338b72c00bee59cbb7d33b&amp;aw_0_1st.permutiveid=f41bfaad-62d1-4e99-ab33-6596a60b67c8&amp;aw_0_1st.octave_permutive=&amp;aw_0_1st.skey=1667146277&amp;aw_0_1st.playerid=BMUK_ukrp&amp;amsparams=playerid:BMUK_ukrp;skey=1667146277;=&amp;&amp;___cb=612967875427035</t>
  </si>
  <si>
    <t>https://uk-assets.radioplayer.org/image/627_86x48_2020-11-26-15-36-46-611.png</t>
  </si>
  <si>
    <t>https://radioplayer.planetradio.co.uk/gwd&amp;region=gwd</t>
  </si>
  <si>
    <t>Greatest Hits Radio (East Midlands)</t>
  </si>
  <si>
    <t>https://stream-mz.planetradio.co.uk/net2eastmidlands.aac?direct=true&amp;aw_0_1st.bauer_listenerid=60beeb6431338b72c00bee59cbb7d33b&amp;listenerid=60beeb6431338b72c00bee59cbb7d33b&amp;aw_0_1st.permutiveid=f41bfaad-62d1-4e99-ab33-6596a60b67c8&amp;aw_0_1st.octave_permutive=&amp;aw_0_1st.skey=1667146280&amp;aw_0_1st.playerid=BMUK_ukrp&amp;amsparams=playerid:BMUK_ukrp;skey=1667146280;=&amp;&amp;___cb=203893132581523</t>
  </si>
  <si>
    <t>https://uk-assets.radioplayer.org/image/603_86x48_2020-12-09-11-06-09-73.png</t>
  </si>
  <si>
    <t>https://radioplayer.planetradio.co.uk/ghj&amp;region=ghj</t>
  </si>
  <si>
    <t>Greatest Hits Radio (East Yorkshire and Northern Lincolnshire)</t>
  </si>
  <si>
    <t>https://stream-mz.planetradio.co.uk/net2hull.aac?direct=true&amp;aw_0_1st.bauer_listenerid=60beeb6431338b72c00bee59cbb7d33b&amp;listenerid=60beeb6431338b72c00bee59cbb7d33b&amp;aw_0_1st.permutiveid=f41bfaad-62d1-4e99-ab33-6596a60b67c8&amp;aw_0_1st.octave_permutive=&amp;aw_0_1st.skey=1667146282&amp;aw_0_1st.playerid=BMUK_ukrp&amp;amsparams=playerid:BMUK_ukrp;skey=1667146282;=&amp;&amp;___cb=934675582138973</t>
  </si>
  <si>
    <t>https://uk-assets.radioplayer.org/image/578_86x48_2020-11-04-16-06-37-713.png</t>
  </si>
  <si>
    <t>https://radioplayer.planetradio.co.uk/gh8&amp;region=gh8</t>
  </si>
  <si>
    <t>Greatest Hits Radio (Essex)</t>
  </si>
  <si>
    <t>https://stream-mz.planetradio.co.uk/net2essex.aac?direct=true&amp;aw_0_1st.bauer_listenerid=60beeb6431338b72c00bee59cbb7d33b&amp;listenerid=60beeb6431338b72c00bee59cbb7d33b&amp;aw_0_1st.permutiveid=f41bfaad-62d1-4e99-ab33-6596a60b67c8&amp;aw_0_1st.octave_permutive=&amp;aw_0_1st.skey=1667146286&amp;aw_0_1st.playerid=BMUK_ukrp&amp;amsparams=playerid:BMUK_ukrp;skey=1667146286;=&amp;&amp;___cb=726114260911350</t>
  </si>
  <si>
    <t>https://uk-assets.radioplayer.org/image/614_86x48_2020-11-26-15-36-48-434.png</t>
  </si>
  <si>
    <t>https://radioplayer.planetradio.co.uk/ghe&amp;region=ghe</t>
  </si>
  <si>
    <t>Greatest Hits Radio (Gloucestershire)</t>
  </si>
  <si>
    <t>https://stream-mz.planetradio.co.uk/net2gloucester.aac?direct=true&amp;aw_0_1st.bauer_listenerid=60beeb6431338b72c00bee59cbb7d33b&amp;listenerid=60beeb6431338b72c00bee59cbb7d33b&amp;aw_0_1st.permutiveid=f41bfaad-62d1-4e99-ab33-6596a60b67c8&amp;aw_0_1st.octave_permutive=&amp;aw_0_1st.skey=1667146288&amp;aw_0_1st.playerid=BMUK_ukrp&amp;amsparams=playerid:BMUK_ukrp;skey=1667146288;=&amp;&amp;___cb=634157168175807</t>
  </si>
  <si>
    <t>https://uk-assets.radioplayer.org/image/610_86x48_2020-11-26-15-36-49-561.png</t>
  </si>
  <si>
    <t>https://radioplayer.planetradio.co.uk/gar&amp;region=gar</t>
  </si>
  <si>
    <t>Greatest Hits Radio (Grimsby)</t>
  </si>
  <si>
    <t>https://stream-mz.planetradio.co.uk/net2grimsby.aac?direct=true&amp;aw_0_1st.bauer_listenerid=60beeb6431338b72c00bee59cbb7d33b&amp;listenerid=60beeb6431338b72c00bee59cbb7d33b&amp;aw_0_1st.permutiveid=f41bfaad-62d1-4e99-ab33-6596a60b67c8&amp;aw_0_1st.octave_permutive=&amp;aw_0_1st.skey=1667146291&amp;aw_0_1st.playerid=BMUK_ukrp&amp;amsparams=playerid:BMUK_ukrp;skey=1667146291;=&amp;&amp;___cb=124189472096964</t>
  </si>
  <si>
    <t>https://uk-assets.radioplayer.org/image/613_86x48_2020-11-26-15-36-50-682.png</t>
  </si>
  <si>
    <t>https://radioplayer.planetradio.co.uk/ghc&amp;region=ghc</t>
  </si>
  <si>
    <t>Greatest Hits Radio (Harrogate and the Yorkshire Dales)</t>
  </si>
  <si>
    <t>https://stream-mz.planetradio.co.uk/net2harrogate.aac?direct=true&amp;aw_0_1st.bauer_listenerid=60beeb6431338b72c00bee59cbb7d33b&amp;listenerid=60beeb6431338b72c00bee59cbb7d33b&amp;aw_0_1st.permutiveid=f41bfaad-62d1-4e99-ab33-6596a60b67c8&amp;aw_0_1st.octave_permutive=&amp;aw_0_1st.skey=1667146294&amp;aw_0_1st.playerid=BMUK_ukrp&amp;amsparams=playerid:BMUK_ukrp;skey=1667146294;=&amp;&amp;___cb=865017093934302</t>
  </si>
  <si>
    <t>https://uk-assets.radioplayer.org/image/625_86x48_2020-11-26-15-36-51-758.png</t>
  </si>
  <si>
    <t>https://radioplayer.planetradio.co.uk/gao&amp;region=gao</t>
  </si>
  <si>
    <t>Greatest Hits Radio (Hereford &amp; Worcester)</t>
  </si>
  <si>
    <t>https://stream-mz.planetradio.co.uk/net2worcester.aac?direct=true&amp;aw_0_1st.bauer_listenerid=60beeb6431338b72c00bee59cbb7d33b&amp;listenerid=60beeb6431338b72c00bee59cbb7d33b&amp;aw_0_1st.permutiveid=f41bfaad-62d1-4e99-ab33-6596a60b67c8&amp;aw_0_1st.octave_permutive=&amp;aw_0_1st.skey=1667146297&amp;aw_0_1st.playerid=BMUK_ukrp&amp;amsparams=playerid:BMUK_ukrp;skey=1667146297;=&amp;&amp;___cb=991476707603314</t>
  </si>
  <si>
    <t>https://uk-assets.radioplayer.org/image/586_86x48_2020-11-04-16-06-36-475.png</t>
  </si>
  <si>
    <t>https://radioplayer.planetradio.co.uk/gha&amp;region=gha</t>
  </si>
  <si>
    <t>Greatest Hits Radio (Lancashire)</t>
  </si>
  <si>
    <t>https://stream-mz.planetradio.co.uk/magic999.aac?direct=true&amp;aw_0_1st.bauer_listenerid=60beeb6431338b72c00bee59cbb7d33b&amp;listenerid=60beeb6431338b72c00bee59cbb7d33b&amp;aw_0_1st.permutiveid=f41bfaad-62d1-4e99-ab33-6596a60b67c8&amp;aw_0_1st.octave_permutive=&amp;aw_0_1st.skey=1667146300&amp;aw_0_1st.playerid=BMUK_ukrp&amp;amsparams=playerid:BMUK_ukrp;skey=1667146300;=&amp;&amp;___cb=884428815766534</t>
  </si>
  <si>
    <t>https://uk-assets.radioplayer.org/image/574_86x48_2020-11-04-16-06-45-801.png</t>
  </si>
  <si>
    <t>https://radioplayer.planetradio.co.uk/gh6&amp;region=gh6</t>
  </si>
  <si>
    <t>https://stream-mz.planetradio.co.uk/magic828.aac?direct=true&amp;aw_0_1st.bauer_listenerid=60beeb6431338b72c00bee59cbb7d33b&amp;listenerid=60beeb6431338b72c00bee59cbb7d33b&amp;aw_0_1st.permutiveid=f41bfaad-62d1-4e99-ab33-6596a60b67c8&amp;aw_0_1st.octave_permutive=&amp;aw_0_1st.skey=1667146303&amp;aw_0_1st.playerid=BMUK_ukrp&amp;amsparams=playerid:BMUK_ukrp;skey=1667146303;=&amp;&amp;___cb=445052400979496</t>
  </si>
  <si>
    <t>https://uk-assets.radioplayer.org/image/576_86x48_2020-11-04-16-06-38-867.png</t>
  </si>
  <si>
    <t>https://radioplayer.planetradio.co.uk/gh2&amp;region=gh2</t>
  </si>
  <si>
    <t>Greatest Hits Radio (Liverpool &amp; the North West)</t>
  </si>
  <si>
    <t>https://stream-mz.planetradio.co.uk/magic1548.aac?direct=true&amp;aw_0_1st.bauer_listenerid=60beeb6431338b72c00bee59cbb7d33b&amp;listenerid=60beeb6431338b72c00bee59cbb7d33b&amp;aw_0_1st.permutiveid=f41bfaad-62d1-4e99-ab33-6596a60b67c8&amp;aw_0_1st.octave_permutive=&amp;aw_0_1st.skey=1667146306&amp;aw_0_1st.playerid=BMUK_ukrp&amp;amsparams=playerid:BMUK_ukrp;skey=1667146306;=&amp;&amp;___cb=134243536938474</t>
  </si>
  <si>
    <t>https://uk-assets.radioplayer.org/image/575_86x48_2020-11-04-16-06-40-50.png</t>
  </si>
  <si>
    <t>https://radioplayer.planetradio.co.uk/gh3&amp;region=gh3</t>
  </si>
  <si>
    <t>Greatest Hits Radio (Lincolnshire)</t>
  </si>
  <si>
    <t>https://stream-mz.planetradio.co.uk/net2lincoln.aac?direct=true&amp;aw_0_1st.bauer_listenerid=60beeb6431338b72c00bee59cbb7d33b&amp;listenerid=60beeb6431338b72c00bee59cbb7d33b&amp;aw_0_1st.permutiveid=f41bfaad-62d1-4e99-ab33-6596a60b67c8&amp;aw_0_1st.octave_permutive=&amp;aw_0_1st.skey=1667146309&amp;aw_0_1st.playerid=BMUK_ukrp&amp;amsparams=playerid:BMUK_ukrp;skey=1667146309;=&amp;&amp;___cb=966953881870316</t>
  </si>
  <si>
    <t>https://uk-assets.radioplayer.org/image/605_86x48_2020-11-26-15-36-58-187.png</t>
  </si>
  <si>
    <t>https://radioplayer.planetradio.co.uk/ghu&amp;region=ghu</t>
  </si>
  <si>
    <t>Greatest Hits Radio (Manchester and the North West)</t>
  </si>
  <si>
    <t>https://stream-mz.planetradio.co.uk/magic1152m.aac?direct=true&amp;aw_0_1st.bauer_listenerid=60beeb6431338b72c00bee59cbb7d33b&amp;listenerid=60beeb6431338b72c00bee59cbb7d33b&amp;aw_0_1st.permutiveid=f41bfaad-62d1-4e99-ab33-6596a60b67c8&amp;aw_0_1st.octave_permutive=&amp;aw_0_1st.skey=1667146311&amp;aw_0_1st.playerid=BMUK_ukrp&amp;amsparams=playerid:BMUK_ukrp;skey=1667146311;=&amp;&amp;___cb=583386045986620</t>
  </si>
  <si>
    <t>https://uk-assets.radioplayer.org/image/571_86x48_2020-11-04-16-06-41-904.png</t>
  </si>
  <si>
    <t>https://radioplayer.planetradio.co.uk/gh1&amp;region=gh1</t>
  </si>
  <si>
    <t>Greatest Hits Radio (Norfolk and North Suffolk)</t>
  </si>
  <si>
    <t>https://stream-mz.planetradio.co.uk/net2norfolk.aac?direct=true&amp;aw_0_1st.bauer_listenerid=60beeb6431338b72c00bee59cbb7d33b&amp;listenerid=60beeb6431338b72c00bee59cbb7d33b&amp;aw_0_1st.permutiveid=f41bfaad-62d1-4e99-ab33-6596a60b67c8&amp;aw_0_1st.octave_permutive=&amp;aw_0_1st.skey=1667146315&amp;aw_0_1st.playerid=BMUK_ukrp&amp;amsparams=playerid:BMUK_ukrp;skey=1667146315;=&amp;&amp;___cb=731041126659679</t>
  </si>
  <si>
    <t>https://uk-assets.radioplayer.org/image/608_86x48_2020-08-31-15-35-44-533.png</t>
  </si>
  <si>
    <t>https://radioplayer.planetradio.co.uk/gaa&amp;region=gaa</t>
  </si>
  <si>
    <t>Greatest Hits Radio (North East)</t>
  </si>
  <si>
    <t>https://stream-mz.planetradio.co.uk/magic1152n.aac?direct=true&amp;aw_0_1st.bauer_listenerid=60beeb6431338b72c00bee59cbb7d33b&amp;listenerid=60beeb6431338b72c00bee59cbb7d33b&amp;aw_0_1st.permutiveid=f41bfaad-62d1-4e99-ab33-6596a60b67c8&amp;aw_0_1st.octave_permutive=&amp;aw_0_1st.skey=1667146316&amp;aw_0_1st.playerid=BMUK_ukrp&amp;amsparams=playerid:BMUK_ukrp;skey=1667146316;=&amp;&amp;___cb=964156989324341</t>
  </si>
  <si>
    <t>https://uk-assets.radioplayer.org/image/572_86x48_2020-11-04-16-06-43-318.png</t>
  </si>
  <si>
    <t>https://radioplayer.planetradio.co.uk/gh5&amp;region=gh5</t>
  </si>
  <si>
    <t>https://stream-mz.planetradio.co.uk/net2chesterfield.aac?direct=true&amp;aw_0_1st.bauer_listenerid=60beeb6431338b72c00bee59cbb7d33b&amp;listenerid=60beeb6431338b72c00bee59cbb7d33b&amp;aw_0_1st.permutiveid=f41bfaad-62d1-4e99-ab33-6596a60b67c8&amp;aw_0_1st.octave_permutive=&amp;aw_0_1st.skey=1667146319&amp;aw_0_1st.playerid=BMUK_ukrp&amp;amsparams=playerid:BMUK_ukrp;skey=1667146319;=&amp;&amp;___cb=617237031062578</t>
  </si>
  <si>
    <t>https://uk-assets.radioplayer.org/image/619_86x48_2020-11-26-15-37-01-799.png</t>
  </si>
  <si>
    <t>https://radioplayer.planetradio.co.uk/gab&amp;region=gab</t>
  </si>
  <si>
    <t>Greatest Hits Radio (Plymouth)</t>
  </si>
  <si>
    <t>https://stream-mz.planetradio.co.uk/net2plymouth.aac?direct=true&amp;aw_0_1st.bauer_listenerid=60beeb6431338b72c00bee59cbb7d33b&amp;listenerid=60beeb6431338b72c00bee59cbb7d33b&amp;aw_0_1st.permutiveid=f41bfaad-62d1-4e99-ab33-6596a60b67c8&amp;aw_0_1st.octave_permutive=&amp;aw_0_1st.skey=1667146322&amp;aw_0_1st.playerid=BMUK_ukrp&amp;amsparams=playerid:BMUK_ukrp;skey=1667146322;=&amp;&amp;___cb=239316728930756</t>
  </si>
  <si>
    <t>https://uk-assets.radioplayer.org/image/634_86x48_2020-11-26-15-37-03-124.png</t>
  </si>
  <si>
    <t>https://radioplayer.planetradio.co.uk/ghp&amp;region=ghp</t>
  </si>
  <si>
    <t>Greatest Hits Radio (Somerset)</t>
  </si>
  <si>
    <t>https://stream-mz.planetradio.co.uk/net2somerset.aac?direct=true&amp;aw_0_1st.bauer_listenerid=60beeb6431338b72c00bee59cbb7d33b&amp;listenerid=60beeb6431338b72c00bee59cbb7d33b&amp;aw_0_1st.permutiveid=f41bfaad-62d1-4e99-ab33-6596a60b67c8&amp;aw_0_1st.octave_permutive=&amp;aw_0_1st.skey=1667146325&amp;aw_0_1st.playerid=BMUK_ukrp&amp;amsparams=playerid:BMUK_ukrp;skey=1667146325;=&amp;&amp;___cb=163836598060058</t>
  </si>
  <si>
    <t>https://uk-assets.radioplayer.org/image/601_86x48_2020-11-26-15-37-06-360.png</t>
  </si>
  <si>
    <t>https://radioplayer.planetradio.co.uk/gat&amp;region=gat</t>
  </si>
  <si>
    <t>https://stream-mz.planetradio.co.uk/net2southcoast.aac?direct=true&amp;aw_0_1st.bauer_listenerid=60beeb6431338b72c00bee59cbb7d33b&amp;listenerid=60beeb6431338b72c00bee59cbb7d33b&amp;aw_0_1st.permutiveid=f41bfaad-62d1-4e99-ab33-6596a60b67c8&amp;aw_0_1st.octave_permutive=&amp;aw_0_1st.skey=1667146327&amp;aw_0_1st.playerid=BMUK_ukrp&amp;amsparams=playerid:BMUK_ukrp;skey=1667146327;=&amp;&amp;___cb=49802809151629</t>
  </si>
  <si>
    <t>https://uk-assets.radioplayer.org/image/602_86x48_2020-11-26-15-37-05-295.png</t>
  </si>
  <si>
    <t>https://radioplayer.planetradio.co.uk/gah&amp;region=gah</t>
  </si>
  <si>
    <t>Greatest Hits Radio (Salisbury)</t>
  </si>
  <si>
    <t>https://stream-mz.planetradio.co.uk/net2salisbury.aac?direct=true&amp;aw_0_1st.bauer_listenerid=60beeb6431338b72c00bee59cbb7d33b&amp;listenerid=60beeb6431338b72c00bee59cbb7d33b&amp;aw_0_1st.permutiveid=f41bfaad-62d1-4e99-ab33-6596a60b67c8&amp;aw_0_1st.octave_permutive=&amp;aw_0_1st.skey=1667146332&amp;aw_0_1st.playerid=BMUK_ukrp&amp;amsparams=playerid:BMUK_ukrp;skey=1667146332;=&amp;&amp;___cb=626648145465270</t>
  </si>
  <si>
    <t>https://uk-assets.radioplayer.org/image/624_86x48_2020-11-26-15-37-07-529.png</t>
  </si>
  <si>
    <t>https://radioplayer.planetradio.co.uk/ght&amp;region=ght</t>
  </si>
  <si>
    <t>Greatest Hits Radio (South Yorkshire)</t>
  </si>
  <si>
    <t>https://stream-mz.planetradio.co.uk/magicam.aac?direct=true&amp;aw_0_1st.bauer_listenerid=60beeb6431338b72c00bee59cbb7d33b&amp;listenerid=60beeb6431338b72c00bee59cbb7d33b&amp;aw_0_1st.permutiveid=f41bfaad-62d1-4e99-ab33-6596a60b67c8&amp;aw_0_1st.octave_permutive=&amp;aw_0_1st.skey=1667146335&amp;aw_0_1st.playerid=BMUK_ukrp&amp;amsparams=playerid:BMUK_ukrp;skey=1667146335;=&amp;&amp;___cb=280051459356662</t>
  </si>
  <si>
    <t>https://uk-assets.radioplayer.org/image/577_86x48_2020-11-04-16-06-49-147.png</t>
  </si>
  <si>
    <t>https://radioplayer.planetradio.co.uk/gh4&amp;region=gh4</t>
  </si>
  <si>
    <t>https://stream-mz.planetradio.co.uk/net2southwales.aac?direct=true&amp;aw_0_1st.bauer_listenerid=60beeb6431338b72c00bee59cbb7d33b&amp;listenerid=60beeb6431338b72c00bee59cbb7d33b&amp;aw_0_1st.permutiveid=f41bfaad-62d1-4e99-ab33-6596a60b67c8&amp;aw_0_1st.octave_permutive=&amp;aw_0_1st.skey=1667146340&amp;aw_0_1st.playerid=BMUK_ukrp&amp;amsparams=playerid:BMUK_ukrp;skey=1667146340;=&amp;&amp;___cb=542050587662935</t>
  </si>
  <si>
    <t>https://uk-assets.radioplayer.org/image/626_86x48_2020-11-26-15-37-09-774.png</t>
  </si>
  <si>
    <t>https://radioplayer.planetradio.co.uk/gap&amp;region=gap</t>
  </si>
  <si>
    <t>Greatest Hits Radio (Stamford &amp; Rutland)</t>
  </si>
  <si>
    <t>https://stream-mz.planetradio.co.uk/net2rutland.aac?direct=true&amp;aw_0_1st.bauer_listenerid=60beeb6431338b72c00bee59cbb7d33b&amp;listenerid=60beeb6431338b72c00bee59cbb7d33b&amp;aw_0_1st.permutiveid=f41bfaad-62d1-4e99-ab33-6596a60b67c8&amp;aw_0_1st.octave_permutive=&amp;aw_0_1st.skey=1667146343&amp;aw_0_1st.playerid=BMUK_ukrp&amp;amsparams=playerid:BMUK_ukrp;skey=1667146343;=&amp;&amp;___cb=304628557222228</t>
  </si>
  <si>
    <t>https://uk-assets.radioplayer.org/image/620_86x48_2020-11-26-15-37-13-222.png</t>
  </si>
  <si>
    <t>https://radioplayer.planetradio.co.uk/gag&amp;region=gag</t>
  </si>
  <si>
    <t>Greatest Hits Radio (Staffordshire &amp; Cheshire)</t>
  </si>
  <si>
    <t>https://stream-mz.planetradio.co.uk/net2stoke.aac?direct=true&amp;aw_0_1st.bauer_listenerid=60beeb6431338b72c00bee59cbb7d33b&amp;listenerid=60beeb6431338b72c00bee59cbb7d33b&amp;aw_0_1st.permutiveid=f41bfaad-62d1-4e99-ab33-6596a60b67c8&amp;aw_0_1st.octave_permutive=&amp;aw_0_1st.skey=1667146346&amp;aw_0_1st.playerid=BMUK_ukrp&amp;amsparams=playerid:BMUK_ukrp;skey=1667146346;=&amp;&amp;___cb=388268292122324</t>
  </si>
  <si>
    <t>https://uk-assets.radioplayer.org/image/623_86x48_2020-11-26-15-37-14-398.png</t>
  </si>
  <si>
    <t>https://radioplayer.planetradio.co.uk/gal&amp;region=gal</t>
  </si>
  <si>
    <t>Greatest Hits Radio (Surrey &amp; East Hampshire)</t>
  </si>
  <si>
    <t>https://stream-mz.planetradio.co.uk/net2surrey.aac?direct=true&amp;aw_0_1st.bauer_listenerid=60beeb6431338b72c00bee59cbb7d33b&amp;listenerid=60beeb6431338b72c00bee59cbb7d33b&amp;aw_0_1st.permutiveid=f41bfaad-62d1-4e99-ab33-6596a60b67c8&amp;aw_0_1st.octave_permutive=&amp;aw_0_1st.skey=1667146349&amp;aw_0_1st.playerid=BMUK_ukrp&amp;amsparams=playerid:BMUK_ukrp;skey=1667146349;=&amp;&amp;___cb=506135204897829</t>
  </si>
  <si>
    <t>https://uk-assets.radioplayer.org/image/615_86x48_2020-11-26-15-37-15-493.png</t>
  </si>
  <si>
    <t>https://radioplayer.planetradio.co.uk/gas&amp;region=gas</t>
  </si>
  <si>
    <t>Greatest Hits Radio (Ipswich &amp; Suffolk)</t>
  </si>
  <si>
    <t>https://stream-mz.planetradio.co.uk/net2suffolk.aac?direct=true&amp;aw_0_1st.bauer_listenerid=60beeb6431338b72c00bee59cbb7d33b&amp;listenerid=60beeb6431338b72c00bee59cbb7d33b&amp;aw_0_1st.permutiveid=f41bfaad-62d1-4e99-ab33-6596a60b67c8&amp;aw_0_1st.octave_permutive=&amp;aw_0_1st.skey=1667146352&amp;aw_0_1st.playerid=BMUK_ukrp&amp;amsparams=playerid:BMUK_ukrp;skey=1667146352;=&amp;&amp;___cb=175370235848544</t>
  </si>
  <si>
    <t>https://uk-assets.radioplayer.org/image/629_86x48_2020-11-26-15-37-16-652.png</t>
  </si>
  <si>
    <t>https://radioplayer.planetradio.co.uk/gba&amp;region=gba</t>
  </si>
  <si>
    <t>https://stream-mz.planetradio.co.uk/net2swindon.aac?direct=true&amp;aw_0_1st.bauer_listenerid=60beeb6431338b72c00bee59cbb7d33b&amp;listenerid=60beeb6431338b72c00bee59cbb7d33b&amp;aw_0_1st.permutiveid=f41bfaad-62d1-4e99-ab33-6596a60b67c8&amp;aw_0_1st.octave_permutive=&amp;aw_0_1st.skey=1667146354&amp;aw_0_1st.playerid=BMUK_ukrp&amp;amsparams=playerid:BMUK_ukrp;skey=1667146354;=&amp;&amp;___cb=374005946405401</t>
  </si>
  <si>
    <t>https://uk-assets.radioplayer.org/image/621_86x48_2020-11-26-15-37-17-819.png</t>
  </si>
  <si>
    <t>https://radioplayer.planetradio.co.uk/gai&amp;region=gai</t>
  </si>
  <si>
    <t>Greatest Hits Radio (Teesside)</t>
  </si>
  <si>
    <t>https://stream-mz.planetradio.co.uk/magic1170.aac?direct=true&amp;aw_0_1st.bauer_listenerid=60beeb6431338b72c00bee59cbb7d33b&amp;listenerid=60beeb6431338b72c00bee59cbb7d33b&amp;aw_0_1st.permutiveid=f41bfaad-62d1-4e99-ab33-6596a60b67c8&amp;aw_0_1st.octave_permutive=&amp;aw_0_1st.skey=1667146357&amp;aw_0_1st.playerid=BMUK_ukrp&amp;amsparams=playerid:BMUK_ukrp;skey=1667146357;=&amp;&amp;___cb=263283834541380</t>
  </si>
  <si>
    <t>https://uk-assets.radioplayer.org/image/573_86x48_2020-11-04-16-06-51-16.png</t>
  </si>
  <si>
    <t>https://radioplayer.planetradio.co.uk/gh7&amp;region=gh7</t>
  </si>
  <si>
    <t>https://stream-mz.planetradio.co.uk/net2sussex.aac?direct=true&amp;aw_0_1st.bauer_listenerid=60beeb6431338b72c00bee59cbb7d33b&amp;listenerid=60beeb6431338b72c00bee59cbb7d33b&amp;aw_0_1st.permutiveid=f41bfaad-62d1-4e99-ab33-6596a60b67c8&amp;aw_0_1st.octave_permutive=&amp;aw_0_1st.skey=1667146359&amp;aw_0_1st.playerid=BMUK_ukrp&amp;amsparams=playerid:BMUK_ukrp;skey=1667146359;=&amp;&amp;___cb=723046984371133</t>
  </si>
  <si>
    <t>https://uk-assets.radioplayer.org/image/606_86x48_2020-11-26-15-37-18-859.png</t>
  </si>
  <si>
    <t>https://radioplayer.planetradio.co.uk/gan&amp;region=gan</t>
  </si>
  <si>
    <t>Greatest Hits Radio (West Norfolk)</t>
  </si>
  <si>
    <t>https://stream-mz.planetradio.co.uk/net2westnorfolk.aac?direct=true&amp;aw_0_1st.bauer_listenerid=60beeb6431338b72c00bee59cbb7d33b&amp;listenerid=60beeb6431338b72c00bee59cbb7d33b&amp;aw_0_1st.permutiveid=f41bfaad-62d1-4e99-ab33-6596a60b67c8&amp;aw_0_1st.octave_permutive=&amp;aw_0_1st.skey=1667146361&amp;aw_0_1st.playerid=BMUK_ukrp&amp;amsparams=playerid:BMUK_ukrp;skey=1667146361;=&amp;&amp;___cb=284209536394607</t>
  </si>
  <si>
    <t>https://uk-assets.radioplayer.org/image/616_86x48_2020-11-26-15-37-19-975.png</t>
  </si>
  <si>
    <t>https://radioplayer.planetradio.co.uk/ghx&amp;region=ghx</t>
  </si>
  <si>
    <t>Greatest Hits Radio (Wigan &amp; St Helens)</t>
  </si>
  <si>
    <t>https://stream-mz.planetradio.co.uk/net2wigan.aac?direct=true&amp;aw_0_1st.bauer_listenerid=60beeb6431338b72c00bee59cbb7d33b&amp;listenerid=60beeb6431338b72c00bee59cbb7d33b&amp;aw_0_1st.permutiveid=f41bfaad-62d1-4e99-ab33-6596a60b67c8&amp;aw_0_1st.octave_permutive=&amp;aw_0_1st.skey=1667146364&amp;aw_0_1st.playerid=BMUK_ukrp&amp;amsparams=playerid:BMUK_ukrp;skey=1667146364;=&amp;&amp;___cb=411245168847857</t>
  </si>
  <si>
    <t>https://uk-assets.radioplayer.org/image/628_86x48_2020-12-09-11-06-39-595.png</t>
  </si>
  <si>
    <t>https://radioplayer.planetradio.co.uk/gbe&amp;region=gbe</t>
  </si>
  <si>
    <t>https://stream-mz.planetradio.co.uk/net2yorkshirecoast.aac?direct=true&amp;aw_0_1st.bauer_listenerid=60beeb6431338b72c00bee59cbb7d33b&amp;listenerid=60beeb6431338b72c00bee59cbb7d33b&amp;aw_0_1st.permutiveid=f41bfaad-62d1-4e99-ab33-6596a60b67c8&amp;aw_0_1st.octave_permutive=&amp;aw_0_1st.skey=1667146368&amp;aw_0_1st.playerid=BMUK_ukrp&amp;amsparams=playerid:BMUK_ukrp;skey=1667146368;=&amp;&amp;___cb=915806009845600</t>
  </si>
  <si>
    <t>https://uk-assets.radioplayer.org/image/631_86x48_2020-11-26-15-37-23-614.png</t>
  </si>
  <si>
    <t>https://radioplayer.planetradio.co.uk/ghv&amp;region=ghv</t>
  </si>
  <si>
    <t>https://stream-mz.planetradio.co.uk/net2london.aac?direct=true&amp;aw_0_1st.bauer_listenerid=60beeb6431338b72c00bee59cbb7d33b&amp;listenerid=60beeb6431338b72c00bee59cbb7d33b&amp;aw_0_1st.permutiveid=f41bfaad-62d1-4e99-ab33-6596a60b67c8&amp;aw_0_1st.octave_permutive=&amp;aw_0_1st.skey=1667146371&amp;aw_0_1st.playerid=BMUK_ukrp&amp;amsparams=playerid:BMUK_ukrp;skey=1667146371;=&amp;&amp;___cb=763917703374904</t>
  </si>
  <si>
    <t>https://uk-assets.radioplayer.org/image/635_86x48_2021-11-05-11-10-29-690.png</t>
  </si>
  <si>
    <t>https://radioplayer.planetradio.co.uk/gho&amp;region=gho</t>
  </si>
  <si>
    <t>https://stream-al.planetradio.co.uk/hallam.aac?direct=true&amp;aw_0_1st.bauer_listenerid=60beeb6431338b72c00bee59cbb7d33b&amp;listenerid=60beeb6431338b72c00bee59cbb7d33b&amp;aw_0_1st.permutiveid=f41bfaad-62d1-4e99-ab33-6596a60b67c8&amp;aw_0_1st.octave_permutive=&amp;aw_0_1st.skey=1667146372&amp;aw_0_1st.playerid=BMUK_ukrp&amp;amsparams=playerid:BMUK_ukrp;skey=1667146372;=&amp;&amp;___cb=647365449061065</t>
  </si>
  <si>
    <t>https://uk-assets.radioplayer.org/image/566_86x48_2017-03-07-17-00-55-690.png</t>
  </si>
  <si>
    <t>https://radioplayer.planetradio.co.uk/ha1</t>
  </si>
  <si>
    <t>Huntingdon Community Radio</t>
  </si>
  <si>
    <t>https://stream.cambridge105.co.uk:8443/hcr-radioplayer-low?=&amp;&amp;___cb=772880553269866</t>
  </si>
  <si>
    <t>https://uk-assets.radioplayer.org/image/1383_86x48_2020-05-12-14-36-13-222.png</t>
  </si>
  <si>
    <t>https://radioplayer.hcrfm.co.uk/</t>
  </si>
  <si>
    <t>https://stream.cambridge105.co.uk:8443/hcr-radioplayer-high?=&amp;&amp;___cb=41183558456894</t>
  </si>
  <si>
    <t>https://stream.cambridge105.co.uk:8443/hcr-radioplayer-high?=&amp;&amp;___cb=610147634235059</t>
  </si>
  <si>
    <t>https://media-ssl.musicradio.com/Heart00s?=&amp;&amp;___cb=284638196705854</t>
  </si>
  <si>
    <t>https://uk-assets.radioplayer.org/image/293_86x48_2022-05-20-10-39-05-679.png</t>
  </si>
  <si>
    <t>https://radioplayer.musicradio.com/radio/heart00s/uk</t>
  </si>
  <si>
    <t>https://media-ssl.musicradio.com/Heart70s?=&amp;&amp;___cb=413979253736429</t>
  </si>
  <si>
    <t>https://uk-assets.radioplayer.org/image/288_86x48_2019-08-30-08-36-34-871.png</t>
  </si>
  <si>
    <t>https://radioplayer.musicradio.com/radio/heart70s/uk</t>
  </si>
  <si>
    <t>https://media-ssl.musicradio.com/Heart80s?=&amp;&amp;___cb=198417057771927</t>
  </si>
  <si>
    <t>https://uk-assets.radioplayer.org/image/285_86x48_2017-03-08-15-15-31-192.png</t>
  </si>
  <si>
    <t>https://radioplayer.musicradio.com/radio/heart80s/uk</t>
  </si>
  <si>
    <t>https://media-ssl.musicradio.com/Heart90s?=&amp;&amp;___cb=765963082599109</t>
  </si>
  <si>
    <t>https://uk-assets.radioplayer.org/image/289_86x48_2019-08-29-05-36-22-339.png</t>
  </si>
  <si>
    <t>https://radioplayer.musicradio.com/radio/heart90s/uk</t>
  </si>
  <si>
    <t>Heart Bath</t>
  </si>
  <si>
    <t>https://media-ssl.musicradio.com/HeartBath?=&amp;&amp;___cb=854006455573213</t>
  </si>
  <si>
    <t>https://uk-assets.radioplayer.org/image/216_86x48_2017-03-07-17-00-57-214.png</t>
  </si>
  <si>
    <t>https://radioplayer.musicradio.com/radio/heart/bath</t>
  </si>
  <si>
    <t>Heart Beds - Bedford</t>
  </si>
  <si>
    <t>https://media-ssl.musicradio.com/HeartBedfordshire?=&amp;&amp;___cb=561179935927201</t>
  </si>
  <si>
    <t>https://uk-assets.radioplayer.org/image/208_86x48_2017-03-07-17-00-57-537.png</t>
  </si>
  <si>
    <t>https://radioplayer.musicradio.com/radio/heart/bedford</t>
  </si>
  <si>
    <t>https://media-ssl.musicradio.com/HeartBedsBucksHerts?=&amp;&amp;___cb=957286373820373</t>
  </si>
  <si>
    <t>https://uk-assets.radioplayer.org/image/207_86x48_2017-03-07-17-00-57-763.png</t>
  </si>
  <si>
    <t>https://radioplayer.musicradio.com/radio/heart/luton</t>
  </si>
  <si>
    <t>https://media-ssl.musicradio.com/HeartBerkshire?=&amp;&amp;___cb=532940052916405</t>
  </si>
  <si>
    <t>https://uk-assets.radioplayer.org/image/205_86x48_2017-03-07-17-00-57-978.png</t>
  </si>
  <si>
    <t>https://radioplayer.musicradio.com/radio/heart/berkshire</t>
  </si>
  <si>
    <t>Heart Bristol</t>
  </si>
  <si>
    <t>https://media-ssl.musicradio.com/HeartBristol?=&amp;&amp;___cb=923385084983434</t>
  </si>
  <si>
    <t>https://uk-assets.radioplayer.org/image/217_86x48_2017-03-07-17-00-58-141.png</t>
  </si>
  <si>
    <t>https://radioplayer.musicradio.com/radio/heart/bristol</t>
  </si>
  <si>
    <t>Heart Cambridgeshire</t>
  </si>
  <si>
    <t>https://media-ssl.musicradio.com/HeartCambridge?=&amp;&amp;___cb=780637101404067</t>
  </si>
  <si>
    <t>https://uk-assets.radioplayer.org/image/203_86x48_2017-03-07-17-00-58-367.png</t>
  </si>
  <si>
    <t>https://radioplayer.musicradio.com/radio/heart/cambridge</t>
  </si>
  <si>
    <t>Heart Cornwall</t>
  </si>
  <si>
    <t>https://media-ssl.musicradio.com/HeartCornwall?=&amp;&amp;___cb=532741098671627</t>
  </si>
  <si>
    <t>https://uk-assets.radioplayer.org/image/1221_86x48_2017-03-07-17-00-58-709.png</t>
  </si>
  <si>
    <t>https://radioplayer.musicradio.com/radio/heart/cornwall</t>
  </si>
  <si>
    <t>Heart Crawley</t>
  </si>
  <si>
    <t>https://media-ssl.musicradio.com/HeartCrawley?=&amp;&amp;___cb=897561855071847</t>
  </si>
  <si>
    <t>https://uk-assets.radioplayer.org/image/201_86x48_2017-03-07-17-01-06-400.png</t>
  </si>
  <si>
    <t>https://radioplayer.musicradio.com/radio/heart/crawley</t>
  </si>
  <si>
    <t>https://media-ssl.musicradio.com/HeartDance?=&amp;&amp;___cb=476744347680995</t>
  </si>
  <si>
    <t>http://dsa.musicradio.com/StationLogos/86x48/heart_dance.jpg</t>
  </si>
  <si>
    <t>https://radioplayer.musicradio.com/radio/heartdance/uk</t>
  </si>
  <si>
    <t>Heart Devon - Barnstaple</t>
  </si>
  <si>
    <t>https://media-ssl.musicradio.com/HeartNorthDevon?=&amp;&amp;___cb=595870280566498</t>
  </si>
  <si>
    <t>https://uk-assets.radioplayer.org/image/236_86x48_2017-03-07-17-01-03-246.png</t>
  </si>
  <si>
    <t>https://radioplayer.musicradio.com/radio/heart/barnstaple</t>
  </si>
  <si>
    <t>Heart Devon - Exeter</t>
  </si>
  <si>
    <t>https://media-ssl.musicradio.com/HeartEastDevon?=&amp;&amp;___cb=623571707446348</t>
  </si>
  <si>
    <t>https://uk-assets.radioplayer.org/image/221_86x48_2017-03-07-17-00-59-652.png</t>
  </si>
  <si>
    <t>https://radioplayer.musicradio.com/radio/heart/exeter</t>
  </si>
  <si>
    <t>Heart Devon - South Hams</t>
  </si>
  <si>
    <t>https://media-ssl.musicradio.com/HeartSouthHams?=&amp;&amp;___cb=729432819718925</t>
  </si>
  <si>
    <t>https://uk-assets.radioplayer.org/image/229_86x48_2017-03-07-17-01-06-173.png</t>
  </si>
  <si>
    <t>https://radioplayer.musicradio.com/radio/heart/southhams</t>
  </si>
  <si>
    <t>https://media-ssl.musicradio.com/HeartUK?=&amp;&amp;___cb=164763706530904</t>
  </si>
  <si>
    <t>https://uk-assets.radioplayer.org/image/283_86x48_2021-07-22-14-11-11-587.png</t>
  </si>
  <si>
    <t>https://radioplayer.musicradio.com/radio/heart/uk</t>
  </si>
  <si>
    <t>Heart Dorset</t>
  </si>
  <si>
    <t>https://media-ssl.musicradio.com/HeartDorset?=&amp;&amp;___cb=943706434490411</t>
  </si>
  <si>
    <t>https://uk-assets.radioplayer.org/image/204_86x48_2017-03-07-17-00-58-876.png</t>
  </si>
  <si>
    <t>https://radioplayer.musicradio.com/radio/heart/dorset</t>
  </si>
  <si>
    <t>Heart Essex - Chelmsford</t>
  </si>
  <si>
    <t>https://media-ssl.musicradio.com/HeartEssex?=&amp;&amp;___cb=491603182747144</t>
  </si>
  <si>
    <t>https://uk-assets.radioplayer.org/image/212_86x48_2017-03-07-17-00-59-430.png</t>
  </si>
  <si>
    <t>https://radioplayer.musicradio.com/radio/heart/chelmsford</t>
  </si>
  <si>
    <t>Heart Essex - Colchester</t>
  </si>
  <si>
    <t>https://media-ssl.musicradio.com/HeartColchester?=&amp;&amp;___cb=374987208275442</t>
  </si>
  <si>
    <t>https://uk-assets.radioplayer.org/image/227_86x48_2017-03-07-17-00-58-503.png</t>
  </si>
  <si>
    <t>https://radioplayer.musicradio.com/radio/heart/colchester</t>
  </si>
  <si>
    <t>Heart Essex - Harlow</t>
  </si>
  <si>
    <t>https://media-ssl.musicradio.com/HeartHarlow?=&amp;&amp;___cb=762030308619883</t>
  </si>
  <si>
    <t>https://uk-assets.radioplayer.org/image/202_86x48_2017-03-07-17-01-00-772.png</t>
  </si>
  <si>
    <t>https://radioplayer.musicradio.com/radio/heart/harlow</t>
  </si>
  <si>
    <t>Heart Hampshire</t>
  </si>
  <si>
    <t>https://media-ssl.musicradio.com/HeartHampshire?=&amp;&amp;___cb=868525723381886</t>
  </si>
  <si>
    <t>https://uk-assets.radioplayer.org/image/224_86x48_2017-03-07-17-01-05-536.png</t>
  </si>
  <si>
    <t>https://radioplayer.musicradio.com/radio/heart/hampshire</t>
  </si>
  <si>
    <t>Heart Kent</t>
  </si>
  <si>
    <t>https://media-ssl.musicradio.com/HeartKent?=&amp;&amp;___cb=296283079016152</t>
  </si>
  <si>
    <t>https://uk-assets.radioplayer.org/image/220_86x48_2017-03-07-17-01-00-954.png</t>
  </si>
  <si>
    <t>https://radioplayer.musicradio.com/radio/heart/kent</t>
  </si>
  <si>
    <t>https://media-ssl.musicradio.com/HeartLondon?=&amp;&amp;___cb=870056893184170</t>
  </si>
  <si>
    <t>https://uk-assets.radioplayer.org/image/232_86x48_2017-03-07-17-01-01-105.png</t>
  </si>
  <si>
    <t>https://radioplayer.musicradio.com/radio/heart/london</t>
  </si>
  <si>
    <t>Heart Milton Keynes</t>
  </si>
  <si>
    <t>https://media-ssl.musicradio.com/HeartMiltonKeynes?=&amp;&amp;___cb=255851985545149</t>
  </si>
  <si>
    <t>https://uk-assets.radioplayer.org/image/213_86x48_2017-03-07-17-01-01-257.png</t>
  </si>
  <si>
    <t>https://radioplayer.musicradio.com/radio/heart/miltonkeynes</t>
  </si>
  <si>
    <t>Heart North Hertfordshire</t>
  </si>
  <si>
    <t>https://media-ssl.musicradio.com/HeartHertsNorth?=&amp;&amp;___cb=925304439781497</t>
  </si>
  <si>
    <t>https://uk-assets.radioplayer.org/image/292_86x48_2021-07-22-14-11-25-968.png</t>
  </si>
  <si>
    <t>https://radioplayer.musicradio.com/radio/heart/hertfordshirenorth/</t>
  </si>
  <si>
    <t>https://media-ssl.musicradio.com/HeartNorfolk?=&amp;&amp;___cb=571949522907857</t>
  </si>
  <si>
    <t>https://uk-assets.radioplayer.org/image/209_86x48_2017-03-07-17-01-01-619.png</t>
  </si>
  <si>
    <t>https://radioplayer.musicradio.com/radio/heart/norfolk</t>
  </si>
  <si>
    <t>Heart North Lancs &amp; Cumbria</t>
  </si>
  <si>
    <t>https://media-ssl.musicradio.com/HeartNorthLancsCumbria?=&amp;&amp;___cb=181180128482933</t>
  </si>
  <si>
    <t>https://uk-assets.radioplayer.org/image/286_86x48_2018-03-01-12-01-12-622.png</t>
  </si>
  <si>
    <t>https://radioplayer.musicradio.com/radio/heart/northlancs</t>
  </si>
  <si>
    <t>Heart North West</t>
  </si>
  <si>
    <t>https://media-ssl.musicradio.com/HeartNorthWest?=&amp;&amp;___cb=689250133925804</t>
  </si>
  <si>
    <t>https://uk-assets.radioplayer.org/image/231_86x48_2017-03-07-17-01-03-849.png</t>
  </si>
  <si>
    <t>https://radioplayer.musicradio.com/radio/heart/northwest</t>
  </si>
  <si>
    <t>Heart Northamptonshire</t>
  </si>
  <si>
    <t>https://media-ssl.musicradio.com/HeartNorthamptonshire?=&amp;&amp;___cb=311840519487160</t>
  </si>
  <si>
    <t>https://uk-assets.radioplayer.org/image/223_86x48_2017-03-07-17-01-04-601.png</t>
  </si>
  <si>
    <t>https://radioplayer.musicradio.com/radio/heart/northants</t>
  </si>
  <si>
    <t>Heart Oxfordshire</t>
  </si>
  <si>
    <t>https://media-ssl.musicradio.com/HeartOxfordshire?=&amp;&amp;___cb=596526841294322</t>
  </si>
  <si>
    <t>https://uk-assets.radioplayer.org/image/214_86x48_2017-03-07-17-01-04-790.png</t>
  </si>
  <si>
    <t>https://radioplayer.musicradio.com/radio/heart/oxfordshire</t>
  </si>
  <si>
    <t>Heart Peterborough</t>
  </si>
  <si>
    <t>https://media-ssl.musicradio.com/HeartPeterborough?=&amp;&amp;___cb=995838399284788</t>
  </si>
  <si>
    <t>https://uk-assets.radioplayer.org/image/219_86x48_2017-03-07-17-01-05-69.png</t>
  </si>
  <si>
    <t>https://radioplayer.musicradio.com/radio/heart/peterborough</t>
  </si>
  <si>
    <t>Heart Plymouth</t>
  </si>
  <si>
    <t>https://media-ssl.musicradio.com/HeartPlymouth?=&amp;&amp;___cb=624378315842486</t>
  </si>
  <si>
    <t>https://uk-assets.radioplayer.org/image/206_86x48_2017-03-07-17-01-05-400.png</t>
  </si>
  <si>
    <t>https://radioplayer.musicradio.com/radio/heart/plymouth</t>
  </si>
  <si>
    <t>Heart Scotland - East</t>
  </si>
  <si>
    <t>https://media-ssl.musicradio.com/HeartEdinburgh?=&amp;&amp;___cb=531951316280505</t>
  </si>
  <si>
    <t>https://uk-assets.radioplayer.org/image/282_86x48_2017-03-07-17-01-05-823.png</t>
  </si>
  <si>
    <t>https://radioplayer.musicradio.com/radio/heart/edinburgh</t>
  </si>
  <si>
    <t>Heart Scotland - West</t>
  </si>
  <si>
    <t>https://media-ssl.musicradio.com/HeartGlasgow?=&amp;&amp;___cb=288206120901079</t>
  </si>
  <si>
    <t>https://uk-assets.radioplayer.org/image/281_86x48_2017-03-07-17-01-05-940.png</t>
  </si>
  <si>
    <t>https://radioplayer.musicradio.com/radio/heart/glasgow</t>
  </si>
  <si>
    <t>Heart Somerset</t>
  </si>
  <si>
    <t>https://media-ssl.musicradio.com/HeartSomerset?=&amp;&amp;___cb=530558409202966</t>
  </si>
  <si>
    <t>https://uk-assets.radioplayer.org/image/225_86x48_2017-03-07-17-01-06-61.png</t>
  </si>
  <si>
    <t>https://radioplayer.musicradio.com/radio/heart/somerset</t>
  </si>
  <si>
    <t>Heart Suffolk</t>
  </si>
  <si>
    <t>https://media-ssl.musicradio.com/HeartSuffolk?=&amp;&amp;___cb=600143332154887</t>
  </si>
  <si>
    <t>https://uk-assets.radioplayer.org/image/228_86x48_2017-03-07-17-01-06-298.png</t>
  </si>
  <si>
    <t>https://radioplayer.musicradio.com/radio/heart/suffolk</t>
  </si>
  <si>
    <t>Heart Sussex</t>
  </si>
  <si>
    <t>https://media-ssl.musicradio.com/HeartSussex?=&amp;&amp;___cb=95814064395657</t>
  </si>
  <si>
    <t>https://uk-assets.radioplayer.org/image/230_86x48_2017-03-07-17-01-06-499.png</t>
  </si>
  <si>
    <t>https://radioplayer.musicradio.com/radio/heart/sussex</t>
  </si>
  <si>
    <t>Heart Teesside</t>
  </si>
  <si>
    <t>https://media-ssl.musicradio.com/HeartTeesside?=&amp;&amp;___cb=898365446000320</t>
  </si>
  <si>
    <t>https://uk-assets.radioplayer.org/image/280_86x48_2021-07-22-14-11-48-514.png</t>
  </si>
  <si>
    <t>https://radioplayer.musicradio.com/radio/heart/teesside</t>
  </si>
  <si>
    <t>Heart Devon - Torbay</t>
  </si>
  <si>
    <t>https://media-ssl.musicradio.com/HeartTorbay?=&amp;&amp;___cb=832692380058374</t>
  </si>
  <si>
    <t>https://uk-assets.radioplayer.org/image/215_86x48_2017-03-07-17-01-06-717.png</t>
  </si>
  <si>
    <t>https://radioplayer.musicradio.com/radio/heart/torbay</t>
  </si>
  <si>
    <t>https://media-ssl.musicradio.com/HeartTyneWear?=&amp;&amp;___cb=243682122185740</t>
  </si>
  <si>
    <t>https://uk-assets.radioplayer.org/image/252_86x48_2017-03-07-17-01-03-473.png</t>
  </si>
  <si>
    <t>https://radioplayer.musicradio.com/radio/heart/tynewear</t>
  </si>
  <si>
    <t>Heart Wales - North</t>
  </si>
  <si>
    <t>https://media-ssl.musicradio.com/HeartNorthWales?=&amp;&amp;___cb=780957473742511</t>
  </si>
  <si>
    <t>https://uk-assets.radioplayer.org/image/210_86x48_2017-03-07-17-01-01-415.png</t>
  </si>
  <si>
    <t>https://radioplayer.musicradio.com/radio/heart/northwales</t>
  </si>
  <si>
    <t>Heart Wales - South</t>
  </si>
  <si>
    <t>https://media-ssl.musicradio.com/HeartSouthWales?=&amp;&amp;___cb=330218143670433</t>
  </si>
  <si>
    <t>https://uk-assets.radioplayer.org/image/222_86x48_2017-03-07-17-01-05-656.png</t>
  </si>
  <si>
    <t>https://radioplayer.musicradio.com/radio/heart/southwales</t>
  </si>
  <si>
    <t>Heart Wales - West</t>
  </si>
  <si>
    <t>https://media-ssl.musicradio.com/HeartWestWales?=&amp;&amp;___cb=915812896515195</t>
  </si>
  <si>
    <t>https://uk-assets.radioplayer.org/image/211_86x48_2017-03-07-17-01-07-56.png</t>
  </si>
  <si>
    <t>https://radioplayer.musicradio.com/radio/heart/westwales</t>
  </si>
  <si>
    <t>https://media-ssl.musicradio.com/HeartWestMids?=&amp;&amp;___cb=152085758026221</t>
  </si>
  <si>
    <t>https://uk-assets.radioplayer.org/image/233_86x48_2017-03-07-17-01-07-297.png</t>
  </si>
  <si>
    <t>https://radioplayer.musicradio.com/radio/heart/westmids</t>
  </si>
  <si>
    <t>https://media-ssl.musicradio.com/HeartWiltshire?device=HeartAppV4&amp;=&amp;&amp;___cb=581852471837347</t>
  </si>
  <si>
    <t>https://uk-assets.radioplayer.org/image/218_86x48_2017-03-07-17-01-07-405.png</t>
  </si>
  <si>
    <t>https://radioplayer.musicradio.com/radio/heart/wiltshire</t>
  </si>
  <si>
    <t>https://media-ssl.musicradio.com/HeartYorkshire?=&amp;&amp;___cb=308505986865471</t>
  </si>
  <si>
    <t>https://uk-assets.radioplayer.org/image/235_86x48_2017-03-07-17-01-07-513.png</t>
  </si>
  <si>
    <t>https://radioplayer.musicradio.com/radio/heart/yorkshire</t>
  </si>
  <si>
    <t>https://stream-al.planetradio.co.uk/heat.aac?direct=true&amp;aw_0_1st.bauer_listenerid=60beeb6431338b72c00bee59cbb7d33b&amp;listenerid=60beeb6431338b72c00bee59cbb7d33b&amp;aw_0_1st.permutiveid=f41bfaad-62d1-4e99-ab33-6596a60b67c8&amp;aw_0_1st.octave_permutive=&amp;aw_0_1st.skey=1667146447&amp;aw_0_1st.playerid=BMUK_ukrp&amp;amsparams=playerid:BMUK_ukrp;skey=1667146447;=&amp;&amp;___cb=678998284826952</t>
  </si>
  <si>
    <t>https://uk-assets.radioplayer.org/image/567_86x48_2017-03-07-17-01-07-806.png</t>
  </si>
  <si>
    <t>https://radioplayer.planetradio.co.uk/htr</t>
  </si>
  <si>
    <t>Hits Radio (Dorset)</t>
  </si>
  <si>
    <t>https://stream-mz.planetradio.co.uk/net1bournemouth.aac?direct=true&amp;aw_0_1st.bauer_listenerid=60beeb6431338b72c00bee59cbb7d33b&amp;listenerid=60beeb6431338b72c00bee59cbb7d33b&amp;aw_0_1st.permutiveid=f41bfaad-62d1-4e99-ab33-6596a60b67c8&amp;aw_0_1st.octave_permutive=&amp;aw_0_1st.skey=1667146450&amp;aw_0_1st.playerid=BMUK_ukrp&amp;amsparams=playerid:BMUK_ukrp;skey=1667146450;=&amp;&amp;___cb=234851289054131</t>
  </si>
  <si>
    <t>https://uk-assets.radioplayer.org/image/637_86x48_2021-10-15-16-10-14-445.png</t>
  </si>
  <si>
    <t>https://radioplayer.planetradio.co.uk/hdo&amp;region=hdo</t>
  </si>
  <si>
    <t>Hits Radio (Bristol &amp; The South West)</t>
  </si>
  <si>
    <t>https://stream-mz.planetradio.co.uk/net1bristol.aac?direct=true&amp;aw_0_1st.bauer_listenerid=60beeb6431338b72c00bee59cbb7d33b&amp;listenerid=60beeb6431338b72c00bee59cbb7d33b&amp;aw_0_1st.permutiveid=f41bfaad-62d1-4e99-ab33-6596a60b67c8&amp;aw_0_1st.octave_permutive=&amp;aw_0_1st.skey=1667146452&amp;aw_0_1st.playerid=BMUK_ukrp&amp;amsparams=playerid:BMUK_ukrp;skey=1667146452;=&amp;&amp;___cb=591310865570401</t>
  </si>
  <si>
    <t>https://uk-assets.radioplayer.org/image/636_86x48_2021-10-15-16-10-17-253.png</t>
  </si>
  <si>
    <t>https://radioplayer.planetradio.co.uk/hrb&amp;region=hrb</t>
  </si>
  <si>
    <t>https://stream-al.planetradio.co.uk/key.aac?direct=true&amp;aw_0_1st.bauer_listenerid=60beeb6431338b72c00bee59cbb7d33b&amp;listenerid=60beeb6431338b72c00bee59cbb7d33b&amp;aw_0_1st.permutiveid=f41bfaad-62d1-4e99-ab33-6596a60b67c8&amp;aw_0_1st.octave_permutive=&amp;aw_0_1st.skey=1667146453&amp;aw_0_1st.playerid=BMUK_ukrp&amp;amsparams=playerid:BMUK_ukrp;skey=1667146453;=&amp;&amp;___cb=257588790498627</t>
  </si>
  <si>
    <t>https://uk-assets.radioplayer.org/image/527_86x48_2018-06-01-14-31-24-439.png</t>
  </si>
  <si>
    <t>https://radioplayer.planetradio.co.uk/hrm&amp;region=hrm</t>
  </si>
  <si>
    <t>https://stream-al.planetradio.co.uk/hitsradiopride.aac?direct=true&amp;aw_0_1st.bauer_listenerid=60beeb6431338b72c00bee59cbb7d33b&amp;listenerid=60beeb6431338b72c00bee59cbb7d33b&amp;aw_0_1st.permutiveid=f41bfaad-62d1-4e99-ab33-6596a60b67c8&amp;aw_0_1st.octave_permutive=&amp;aw_0_1st.skey=1667146457&amp;aw_0_1st.playerid=BMUK_ukrp&amp;amsparams=playerid:BMUK_ukrp;skey=1667146457;=&amp;&amp;___cb=4313066735675</t>
  </si>
  <si>
    <t>https://uk-assets.radioplayer.org/image/632_86x48_2020-11-26-15-38-02-352.png</t>
  </si>
  <si>
    <t>https://radioplayer.planetradio.co.uk/hi4</t>
  </si>
  <si>
    <t>https://stream-mz.planetradio.co.uk/net1southcoast.aac?direct=true&amp;aw_0_1st.bauer_listenerid=60beeb6431338b72c00bee59cbb7d33b&amp;listenerid=60beeb6431338b72c00bee59cbb7d33b&amp;aw_0_1st.permutiveid=f41bfaad-62d1-4e99-ab33-6596a60b67c8&amp;aw_0_1st.octave_permutive=&amp;aw_0_1st.skey=1667146459&amp;aw_0_1st.playerid=BMUK_ukrp&amp;amsparams=playerid:BMUK_ukrp;skey=1667146459;=&amp;&amp;___cb=602352883782741</t>
  </si>
  <si>
    <t>https://uk-assets.radioplayer.org/image/630_86x48_2020-12-09-11-07-29-891.png</t>
  </si>
  <si>
    <t>https://radioplayer.planetradio.co.uk/hi3&amp;region=hi3</t>
  </si>
  <si>
    <t>https://stream.apollo.audio/hit/hi/aac/?direct=true&amp;do_not_geostream=true&amp;aw_0_1st.bauer_listenerid=60beeb6431338b72c00bee59cbb7d33b&amp;listenerid=60beeb6431338b72c00bee59cbb7d33b&amp;aw_0_1st.permutiveid=f41bfaad-62d1-4e99-ab33-6596a60b67c8&amp;aw_0_1st.octave_permutive=&amp;aw_0_1st.skey=1667146462&amp;aw_0_1st.playerid=BMUK_ukrp&amp;amsparams=playerid:BMUK_ukrp;skey=1667146462;=&amp;&amp;___cb=966825356885911</t>
  </si>
  <si>
    <t>https://uk-assets.radioplayer.org/image/528_86x48_2018-06-01-14-31-25-331.png</t>
  </si>
  <si>
    <t>https://radioplayer.planetradio.co.uk/hit&amp;region=hit</t>
  </si>
  <si>
    <t>Ipswich Community Radio</t>
  </si>
  <si>
    <t>https://globalfeed.ipswichcommunityradio.com/ICR?=&amp;&amp;___cb=824302127221716</t>
  </si>
  <si>
    <t>https://uk-assets.radioplayer.org/image/1313_86x48_2017-03-07-17-01-10-819.png</t>
  </si>
  <si>
    <t>https://radioplayerhosting.com/stations/live/1313/index.html</t>
  </si>
  <si>
    <t>https://streams.happyhits.co.uk/ICR?=&amp;&amp;___cb=784250100449400</t>
  </si>
  <si>
    <t>https://stream.rcs.revma.com/epatpyebanzuv?=&amp;&amp;___cb=973507785267483</t>
  </si>
  <si>
    <t>https://uk-assets.radioplayer.org/image/1034_86x48_2017-11-27-15-45-41-447.png</t>
  </si>
  <si>
    <t>https://www.islandfm.com/radioplayer/</t>
  </si>
  <si>
    <t>https://securestreams4.autopo.st:1600?=&amp;&amp;___cb=658752897206619</t>
  </si>
  <si>
    <t>https://uk-assets.radioplayer.org/image/1117_86x48_2020-06-10-11-36-53-821.png</t>
  </si>
  <si>
    <t>https://www.iwradio.co.uk/radioplayer/</t>
  </si>
  <si>
    <t>https://s2.xrad.io:9598/listen.mp3?=&amp;&amp;___cb=290005337827609</t>
  </si>
  <si>
    <t>https://listen-jackmedia.sharp-stream.com/390_jack_2_64_aac?=&amp;cb=376843660362902&amp;cb=819915433441629&amp;companionAds=true&amp;aw_0_req.userConsentV2=CPhqXEAPhqXEAAGABCENCoCgAAAAAH_AAAwIAAAPAAIMBAEAAAEEAAAIEAIQAAQAiQAAAABBCABQBIAMqgACFwEQAIAACARAQgAAgBAQgwAAAACAJAAgBACwQCAACAQAAgAEAAAAEJAIDACwEAAAEAJCBAiACECAgiAAA5CAgIACCAFABAAAOJDACAMssACBBgBUIAJQAgJDIAYAjgBlgMjGgAQF0CIAwADgBlgEAANYAdUBkYkACAugIADAKWAp8BgQSASAAgARwAvgBlgEAANYAmUBaADbwoAEARQaAMAA4AZYBAACCgGsAOqHAAgLoFQBABHADLAZGA3IWABAXQOgDgFiALqAdQBdoDIwGiANvHgAgBFAC-IQBgBHAFDAOoAu0BkYDRCIAEAXxKAOAAgARwBdQDqALtAZGA28pAFAKGAk4BdoDIwG3lQAIAvg.YAAAAAAAAAAA&amp;listenerid=60beeb6431338b72c00bee59cbb7d33b&amp;__cb=261335724723865&amp;___cb=349486326894893</t>
  </si>
  <si>
    <t>https://uk-assets.radioplayer.org/image/1066_86x48_2022-07-02-11-42-45-684.png</t>
  </si>
  <si>
    <t>https://www.jack2.com/radioplayer/</t>
  </si>
  <si>
    <t>https://listen-jackmedia.sharp-stream.com/390_jack_2_128_mp3?=&amp;cb=809896392904254&amp;cb=397753227678282&amp;companionAds=true&amp;aw_0_req.userConsentV2=CPhqXEAPhqXEAAGABCENCoCgAAAAAH_AAAwIAAAPAAIMBAEAAAEEAAAIEAIQAAQAiQAAAABBCABQBIAMqgACFwEQAIAACARAQgAAgBAQgwAAAACAJAAgBACwQCAACAQAAgAEAAAAEJAIDACwEAAAEAJCBAiACECAgiAAA5CAgIACCAFABAAAOJDACAMssACBBgBUIAJQAgJDIAYAjgBlgMjGgAQF0CIAwADgBlgEAANYAdUBkYkACAugIADAKWAp8BgQSASAAgARwAvgBlgEAANYAmUBaADbwoAEARQaAMAA4AZYBAACCgGsAOqHAAgLoFQBABHADLAZGA3IWABAXQOgDgFiALqAdQBdoDIwGiANvHgAgBFAC-IQBgBHAFDAOoAu0BkYDRCIAEAXxKAOAAgARwBdQDqALtAZGA28pAFAKGAk4BdoDIwG3lQAIAvg.YAAAAAAAAAAA&amp;listenerid=60beeb6431338b72c00bee59cbb7d33b&amp;__cb=939702433574855&amp;___cb=979756155616325</t>
  </si>
  <si>
    <t>https://listen-jackmedia.sharp-stream.com/390_jack_3_64_aac?=&amp;cb=779716285331587&amp;cb=459808929422137&amp;companionAds=true&amp;aw_0_req.userConsentV2=CPhqXEAPhqXEAAGABCENCoCgAAAAAH_AAAwIAAAPAAIMBAEAAAEEAAAIEAIQAAQAiQAAAABBCABQBIAMqgACFwEQAIAACARAQgAAgBAQgwAAAACAJAAgBACwQCAACAQAAgAEAAAAEJAIDACwEAAAEAJCBAiACECAgiAAA5CAgIACCAFABAAAOJDACAMssACBBgBUIAJQAgJDIAYAjgBlgMjGgAQF0CIAwADgBlgEAANYAdUBkYkACAugIADAKWAp8BgQSASAAgARwAvgBlgEAANYAmUBaADbwoAEARQaAMAA4AZYBAACCgGsAOqHAAgLoFQBABHADLAZGA3IWABAXQOgDgFiALqAdQBdoDIwGiANvHgAgBFAC-IQBgBHAFDAOoAu0BkYDRCIAEAXxKAOAAgARwBdQDqALtAZGA28pAFAKGAk4BdoDIwG3lQAIAvg.YAAAAAAAAAAA&amp;listenerid=60beeb6431338b72c00bee59cbb7d33b&amp;__cb=232944314162645&amp;___cb=267636753986026</t>
  </si>
  <si>
    <t>https://uk-assets.radioplayer.org/image/1388_86x48_2022-07-02-12-15-30-700.png</t>
  </si>
  <si>
    <t>https://www.jack3.co.uk/radioplayer/</t>
  </si>
  <si>
    <t>https://listen-jackmedia.sharp-stream.com/390_jack_3_128_mp3?=&amp;cb=511768436567438&amp;cb=499888751353108&amp;companionAds=true&amp;aw_0_req.userConsentV2=CPhqXEAPhqXEAAGABCENCoCgAAAAAH_AAAwIAAAPAAIMBAEAAAEEAAAIEAIQAAQAiQAAAABBCABQBIAMqgACFwEQAIAACARAQgAAgBAQgwAAAACAJAAgBACwQCAACAQAAgAEAAAAEJAIDACwEAAAEAJCBAiACECAgiAAA5CAgIACCAFABAAAOJDACAMssACBBgBUIAJQAgJDIAYAjgBlgMjGgAQF0CIAwADgBlgEAANYAdUBkYkACAugIADAKWAp8BgQSASAAgARwAvgBlgEAANYAmUBaADbwoAEARQaAMAA4AZYBAACCgGsAOqHAAgLoFQBABHADLAZGA3IWABAXQOgDgFiALqAdQBdoDIwGiANvHgAgBFAC-IQBgBHAFDAOoAu0BkYDRCIAEAXxKAOAAgARwBdQDqALtAZGA28pAFAKGAk4BdoDIwG3lQAIAvg.YAAAAAAAAAAA&amp;listenerid=60beeb6431338b72c00bee59cbb7d33b&amp;__cb=920696627016329&amp;___cb=144597952350701</t>
  </si>
  <si>
    <t>JACK fm Oxfordshire</t>
  </si>
  <si>
    <t>https://listen-jackmedia.sharp-stream.com/390_jack_fm_64_aac?=&amp;cb=368408633473140&amp;cb=828700098043483&amp;cb=533420206505587&amp;companionAds=true&amp;aw_0_req.userConsentV2=CPhqXEAPhqXEAAGABCENCoCgAAAAAH_AAAwIAAAPAAIMBAEAAAEEAAAIEAIQAAQAiQAAAABBCABQBIAMqgACFwEQAIAACARAQgAAgBAQgwAAAACAJAAgBACwQCAACAQAAgAEAAAAEJAIDACwEAAAEAJCBAiACECAgiAAA5CAgIACCAFABAAAOJDACAMssACBBgBUIAJQAgJDIAYAjgBlgMjGgAQF0CIAwADgBlgEAANYAdUBkYkACAugIADAKWAp8BgQSASAAgARwAvgBlgEAANYAmUBaADbwoAEARQaAMAA4AZYBAACCgGsAOqHAAgLoFQBABHADLAZGA3IWABAXQOgDgFiALqAdQBdoDIwGiANvHgAgBFAC-IQBgBHAFDAOoAu0BkYDRCIAEAXxKAOAAgARwBdQDqALtAZGA28pAFAKGAk4BdoDIwG3lQAIAvg.YAAAAAAAAAAA&amp;listenerid=60beeb6431338b72c00bee59cbb7d33b&amp;__cb=101240190330404&amp;___cb=409579985195398</t>
  </si>
  <si>
    <t>https://uk-assets.radioplayer.org/image/1001_86x48_2022-07-01-15-40-05-514.png</t>
  </si>
  <si>
    <t>https://www.jackfm.co.uk/radioplayer/</t>
  </si>
  <si>
    <t>https://listen-jackmedia.sharp-stream.com/390_jack_fm_48_aac?=&amp;cb=538384210651415&amp;cb=547282112826982&amp;cb=52197579567198&amp;companionAds=true&amp;aw_0_req.userConsentV2=CPhqXEAPhqXEAAGABCENCoCgAAAAAH_AAAwIAAAPAAIMBAEAAAEEAAAIEAIQAAQAiQAAAABBCABQBIAMqgACFwEQAIAACARAQgAAgBAQgwAAAACAJAAgBACwQCAACAQAAgAEAAAAEJAIDACwEAAAEAJCBAiACECAgiAAA5CAgIACCAFABAAAOJDACAMssACBBgBUIAJQAgJDIAYAjgBlgMjGgAQF0CIAwADgBlgEAANYAdUBkYkACAugIADAKWAp8BgQSASAAgARwAvgBlgEAANYAmUBaADbwoAEARQaAMAA4AZYBAACCgGsAOqHAAgLoFQBABHADLAZGA3IWABAXQOgDgFiALqAdQBdoDIwGiANvHgAgBFAC-IQBgBHAFDAOoAu0BkYDRCIAEAXxKAOAAgARwBdQDqALtAZGA28pAFAKGAk4BdoDIwG3lQAIAvg.YAAAAAAAAAAA&amp;listenerid=60beeb6431338b72c00bee59cbb7d33b&amp;__cb=941818051208887&amp;___cb=485885914154244</t>
  </si>
  <si>
    <t>https://listen-jackmedia.sharp-stream.com/390_jack_fm_128_mp3?=&amp;cb=756378560276677&amp;cb=749981470068035&amp;cb=983681502545532&amp;companionAds=true&amp;aw_0_req.userConsentV2=CPhqXEAPhqXEAAGABCENCoCgAAAAAH_AAAwIAAAPAAIMBAEAAAEEAAAIEAIQAAQAiQAAAABBCABQBIAMqgACFwEQAIAACARAQgAAgBAQgwAAAACAJAAgBACwQCAACAQAAgAEAAAAEJAIDACwEAAAEAJCBAiACECAgiAAA5CAgIACCAFABAAAOJDACAMssACBBgBUIAJQAgJDIAYAjgBlgMjGgAQF0CIAwADgBlgEAANYAdUBkYkACAugIADAKWAp8BgQSASAAgARwAvgBlgEAANYAmUBaADbwoAEARQaAMAA4AZYBAACCgGsAOqHAAgLoFQBABHADLAZGA3IWABAXQOgDgFiALqAdQBdoDIwGiANvHgAgBFAC-IQBgBHAFDAOoAu0BkYDRCIAEAXxKAOAAgARwBdQDqALtAZGA28pAFAKGAk4BdoDIwG3lQAIAvg.YAAAAAAAAAAA&amp;listenerid=60beeb6431338b72c00bee59cbb7d33b&amp;__cb=389796156388516&amp;___cb=319218071645905</t>
  </si>
  <si>
    <t>https://stream-al.planetradio.co.uk/jazzhigh.aac?direct=true&amp;aw_0_1st.bauer_listenerid=60beeb6431338b72c00bee59cbb7d33b&amp;listenerid=60beeb6431338b72c00bee59cbb7d33b&amp;aw_0_1st.permutiveid=f41bfaad-62d1-4e99-ab33-6596a60b67c8&amp;aw_0_1st.octave_permutive=&amp;aw_0_1st.skey=1667146483&amp;aw_0_1st.playerid=BMUK_ukrp&amp;amsparams=playerid:BMUK_ukrp;skey=1667146483;=&amp;&amp;___cb=643206678088040</t>
  </si>
  <si>
    <t>https://uk-assets.radioplayer.org/image/1064_86x48_2017-03-07-17-01-15-671.png</t>
  </si>
  <si>
    <t>https://radioplayer.planetradio.co.uk/jaz</t>
  </si>
  <si>
    <t>Kennet Radio</t>
  </si>
  <si>
    <t>http://stream.kennetradio.com/128.mp3?=&amp;&amp;___cb=43416212791239</t>
  </si>
  <si>
    <t>https://uk-assets.radioplayer.org/image/1439_86x48_2018-07-30-12-01-54-689.png</t>
  </si>
  <si>
    <t>https://kennetradio.com/radioplayer/</t>
  </si>
  <si>
    <t>https://stream-al.planetradio.co.uk/kerrang.aac?direct=true&amp;aw_0_1st.bauer_listenerid=60beeb6431338b72c00bee59cbb7d33b&amp;listenerid=60beeb6431338b72c00bee59cbb7d33b&amp;aw_0_1st.permutiveid=f41bfaad-62d1-4e99-ab33-6596a60b67c8&amp;aw_0_1st.octave_permutive=&amp;aw_0_1st.skey=1667146486&amp;aw_0_1st.playerid=BMUK_ukrp&amp;amsparams=playerid:BMUK_ukrp;skey=1667146486;=&amp;&amp;___cb=286152164973809</t>
  </si>
  <si>
    <t>https://uk-assets.radioplayer.org/image/570_86x48_2017-03-07-17-01-16-840.png</t>
  </si>
  <si>
    <t>https://radioplayer.planetradio.co.uk/ker</t>
  </si>
  <si>
    <t>https://listen-kingdomfm.sharp-stream.com/kingdomfm.mp3?Device=RadioPlayer&amp;=&amp;&amp;___cb=222002996566279</t>
  </si>
  <si>
    <t>https://uk-assets.radioplayer.org/image/1141_86x48_2017-03-07-17-01-18-586.png</t>
  </si>
  <si>
    <t>https://www.kingdomfm.co.uk/radioplayer/</t>
  </si>
  <si>
    <t>https://stream-kiss.planetradio.co.uk/kissnational.aac?direct=true&amp;aw_0_1st.bauer_listenerid=60beeb6431338b72c00bee59cbb7d33b&amp;listenerid=60beeb6431338b72c00bee59cbb7d33b&amp;aw_0_1st.permutiveid=f41bfaad-62d1-4e99-ab33-6596a60b67c8&amp;aw_0_1st.octave_permutive=&amp;aw_0_1st.skey=1667146490&amp;aw_0_1st.playerid=BMUK_ukrp&amp;amsparams=playerid:BMUK_ukrp;skey=1667146490;=&amp;&amp;___cb=571556450802377</t>
  </si>
  <si>
    <t>https://uk-assets.radioplayer.org/image/550_86x48_2017-03-07-17-01-19-629.png</t>
  </si>
  <si>
    <t>https://radioplayer.planetradio.co.uk/ki1</t>
  </si>
  <si>
    <t>https://stream-kiss.planetradio.co.uk/kissfresh.aac?direct=true&amp;aw_0_1st.bauer_listenerid=60beeb6431338b72c00bee59cbb7d33b&amp;listenerid=60beeb6431338b72c00bee59cbb7d33b&amp;aw_0_1st.permutiveid=f41bfaad-62d1-4e99-ab33-6596a60b67c8&amp;aw_0_1st.octave_permutive=&amp;aw_0_1st.skey=1667146492&amp;aw_0_1st.playerid=BMUK_ukrp&amp;amsparams=playerid:BMUK_ukrp;skey=1667146492;=&amp;&amp;___cb=651457247787846</t>
  </si>
  <si>
    <t>https://uk-assets.radioplayer.org/image/1258_86x48_2017-03-07-17-01-20-127.png</t>
  </si>
  <si>
    <t>https://radioplayer.planetradio.co.uk/ki3</t>
  </si>
  <si>
    <t>https://stream-kiss.planetradio.co.uk/kisstory.aac?direct=true&amp;aw_0_1st.bauer_listenerid=60beeb6431338b72c00bee59cbb7d33b&amp;listenerid=60beeb6431338b72c00bee59cbb7d33b&amp;aw_0_1st.permutiveid=f41bfaad-62d1-4e99-ab33-6596a60b67c8&amp;aw_0_1st.octave_permutive=&amp;aw_0_1st.skey=1667146494&amp;aw_0_1st.playerid=BMUK_ukrp&amp;amsparams=playerid:BMUK_ukrp;skey=1667146494;=&amp;&amp;___cb=786084761718741</t>
  </si>
  <si>
    <t>https://uk-assets.radioplayer.org/image/1257_86x48_2017-03-07-17-01-20-316.png</t>
  </si>
  <si>
    <t>https://radioplayer.planetradio.co.uk/ki2</t>
  </si>
  <si>
    <t>https://listen-kmfm.sharp-stream.com/kmfmashford.mp3?=&amp;&amp;___cb=197797087198541</t>
  </si>
  <si>
    <t>https://uk-assets.radioplayer.org/image/1457_86x48_2019-01-30-23-22-58-765.png</t>
  </si>
  <si>
    <t>https://www.kmfm.co.uk/radioplayer/kmfm-ashford/</t>
  </si>
  <si>
    <t>kmfm Canterbury</t>
  </si>
  <si>
    <t>https://listen-kmfm.sharp-stream.com/kmfmcanterbury.mp3?=&amp;&amp;___cb=884265905112960</t>
  </si>
  <si>
    <t>https://uk-assets.radioplayer.org/image/1458_86x48_2019-01-30-23-23-00-786.png</t>
  </si>
  <si>
    <t>https://www.kmfm.co.uk/radioplayer/kmfm-canterbury/</t>
  </si>
  <si>
    <t>kmfm Dover &amp; Folkestone</t>
  </si>
  <si>
    <t>https://listen-kmfm.sharp-stream.com/kmfmdoverfolkestone.mp3?=&amp;&amp;___cb=361697142135701</t>
  </si>
  <si>
    <t>https://uk-assets.radioplayer.org/image/1459_86x48_2019-01-30-23-23-03-24.png</t>
  </si>
  <si>
    <t>https://www.kmfm.co.uk/radioplayer/kmfm-dover-and-folkestone/</t>
  </si>
  <si>
    <t>https://listen-kmfm.sharp-stream.com/kmfmmaidstone.mp3?=&amp;&amp;___cb=589005591340425</t>
  </si>
  <si>
    <t>https://uk-assets.radioplayer.org/image/1460_86x48_2019-01-30-23-23-05-151.png</t>
  </si>
  <si>
    <t>https://www.kmfm.co.uk/radioplayer/kmfm-maidstone/</t>
  </si>
  <si>
    <t>https://listen-kmfm.sharp-stream.com/kmfmmedway.mp3?=&amp;&amp;___cb=405405726656780</t>
  </si>
  <si>
    <t>https://uk-assets.radioplayer.org/image/1461_86x48_2019-01-30-23-23-07-374.png</t>
  </si>
  <si>
    <t>https://www.kmfm.co.uk/radioplayer/kmfm-medway/</t>
  </si>
  <si>
    <t>https://listen-kmfm.sharp-stream.com/kmfmthanet.mp3?=&amp;&amp;___cb=398334341780200</t>
  </si>
  <si>
    <t>https://uk-assets.radioplayer.org/image/1462_86x48_2019-01-30-23-23-09-729.png</t>
  </si>
  <si>
    <t>https://www.kmfm.co.uk/radioplayer/kmfm-thanet/</t>
  </si>
  <si>
    <t>https://listen-kmfm.sharp-stream.com/kmfmwestkent.mp3?=&amp;&amp;___cb=312156411663231</t>
  </si>
  <si>
    <t>https://uk-assets.radioplayer.org/image/1463_86x48_2019-01-30-23-23-11-732.png</t>
  </si>
  <si>
    <t>https://www.kmfm.co.uk/radioplayer/kmfm-west-kent/</t>
  </si>
  <si>
    <t>https://media-ssl.musicradio.com/LBCLondon?=&amp;&amp;___cb=672817495665952</t>
  </si>
  <si>
    <t>https://uk-assets.radioplayer.org/image/258_86x48_2020-08-12-16-38-12-321.png</t>
  </si>
  <si>
    <t>https://radioplayer.musicradio.com/radio/lbc/london/</t>
  </si>
  <si>
    <t>https://media-ssl.musicradio.com/LBCNewsLondon?=&amp;&amp;___cb=676066217343414</t>
  </si>
  <si>
    <t>https://uk-assets.radioplayer.org/image/259_86x48_2019-10-28-16-11-00-192.png</t>
  </si>
  <si>
    <t>https://radioplayer.musicradio.com/radio/lbcnews/london/</t>
  </si>
  <si>
    <t>https://media-ssl.musicradio.com/LBCNewsUK?=&amp;&amp;___cb=104816057002555</t>
  </si>
  <si>
    <t>https://uk-assets.radioplayer.org/image/261_86x48_2019-10-28-16-11-02-33.png</t>
  </si>
  <si>
    <t>https://radioplayer.musicradio.com/radio/lbcnews/uk/</t>
  </si>
  <si>
    <t>https://media-ssl.musicradio.com/LBCUK?=&amp;&amp;___cb=337754973263440</t>
  </si>
  <si>
    <t>https://uk-assets.radioplayer.org/image/260_86x48_2020-08-12-16-38-14-540.png</t>
  </si>
  <si>
    <t>https://radioplayer.musicradio.com/radio/lbc/uk/</t>
  </si>
  <si>
    <t>https://ukliferadio.radioca.st/stream?=&amp;&amp;___cb=816016406186738</t>
  </si>
  <si>
    <t>https://uk-assets.radioplayer.org/image/1547_86x48_2022-01-25-15-15-51-848.png</t>
  </si>
  <si>
    <t>https://www.liferadio.uk/radioplayer/</t>
  </si>
  <si>
    <t>https://ukliferadio.radioca.st/stream?=&amp;&amp;___cb=887126517140730</t>
  </si>
  <si>
    <t>Like ONE</t>
  </si>
  <si>
    <t>https://likeradiostream.com/likeoneuk?=&amp;&amp;___cb=677140827299073</t>
  </si>
  <si>
    <t>https://uk-assets.radioplayer.org/image/1538_86x48_2021-12-07-11-14-37-386.png</t>
  </si>
  <si>
    <t>http://radioplayer.like.radio</t>
  </si>
  <si>
    <t>https://likeradiostream.com/likeoneukaac?=&amp;&amp;___cb=977484521573701</t>
  </si>
  <si>
    <t>https://stream-mz.planetradio.co.uk/net1lincoln.aac?direct=true&amp;aw_0_1st.bauer_listenerid=60beeb6431338b72c00bee59cbb7d33b&amp;listenerid=60beeb6431338b72c00bee59cbb7d33b&amp;aw_0_1st.permutiveid=f41bfaad-62d1-4e99-ab33-6596a60b67c8&amp;aw_0_1st.octave_permutive=&amp;aw_0_1st.skey=1667146519&amp;aw_0_1st.playerid=BMUK_ukrp&amp;amsparams=playerid:BMUK_ukrp;skey=1667146519;=&amp;&amp;___cb=428590713029163</t>
  </si>
  <si>
    <t>https://uk-assets.radioplayer.org/image/1036_86x48_2020-12-09-11-08-42-466.png</t>
  </si>
  <si>
    <t>https://radioplayer.planetradio.co.uk/lfm</t>
  </si>
  <si>
    <t>https://streamingv2.shoutcast.com/love-eighties-radio?=&amp;&amp;___cb=366589826270825</t>
  </si>
  <si>
    <t>https://uk-assets.radioplayer.org/image/1382_86x48_2018-03-17-22-01-37-455.png</t>
  </si>
  <si>
    <t>http://www.love80sradio.co.uk/radioplayer/love-80s-manchester/</t>
  </si>
  <si>
    <t xml:space="preserve">Lyca Radio </t>
  </si>
  <si>
    <t>https://listen-lycaradio.sharp-stream.com/1458.mp3?=&amp;&amp;___cb=145181955438477</t>
  </si>
  <si>
    <t>https://uk-assets.radioplayer.org/image/1284_86x48_2022-10-24-17-15-55-547.png</t>
  </si>
  <si>
    <t>https://www.lycaradio.com/radio/</t>
  </si>
  <si>
    <t>https://listen-dilse.sharp-stream.com/1035.mp3?=&amp;&amp;___cb=931570492940712</t>
  </si>
  <si>
    <t>https://uk-assets.radioplayer.org/image/1285_86x48_2022-10-24-17-15-57-109.png</t>
  </si>
  <si>
    <t>https://www.lycagold.com/radio/</t>
  </si>
  <si>
    <t>Magic Radio</t>
  </si>
  <si>
    <t>https://stream.apollo.audio/mag/hi/aac/?direct=true&amp;do_not_geostream=true&amp;aw_0_1st.bauer_listenerid=60beeb6431338b72c00bee59cbb7d33b&amp;listenerid=60beeb6431338b72c00bee59cbb7d33b&amp;aw_0_1st.permutiveid=f41bfaad-62d1-4e99-ab33-6596a60b67c8&amp;aw_0_1st.octave_permutive=&amp;aw_0_1st.skey=1667146531&amp;aw_0_1st.playerid=BMUK_ukrp&amp;amsparams=playerid:BMUK_ukrp;skey=1667146531;=&amp;&amp;___cb=229350846190540</t>
  </si>
  <si>
    <t>https://uk-assets.radioplayer.org/image/553_86x48_2017-08-29-10-15-46-453.png</t>
  </si>
  <si>
    <t>https://radioplayer.planetradio.co.uk/mag</t>
  </si>
  <si>
    <t>https://stream-mz.planetradio.co.uk/magicchilled.aac?direct=true&amp;aw_0_1st.bauer_listenerid=60beeb6431338b72c00bee59cbb7d33b&amp;listenerid=60beeb6431338b72c00bee59cbb7d33b&amp;aw_0_1st.permutiveid=f41bfaad-62d1-4e99-ab33-6596a60b67c8&amp;aw_0_1st.octave_permutive=&amp;aw_0_1st.skey=1667146532&amp;aw_0_1st.playerid=BMUK_ukrp&amp;amsparams=playerid:BMUK_ukrp;skey=1667146532;=&amp;&amp;___cb=31444339471904</t>
  </si>
  <si>
    <t>https://uk-assets.radioplayer.org/image/548_86x48_2017-08-29-10-15-47-905.png</t>
  </si>
  <si>
    <t>https://radioplayer.planetradio.co.uk/mch</t>
  </si>
  <si>
    <t>https://stream-mz.planetradio.co.uk/magicmusicalshigh.aac?direct=true&amp;aw_0_1st.bauer_listenerid=60beeb6431338b72c00bee59cbb7d33b&amp;listenerid=60beeb6431338b72c00bee59cbb7d33b&amp;aw_0_1st.permutiveid=f41bfaad-62d1-4e99-ab33-6596a60b67c8&amp;aw_0_1st.octave_permutive=&amp;aw_0_1st.skey=1667146534&amp;aw_0_1st.playerid=BMUK_ukrp&amp;amsparams=playerid:BMUK_ukrp;skey=1667146534;=&amp;&amp;___cb=327899277386568</t>
  </si>
  <si>
    <t>https://uk-assets.radioplayer.org/image/524_86x48_2019-11-21-15-56-32-563.png</t>
  </si>
  <si>
    <t>https://radioplayer.planetradio.co.uk/mmu</t>
  </si>
  <si>
    <t>https://stream-mz.planetradio.co.uk/magicsoul.aac?direct=true&amp;aw_0_1st.bauer_listenerid=60beeb6431338b72c00bee59cbb7d33b&amp;listenerid=60beeb6431338b72c00bee59cbb7d33b&amp;aw_0_1st.permutiveid=f41bfaad-62d1-4e99-ab33-6596a60b67c8&amp;aw_0_1st.octave_permutive=&amp;aw_0_1st.skey=1667146536&amp;aw_0_1st.playerid=BMUK_ukrp&amp;amsparams=playerid:BMUK_ukrp;skey=1667146536;=&amp;&amp;___cb=380035852041987</t>
  </si>
  <si>
    <t>https://uk-assets.radioplayer.org/image/549_86x48_2017-09-04-15-46-02-79.png</t>
  </si>
  <si>
    <t>https://radioplayer.planetradio.co.uk/mso</t>
  </si>
  <si>
    <t>https://listen-manxradio.sharp-stream.com/manxradioam.aac?=&amp;&amp;___cb=124764295458513</t>
  </si>
  <si>
    <t>https://uk-assets.radioplayer.org/image/1002_86x48_2017-03-07-17-01-24-738.png</t>
  </si>
  <si>
    <t>https://www.manxradio.com/radioplayer/am/</t>
  </si>
  <si>
    <t>https://listen-manxradio.sharp-stream.com/manxradiofm.aac?=&amp;&amp;___cb=725028012594309</t>
  </si>
  <si>
    <t>https://uk-assets.radioplayer.org/image/1003_86x48_2017-03-07-17-01-24-798.png</t>
  </si>
  <si>
    <t>https://www.manxradio.com/radioplayer/</t>
  </si>
  <si>
    <t>Marlow FM 97.5</t>
  </si>
  <si>
    <t>http://audio.marlowfm.co.uk:8019/;stream.mp3?=&amp;&amp;___cb=475662100689024</t>
  </si>
  <si>
    <t>https://uk-assets.radioplayer.org/image/1207_86x48_2017-03-07-17-01-24-871.png</t>
  </si>
  <si>
    <t>http://radioplayer.marlowfm.co.uk</t>
  </si>
  <si>
    <t>http://audio.marlowfm.co.uk:8019/;stream.mp3?=&amp;&amp;___cb=262874931566727</t>
  </si>
  <si>
    <t>Matryoshka Radio</t>
  </si>
  <si>
    <t>http://213.159.214.57:8000/matr128?=&amp;&amp;___cb=180405120245988</t>
  </si>
  <si>
    <t>https://uk-assets.radioplayer.org/image/1472_86x48_2020-08-07-12-08-27-451.png</t>
  </si>
  <si>
    <t>http://matryoshka.fm/radioplayer/</t>
  </si>
  <si>
    <t>https://stream-mz.planetradio.co.uk/magicmellow.aac?direct=true&amp;aw_0_1st.bauer_listenerid=60beeb6431338b72c00bee59cbb7d33b&amp;listenerid=60beeb6431338b72c00bee59cbb7d33b&amp;aw_0_1st.permutiveid=f41bfaad-62d1-4e99-ab33-6596a60b67c8&amp;aw_0_1st.octave_permutive=&amp;aw_0_1st.skey=1667146544&amp;aw_0_1st.playerid=BMUK_ukrp&amp;amsparams=playerid:BMUK_ukrp;skey=1667146544;=&amp;&amp;___cb=249935358772952</t>
  </si>
  <si>
    <t>https://uk-assets.radioplayer.org/image/547_86x48_2017-08-29-10-15-48-863.png</t>
  </si>
  <si>
    <t>https://radioplayer.planetradio.co.uk/mel</t>
  </si>
  <si>
    <t>https://stream-mz.planetradio.co.uk/metro.aac?direct=true&amp;aw_0_1st.bauer_listenerid=60beeb6431338b72c00bee59cbb7d33b&amp;listenerid=60beeb6431338b72c00bee59cbb7d33b&amp;aw_0_1st.permutiveid=f41bfaad-62d1-4e99-ab33-6596a60b67c8&amp;aw_0_1st.octave_permutive=&amp;aw_0_1st.skey=1667146546&amp;aw_0_1st.playerid=BMUK_ukrp&amp;amsparams=playerid:BMUK_ukrp;skey=1667146546;=&amp;&amp;___cb=943875689761110</t>
  </si>
  <si>
    <t>https://uk-assets.radioplayer.org/image/579_86x48_2017-03-07-17-01-26-779.png</t>
  </si>
  <si>
    <t>https://radioplayer.planetradio.co.uk/me1</t>
  </si>
  <si>
    <t>https://stream-mz.planetradio.co.uk/mfrfm.aac?direct=true&amp;aw_0_1st.bauer_listenerid=60beeb6431338b72c00bee59cbb7d33b&amp;listenerid=60beeb6431338b72c00bee59cbb7d33b&amp;aw_0_1st.permutiveid=f41bfaad-62d1-4e99-ab33-6596a60b67c8&amp;aw_0_1st.octave_permutive=&amp;aw_0_1st.skey=1667146548&amp;aw_0_1st.playerid=BMUK_ukrp&amp;amsparams=playerid:BMUK_ukrp;skey=1667146548;=&amp;&amp;___cb=126186925501110</t>
  </si>
  <si>
    <t>https://uk-assets.radioplayer.org/image/580_86x48_2017-03-07-17-01-27-255.png</t>
  </si>
  <si>
    <t>https://radioplayer.planetradio.co.uk/mf1</t>
  </si>
  <si>
    <t>https://stream-mz.planetradio.co.uk/mfram.aac?direct=true&amp;aw_0_1st.bauer_listenerid=60beeb6431338b72c00bee59cbb7d33b&amp;listenerid=60beeb6431338b72c00bee59cbb7d33b&amp;aw_0_1st.permutiveid=f41bfaad-62d1-4e99-ab33-6596a60b67c8&amp;aw_0_1st.octave_permutive=&amp;aw_0_1st.skey=1667146550&amp;aw_0_1st.playerid=BMUK_ukrp&amp;amsparams=playerid:BMUK_ukrp;skey=1667146550;=&amp;&amp;___cb=10997573689062</t>
  </si>
  <si>
    <t>https://uk-assets.radioplayer.org/image/537_86x48_2017-03-07-17-01-28-58.png</t>
  </si>
  <si>
    <t>https://radioplayer.planetradio.co.uk/mf2</t>
  </si>
  <si>
    <t>https://listen-misoul.sharp-stream.com/462_mi_soul_128_mp3?=&amp;&amp;___cb=778625931840969</t>
  </si>
  <si>
    <t>https://uk-assets.radioplayer.org/image/1314_86x48_2017-03-07-17-01-28-886.png</t>
  </si>
  <si>
    <t>http://mi-soul.com/radioplayer/</t>
  </si>
  <si>
    <t>Mix 92.6</t>
  </si>
  <si>
    <t>https://stream4.hippynet.co.uk:8012/stream?=&amp;&amp;___cb=47249178792641</t>
  </si>
  <si>
    <t>https://uk-assets.radioplayer.org/image/1094_86x48_2022-08-11-07-58-14-155.png</t>
  </si>
  <si>
    <t>https://mix926.com/rplayer4/</t>
  </si>
  <si>
    <t>https://mkfmradioplayer2.radioca.st/;stream.nsv?=&amp;&amp;___cb=130151500206568</t>
  </si>
  <si>
    <t>https://uk-assets.radioplayer.org/image/1252_86x48_2017-03-07-17-01-34-303.png</t>
  </si>
  <si>
    <t>https://www.mkfm.com/on-air/radioplayer/</t>
  </si>
  <si>
    <t>Moorlands Radio</t>
  </si>
  <si>
    <t>https://stream.galaxywebsolutions.com/proxy/moorland?mp=/stream&amp;=&amp;&amp;___cb=402150440684072</t>
  </si>
  <si>
    <t>https://uk-assets.radioplayer.org/image/1467_86x48_2019-02-25-11-08-55-690.png</t>
  </si>
  <si>
    <t>https://www.moorlandsradio.co.uk/player</t>
  </si>
  <si>
    <t>http://46.28.49.164:7722/stream?=&amp;&amp;___cb=911181282742305</t>
  </si>
  <si>
    <t>https://s2.xrad.io:9596/listen.mp3?=&amp;&amp;___cb=59099599878400</t>
  </si>
  <si>
    <t>https://uk-assets.radioplayer.org/image/1086_86x48_2020-11-02-13-08-36-762.png</t>
  </si>
  <si>
    <t>https://radioplayerhosting.com/stations/live/1086/index.html</t>
  </si>
  <si>
    <t>https://s2.xrad.io:9596/listen.mp3?=&amp;&amp;___cb=246457248686581</t>
  </si>
  <si>
    <t>More Radio Mid-Sussex</t>
  </si>
  <si>
    <t>https://s2.xrad.io:9594/listen.mp3?=&amp;&amp;___cb=622281447896191</t>
  </si>
  <si>
    <t>https://uk-assets.radioplayer.org/image/1087_86x48_2020-11-02-13-08-37-682.png</t>
  </si>
  <si>
    <t>https://radioplayerhosting.com/stations/live/1087/index.html</t>
  </si>
  <si>
    <t>https://s2.xrad.io:9594/listen.mp3?=&amp;&amp;___cb=59735342232335</t>
  </si>
  <si>
    <t>https://s2.xrad.io:9592/listen.mp3?=&amp;&amp;___cb=567820063043935</t>
  </si>
  <si>
    <t>https://uk-assets.radioplayer.org/image/1089_86x48_2020-11-02-13-08-35-869.png</t>
  </si>
  <si>
    <t>https://radioplayerhosting.com/stations/live/1089/index.html</t>
  </si>
  <si>
    <t>https://s2.xrad.io:9592/listen.mp3?=&amp;&amp;___cb=726267703103170</t>
  </si>
  <si>
    <t>https://s2.xrad.io:9590/listen.mp3?=&amp;&amp;___cb=51777008259207</t>
  </si>
  <si>
    <t>https://uk-assets.radioplayer.org/image/1088_86x48_2018-05-14-15-02-07-383.png</t>
  </si>
  <si>
    <t>https://radioplayerhosting.com/stations/live/1088/index.html</t>
  </si>
  <si>
    <t>https://s2.xrad.io:9590/listen.mp3?=&amp;&amp;___cb=163234363328020</t>
  </si>
  <si>
    <t>https://s2.xrad.io:9730/listen.mp3?=&amp;&amp;___cb=882930759098946</t>
  </si>
  <si>
    <t>https://uk-assets.radioplayer.org/image/1519_86x48_2021-06-01-08-45-09-414.png</t>
  </si>
  <si>
    <t>https://radioplayerhosting.com/stations/live/1519/index.html</t>
  </si>
  <si>
    <t>https://s2.xrad.io:9730/listen.mp3?=&amp;&amp;___cb=121659450273999</t>
  </si>
  <si>
    <t>https://listen-nation.sharp-stream.com/nationradio00s.mp3?listenerid=60beeb6431338b72c00bee59cbb7d33b&amp;aw_0_1st.octave_permutive=&amp;aw_0_1st.skey=1667146566&amp;aw_0_1st.playerid=RadioPlayer_WEB&amp;amsparams=playerid:RadioPlayer_WEB;skey=1667146566;aw_0_req.gdpr=true&amp;lon=-0.0827&amp;lat=51.2826&amp;=&amp;&amp;___cb=284358006174999</t>
  </si>
  <si>
    <t>https://uk-assets.radioplayer.org/image/1556_86x48_2022-06-27-11-18-33-218.png</t>
  </si>
  <si>
    <t>https://radioplayer.nationplayer.com/Nation00s</t>
  </si>
  <si>
    <t>https://listen-nation.sharp-stream.com/nationradio00s.aac?listenerid=60beeb6431338b72c00bee59cbb7d33b&amp;aw_0_1st.octave_permutive=&amp;aw_0_1st.skey=1667146566&amp;aw_0_1st.playerid=RadioPlayer_WEB&amp;amsparams=playerid:RadioPlayer_WEB;skey=1667146566;aw_0_req.gdpr=true&amp;lon=-0.0827&amp;lat=51.2826&amp;=&amp;&amp;___cb=503006369761754</t>
  </si>
  <si>
    <t>https://listen-nation.sharp-stream.com/nationradio00s.mp3?listenerid=60beeb6431338b72c00bee59cbb7d33b&amp;aw_0_1st.octave_permutive=&amp;aw_0_1st.skey=1667146566&amp;aw_0_1st.playerid=RadioPlayer_WEB&amp;amsparams=playerid:RadioPlayer_WEB;skey=1667146566;aw_0_req.gdpr=true&amp;lon=-0.0827&amp;lat=51.2826&amp;=&amp;&amp;___cb=921171085849120</t>
  </si>
  <si>
    <t>Nation Radio 60s</t>
  </si>
  <si>
    <t>https://listen-nation.sharp-stream.com/nation60s.mp3?listenerid=60beeb6431338b72c00bee59cbb7d33b&amp;aw_0_1st.octave_permutive=&amp;aw_0_1st.skey=1667146568&amp;aw_0_1st.playerid=RadioPlayer_WEB&amp;amsparams=playerid:RadioPlayer_WEB;skey=1667146568;aw_0_req.gdpr=true&amp;lon=-0.0827&amp;lat=51.2826&amp;=&amp;&amp;___cb=537900976228030</t>
  </si>
  <si>
    <t>https://uk-assets.radioplayer.org/image/1540_86x48_2022-04-04-13-17-11-755.png</t>
  </si>
  <si>
    <t>https://radioplayer.nationplayer.com/Nation60s</t>
  </si>
  <si>
    <t>https://listen-nation.sharp-stream.com/nation60s.aac?listenerid=60beeb6431338b72c00bee59cbb7d33b&amp;aw_0_1st.octave_permutive=&amp;aw_0_1st.skey=1667146568&amp;aw_0_1st.playerid=RadioPlayer_WEB&amp;amsparams=playerid:RadioPlayer_WEB;skey=1667146568;aw_0_req.gdpr=true&amp;lon=-0.0827&amp;lat=51.2826&amp;=&amp;&amp;___cb=946355190333343</t>
  </si>
  <si>
    <t>https://listen-nation.sharp-stream.com/nation60s.mp3?listenerid=60beeb6431338b72c00bee59cbb7d33b&amp;aw_0_1st.octave_permutive=&amp;aw_0_1st.skey=1667146568&amp;aw_0_1st.playerid=RadioPlayer_WEB&amp;amsparams=playerid:RadioPlayer_WEB;skey=1667146568;aw_0_req.gdpr=true&amp;lon=-0.0827&amp;lat=51.2826&amp;=&amp;&amp;___cb=224917204300517</t>
  </si>
  <si>
    <t>https://listen-nation.sharp-stream.com/clubnation.mp3?listenerid=60beeb6431338b72c00bee59cbb7d33b&amp;aw_0_1st.octave_permutive=&amp;aw_0_1st.skey=1667146570&amp;aw_0_1st.playerid=RadioPlayer_WEB&amp;amsparams=playerid:RadioPlayer_WEB;skey=1667146570;aw_0_req.gdpr=true&amp;lon=-0.0827&amp;lat=51.2826&amp;=&amp;&amp;___cb=706890226672783</t>
  </si>
  <si>
    <t>https://uk-assets.radioplayer.org/image/1523_86x48_2022-04-04-13-17-12-671.png</t>
  </si>
  <si>
    <t>https://radioplayer.nationplayer.com/NationDance</t>
  </si>
  <si>
    <t>https://listen-nation.sharp-stream.com/clubnation.aac?listenerid=60beeb6431338b72c00bee59cbb7d33b&amp;aw_0_1st.octave_permutive=&amp;aw_0_1st.skey=1667146570&amp;aw_0_1st.playerid=RadioPlayer_WEB&amp;amsparams=playerid:RadioPlayer_WEB;skey=1667146570;aw_0_req.gdpr=true&amp;lon=-0.0827&amp;lat=51.2826&amp;=&amp;&amp;___cb=19449566767515</t>
  </si>
  <si>
    <t>https://listen-nation.sharp-stream.com/clubnation.mp3?listenerid=60beeb6431338b72c00bee59cbb7d33b&amp;aw_0_1st.octave_permutive=&amp;aw_0_1st.skey=1667146570&amp;aw_0_1st.playerid=RadioPlayer_WEB&amp;amsparams=playerid:RadioPlayer_WEB;skey=1667146570;aw_0_req.gdpr=true&amp;lon=-0.0827&amp;lat=51.2826&amp;=&amp;&amp;___cb=568827763932048</t>
  </si>
  <si>
    <t>https://listen-nation.sharp-stream.com/nationhits.aac?listenerid=60beeb6431338b72c00bee59cbb7d33b&amp;aw_0_1st.octave_permutive=&amp;aw_0_1st.skey=1667146571&amp;aw_0_1st.playerid=RadioPlayer_WEB&amp;amsparams=playerid:RadioPlayer_WEB;skey=1667146571;aw_0_req.gdpr=true&amp;lon=-0.0827&amp;lat=51.2826&amp;=&amp;&amp;___cb=418199273561222</t>
  </si>
  <si>
    <t>https://uk-assets.radioplayer.org/image/1539_86x48_2022-04-04-13-17-13-549.png</t>
  </si>
  <si>
    <t>https://radioplayer.nationplayer.com/NationHits</t>
  </si>
  <si>
    <t>https://listen-nation.sharp-stream.com/nationhits.mp3?listenerid=60beeb6431338b72c00bee59cbb7d33b&amp;aw_0_1st.octave_permutive=&amp;aw_0_1st.skey=1667146571&amp;aw_0_1st.playerid=RadioPlayer_WEB&amp;amsparams=playerid:RadioPlayer_WEB;skey=1667146571;aw_0_req.gdpr=true&amp;lon=-0.0827&amp;lat=51.2826&amp;=&amp;&amp;___cb=763131144478544</t>
  </si>
  <si>
    <t>https://listen-nation.sharp-stream.com/nationhits.mp3?listenerid=60beeb6431338b72c00bee59cbb7d33b&amp;aw_0_1st.octave_permutive=&amp;aw_0_1st.skey=1667146571&amp;aw_0_1st.playerid=RadioPlayer_WEB&amp;amsparams=playerid:RadioPlayer_WEB;skey=1667146571;aw_0_req.gdpr=true&amp;lon=-0.0827&amp;lat=51.2826&amp;=&amp;&amp;___cb=681697491004155</t>
  </si>
  <si>
    <t>https://listen-nation.sharp-stream.com/thamesradio.aac?listenerid=60beeb6431338b72c00bee59cbb7d33b&amp;aw_0_1st.octave_permutive=&amp;aw_0_1st.skey=1667146573&amp;aw_0_1st.playerid=RadioPlayer_WEB&amp;amsparams=playerid:RadioPlayer_WEB;skey=1667146573;aw_0_req.gdpr=true&amp;lon=-0.0827&amp;lat=51.2826&amp;=&amp;&amp;___cb=811471810484600</t>
  </si>
  <si>
    <t>https://uk-assets.radioplayer.org/image/1363_86x48_2022-04-04-13-17-14-412.png</t>
  </si>
  <si>
    <t>https://radioplayer.nationplayer.com/NationUK</t>
  </si>
  <si>
    <t>https://listen-nation.sharp-stream.com/thamesradio.mp3?listenerid=60beeb6431338b72c00bee59cbb7d33b&amp;aw_0_1st.octave_permutive=&amp;aw_0_1st.skey=1667146573&amp;aw_0_1st.playerid=RadioPlayer_WEB&amp;amsparams=playerid:RadioPlayer_WEB;skey=1667146573;aw_0_req.gdpr=true&amp;lon=-0.0827&amp;lat=51.2826&amp;=&amp;&amp;___cb=896319049037409</t>
  </si>
  <si>
    <t>https://listen-nation.sharp-stream.com/thamesradio.mp3?listenerid=60beeb6431338b72c00bee59cbb7d33b&amp;aw_0_1st.octave_permutive=&amp;aw_0_1st.skey=1667146573&amp;aw_0_1st.playerid=RadioPlayer_WEB&amp;amsparams=playerid:RadioPlayer_WEB;skey=1667146573;aw_0_req.gdpr=true&amp;lon=-0.0827&amp;lat=51.2826&amp;=&amp;&amp;___cb=824717995668985</t>
  </si>
  <si>
    <t>https://listen-nation.sharp-stream.com/lovenation.aac?listenerid=60beeb6431338b72c00bee59cbb7d33b&amp;aw_0_1st.octave_permutive=&amp;aw_0_1st.skey=1667146575&amp;aw_0_1st.playerid=RadioPlayer_WEB&amp;amsparams=playerid:RadioPlayer_WEB;skey=1667146575;aw_0_req.gdpr=true&amp;lon=-0.0827&amp;lat=51.2826&amp;=&amp;&amp;___cb=227106357300113</t>
  </si>
  <si>
    <t>https://uk-assets.radioplayer.org/image/1522_86x48_2022-04-04-13-17-15-368.png</t>
  </si>
  <si>
    <t>https://radioplayer.nationplayer.com/NationLove</t>
  </si>
  <si>
    <t>https://listen-nation.sharp-stream.com/lovenation.mp3?listenerid=60beeb6431338b72c00bee59cbb7d33b&amp;aw_0_1st.octave_permutive=&amp;aw_0_1st.skey=1667146575&amp;aw_0_1st.playerid=RadioPlayer_WEB&amp;amsparams=playerid:RadioPlayer_WEB;skey=1667146575;aw_0_req.gdpr=true&amp;lon=-0.0827&amp;lat=51.2826&amp;=&amp;&amp;___cb=412106687217707</t>
  </si>
  <si>
    <t>https://listen-nation.sharp-stream.com/lovenation.mp3?listenerid=60beeb6431338b72c00bee59cbb7d33b&amp;aw_0_1st.octave_permutive=&amp;aw_0_1st.skey=1667146575&amp;aw_0_1st.playerid=RadioPlayer_WEB&amp;amsparams=playerid:RadioPlayer_WEB;skey=1667146575;aw_0_req.gdpr=true&amp;lon=-0.0827&amp;lat=51.2826&amp;=&amp;&amp;___cb=924107521681551</t>
  </si>
  <si>
    <t>https://listen-nation.sharp-stream.com/nationparty.aac?listenerid=60beeb6431338b72c00bee59cbb7d33b&amp;aw_0_1st.octave_permutive=&amp;aw_0_1st.skey=1667146576&amp;aw_0_1st.playerid=RadioPlayer_WEB&amp;amsparams=playerid:RadioPlayer_WEB;skey=1667146576;aw_0_req.gdpr=true&amp;lon=-0.0827&amp;lat=51.2826&amp;=&amp;&amp;___cb=408304070112278</t>
  </si>
  <si>
    <t>https://uk-assets.radioplayer.org/image/1557_86x48_2022-06-27-11-18-36-718.png</t>
  </si>
  <si>
    <t>https://radioplayer.nationplayer.com/NationParty</t>
  </si>
  <si>
    <t>https://listen-nation.sharp-stream.com/nationparty.mp3?listenerid=60beeb6431338b72c00bee59cbb7d33b&amp;aw_0_1st.octave_permutive=&amp;aw_0_1st.skey=1667146576&amp;aw_0_1st.playerid=RadioPlayer_WEB&amp;amsparams=playerid:RadioPlayer_WEB;skey=1667146576;aw_0_req.gdpr=true&amp;lon=-0.0827&amp;lat=51.2826&amp;=&amp;&amp;___cb=461827687480176</t>
  </si>
  <si>
    <t>https://listen-nation.sharp-stream.com/nationparty.mp3?listenerid=60beeb6431338b72c00bee59cbb7d33b&amp;aw_0_1st.octave_permutive=&amp;aw_0_1st.skey=1667146576&amp;aw_0_1st.playerid=RadioPlayer_WEB&amp;amsparams=playerid:RadioPlayer_WEB;skey=1667146576;aw_0_req.gdpr=true&amp;lon=-0.0827&amp;lat=51.2826&amp;=&amp;&amp;___cb=772216541261967</t>
  </si>
  <si>
    <t>Nation Radio Wales</t>
  </si>
  <si>
    <t>https://listen-nation.sharp-stream.com/tcnation.mp3?listenerid=60beeb6431338b72c00bee59cbb7d33b&amp;aw_0_1st.octave_permutive=&amp;aw_0_1st.skey=1667146578&amp;aw_0_1st.playerid=RadioPlayer_WEB&amp;amsparams=playerid:RadioPlayer_WEB;skey=1667146578;aw_0_req.gdpr=true&amp;lon=-0.0827&amp;lat=51.2826&amp;=&amp;&amp;___cb=250885390156937</t>
  </si>
  <si>
    <t>https://uk-assets.radioplayer.org/image/1061_86x48_2022-04-04-13-17-16-351.png</t>
  </si>
  <si>
    <t>https://radioplayer.nationplayer.com/NationWales</t>
  </si>
  <si>
    <t>https://listen-nation.sharp-stream.com/tcnation.aac?listenerid=60beeb6431338b72c00bee59cbb7d33b&amp;aw_0_1st.octave_permutive=&amp;aw_0_1st.skey=1667146578&amp;aw_0_1st.playerid=RadioPlayer_WEB&amp;amsparams=playerid:RadioPlayer_WEB;skey=1667146578;aw_0_req.gdpr=true&amp;lon=-0.0827&amp;lat=51.2826&amp;=&amp;&amp;___cb=870028137988743</t>
  </si>
  <si>
    <t>https://listen-nation.sharp-stream.com/tcnation.mp3?listenerid=60beeb6431338b72c00bee59cbb7d33b&amp;aw_0_1st.octave_permutive=&amp;aw_0_1st.skey=1667146578&amp;aw_0_1st.playerid=RadioPlayer_WEB&amp;amsparams=playerid:RadioPlayer_WEB;skey=1667146578;aw_0_req.gdpr=true&amp;lon=-0.0827&amp;lat=51.2826&amp;=&amp;&amp;___cb=508815540353430</t>
  </si>
  <si>
    <t xml:space="preserve">Nation Radio 70s </t>
  </si>
  <si>
    <t>http://listen-nation.sharp-stream.com/nationradio70s.mp3?listenerid=60beeb6431338b72c00bee59cbb7d33b&amp;aw_0_1st.octave_permutive=&amp;aw_0_1st.skey=1667146580&amp;aw_0_1st.playerid=RadioPlayer_WEB&amp;amsparams=playerid:RadioPlayer_WEB;skey=1667146580;aw_0_req.gdpr=true&amp;lon=-0.0827&amp;lat=51.2826&amp;=&amp;&amp;___cb=633682293988033</t>
  </si>
  <si>
    <t>https://uk-assets.radioplayer.org/image/1514_86x48_2022-04-04-13-17-17-422.png</t>
  </si>
  <si>
    <t>https://radioplayer.nationplayer.com/Nation70s</t>
  </si>
  <si>
    <t>http://listen-nation.sharp-stream.com/nationradio70s.aac?listenerid=60beeb6431338b72c00bee59cbb7d33b&amp;aw_0_1st.octave_permutive=&amp;aw_0_1st.skey=1667146580&amp;aw_0_1st.playerid=RadioPlayer_WEB&amp;amsparams=playerid:RadioPlayer_WEB;skey=1667146580;aw_0_req.gdpr=true&amp;lon=-0.0827&amp;lat=51.2826&amp;=&amp;&amp;___cb=647122762499615</t>
  </si>
  <si>
    <t>https://listen-nation.sharp-stream.com/nation70s.mp3?listenerid=60beeb6431338b72c00bee59cbb7d33b&amp;aw_0_1st.octave_permutive=&amp;aw_0_1st.skey=1667146580&amp;aw_0_1st.playerid=RadioPlayer_WEB&amp;amsparams=playerid:RadioPlayer_WEB;skey=1667146580;aw_0_req.gdpr=true&amp;lon=-0.0827&amp;lat=51.2826&amp;=&amp;&amp;___cb=947689885759423</t>
  </si>
  <si>
    <t>Nation Radio 80s</t>
  </si>
  <si>
    <t>https://listen-nation.sharp-stream.com/nationradio80s.aac?listenerid=60beeb6431338b72c00bee59cbb7d33b&amp;aw_0_1st.octave_permutive=&amp;aw_0_1st.skey=1667146581&amp;aw_0_1st.playerid=RadioPlayer_WEB&amp;amsparams=playerid:RadioPlayer_WEB;skey=1667146581;aw_0_req.gdpr=true&amp;lon=-0.0827&amp;lat=51.2826&amp;=&amp;&amp;___cb=715795318473238</t>
  </si>
  <si>
    <t>https://uk-assets.radioplayer.org/image/1507_86x48_2022-04-04-13-17-18-333.png</t>
  </si>
  <si>
    <t>https://radioplayer.nationplayer.com/Nation80s</t>
  </si>
  <si>
    <t>https://listen-nation.sharp-stream.com/nationradio80s.mp3?listenerid=60beeb6431338b72c00bee59cbb7d33b&amp;aw_0_1st.octave_permutive=&amp;aw_0_1st.skey=1667146581&amp;aw_0_1st.playerid=RadioPlayer_WEB&amp;amsparams=playerid:RadioPlayer_WEB;skey=1667146581;aw_0_req.gdpr=true&amp;lon=-0.0827&amp;lat=51.2826&amp;=&amp;&amp;___cb=742303492381756</t>
  </si>
  <si>
    <t>https://listen-nation.sharp-stream.com/nation80s.mp3?listenerid=60beeb6431338b72c00bee59cbb7d33b&amp;aw_0_1st.octave_permutive=&amp;aw_0_1st.skey=1667146581&amp;aw_0_1st.playerid=RadioPlayer_WEB&amp;amsparams=playerid:RadioPlayer_WEB;skey=1667146581;aw_0_req.gdpr=true&amp;lon=-0.0827&amp;lat=51.2826&amp;=&amp;&amp;___cb=889209022096010</t>
  </si>
  <si>
    <t xml:space="preserve">Nation Radio 90s </t>
  </si>
  <si>
    <t>https://listen-nation.sharp-stream.com/nationradio90s.mp3?listenerid=60beeb6431338b72c00bee59cbb7d33b&amp;aw_0_1st.octave_permutive=&amp;aw_0_1st.skey=1667146583&amp;aw_0_1st.playerid=RadioPlayer_WEB&amp;amsparams=playerid:RadioPlayer_WEB;skey=1667146583;aw_0_req.gdpr=true&amp;lon=-0.0827&amp;lat=51.2826&amp;=&amp;&amp;___cb=352480852352648</t>
  </si>
  <si>
    <t>https://uk-assets.radioplayer.org/image/1515_86x48_2022-10-20-11-19-48-665.png</t>
  </si>
  <si>
    <t>https://radioplayer.nationplayer.com/Nation90s</t>
  </si>
  <si>
    <t>https://listen-nation.sharp-stream.com/nationradio90s.aac?listenerid=60beeb6431338b72c00bee59cbb7d33b&amp;aw_0_1st.octave_permutive=&amp;aw_0_1st.skey=1667146583&amp;aw_0_1st.playerid=RadioPlayer_WEB&amp;amsparams=playerid:RadioPlayer_WEB;skey=1667146583;aw_0_req.gdpr=true&amp;lon=-0.0827&amp;lat=51.2826&amp;=&amp;&amp;___cb=156824050659820</t>
  </si>
  <si>
    <t>https://listen-nation.sharp-stream.com/nation90s.mp3?listenerid=60beeb6431338b72c00bee59cbb7d33b&amp;aw_0_1st.octave_permutive=&amp;aw_0_1st.skey=1667146583&amp;aw_0_1st.playerid=RadioPlayer_WEB&amp;amsparams=playerid:RadioPlayer_WEB;skey=1667146583;aw_0_req.gdpr=true&amp;lon=-0.0827&amp;lat=51.2826&amp;=&amp;&amp;___cb=48793732370927</t>
  </si>
  <si>
    <t>Nation Radio East Yorkshire</t>
  </si>
  <si>
    <t>https://listen-nation.sharp-stream.com/hull.mp3?listenerid=60beeb6431338b72c00bee59cbb7d33b&amp;aw_0_1st.octave_permutive=&amp;aw_0_1st.skey=1667146584&amp;aw_0_1st.playerid=RadioPlayer_WEB&amp;amsparams=playerid:RadioPlayer_WEB;skey=1667146584;aw_0_req.gdpr=true&amp;lon=-0.0827&amp;lat=51.2826&amp;=&amp;&amp;___cb=790597603806913</t>
  </si>
  <si>
    <t>https://uk-assets.radioplayer.org/image/1571_86x48_2022-09-18-20-49-04-489.png</t>
  </si>
  <si>
    <t>https://radioplayer.nationplayer.com/NationEY</t>
  </si>
  <si>
    <t>https://listen-nation.sharp-stream.com/hulli.aac?listenerid=60beeb6431338b72c00bee59cbb7d33b&amp;aw_0_1st.octave_permutive=&amp;aw_0_1st.skey=1667146584&amp;aw_0_1st.playerid=RadioPlayer_WEB&amp;amsparams=playerid:RadioPlayer_WEB;skey=1667146584;aw_0_req.gdpr=true&amp;lon=-0.0827&amp;lat=51.2826&amp;=&amp;&amp;___cb=430942127999683</t>
  </si>
  <si>
    <t>https://listen-nation.sharp-stream.com/hull.mp3?listenerid=60beeb6431338b72c00bee59cbb7d33b&amp;aw_0_1st.octave_permutive=&amp;aw_0_1st.skey=1667146584&amp;aw_0_1st.playerid=RadioPlayer_WEB&amp;amsparams=playerid:RadioPlayer_WEB;skey=1667146584;aw_0_req.gdpr=true&amp;lon=-0.0827&amp;lat=51.2826&amp;=&amp;&amp;___cb=114110913594563</t>
  </si>
  <si>
    <t>Nation Radio South</t>
  </si>
  <si>
    <t>https://listen-nation.sharp-stream.com/nationhampshire.aac?listenerid=60beeb6431338b72c00bee59cbb7d33b&amp;aw_0_1st.octave_permutive=&amp;aw_0_1st.skey=1667146586&amp;aw_0_1st.playerid=RadioPlayer_WEB&amp;amsparams=playerid:RadioPlayer_WEB;skey=1667146586;aw_0_req.gdpr=true&amp;lon=-0.0827&amp;lat=51.2826&amp;=&amp;&amp;___cb=879034708728156</t>
  </si>
  <si>
    <t>https://uk-assets.radioplayer.org/image/1570_86x48_2022-09-18-20-49-05-422.png</t>
  </si>
  <si>
    <t>https://radioplayer.nationplayer.com/NationSouth</t>
  </si>
  <si>
    <t>https://listen-nation.sharp-stream.com/nationhampshire.mp3?listenerid=60beeb6431338b72c00bee59cbb7d33b&amp;aw_0_1st.octave_permutive=&amp;aw_0_1st.skey=1667146586&amp;aw_0_1st.playerid=RadioPlayer_WEB&amp;amsparams=playerid:RadioPlayer_WEB;skey=1667146586;aw_0_req.gdpr=true&amp;lon=-0.0827&amp;lat=51.2826&amp;=&amp;&amp;___cb=707220727022829</t>
  </si>
  <si>
    <t>https://listen-nation.sharp-stream.com/nationhampshire.mp3?listenerid=60beeb6431338b72c00bee59cbb7d33b&amp;aw_0_1st.octave_permutive=&amp;aw_0_1st.skey=1667146586&amp;aw_0_1st.playerid=RadioPlayer_WEB&amp;amsparams=playerid:RadioPlayer_WEB;skey=1667146586;aw_0_req.gdpr=true&amp;lon=-0.0827&amp;lat=51.2826&amp;=&amp;&amp;___cb=565393420274094</t>
  </si>
  <si>
    <t>https://listen-nation.sharp-stream.com/nationrocks.mp3?listenerid=60beeb6431338b72c00bee59cbb7d33b&amp;aw_0_1st.octave_permutive=&amp;aw_0_1st.skey=1667146588&amp;aw_0_1st.playerid=RadioPlayer_WEB&amp;amsparams=playerid:RadioPlayer_WEB;skey=1667146588;aw_0_req.gdpr=true&amp;lon=-0.0827&amp;lat=51.2826&amp;=&amp;&amp;___cb=426393592277584</t>
  </si>
  <si>
    <t>https://uk-assets.radioplayer.org/image/1526_86x48_2022-04-04-13-17-20-209.png</t>
  </si>
  <si>
    <t>https://radioplayer.nationplayer.com/NationRocks</t>
  </si>
  <si>
    <t>https://listen-nation.sharp-stream.com/nationrocks.aac?listenerid=60beeb6431338b72c00bee59cbb7d33b&amp;aw_0_1st.octave_permutive=&amp;aw_0_1st.skey=1667146588&amp;aw_0_1st.playerid=RadioPlayer_WEB&amp;amsparams=playerid:RadioPlayer_WEB;skey=1667146588;aw_0_req.gdpr=true&amp;lon=-0.0827&amp;lat=51.2826&amp;=&amp;&amp;___cb=520099133557341</t>
  </si>
  <si>
    <t>https://listen-nation.sharp-stream.com/nationrocks.mp3?listenerid=60beeb6431338b72c00bee59cbb7d33b&amp;aw_0_1st.octave_permutive=&amp;aw_0_1st.skey=1667146588&amp;aw_0_1st.playerid=RadioPlayer_WEB&amp;amsparams=playerid:RadioPlayer_WEB;skey=1667146588;aw_0_req.gdpr=true&amp;lon=-0.0827&amp;lat=51.2826&amp;=&amp;&amp;___cb=869476701415612</t>
  </si>
  <si>
    <t>Nation Radio 96.3FM Scotland</t>
  </si>
  <si>
    <t>https://listen-nation.sharp-stream.com/nationscotland.mp3?listenerid=60beeb6431338b72c00bee59cbb7d33b&amp;aw_0_1st.octave_permutive=&amp;aw_0_1st.skey=1667146589&amp;aw_0_1st.playerid=RadioPlayer_WEB&amp;amsparams=playerid:RadioPlayer_WEB;skey=1667146589;aw_0_req.gdpr=true&amp;lon=-0.0827&amp;lat=51.2826&amp;=&amp;&amp;___cb=905749377450388</t>
  </si>
  <si>
    <t>https://uk-assets.radioplayer.org/image/1444_86x48_2022-04-04-13-17-21-328.png</t>
  </si>
  <si>
    <t>https://radioplayer.nationplayer.com/NationScotland</t>
  </si>
  <si>
    <t>https://listen-nation.sharp-stream.com/nationscotland.aac?listenerid=60beeb6431338b72c00bee59cbb7d33b&amp;aw_0_1st.octave_permutive=&amp;aw_0_1st.skey=1667146589&amp;aw_0_1st.playerid=RadioPlayer_WEB&amp;amsparams=playerid:RadioPlayer_WEB;skey=1667146589;aw_0_req.gdpr=true&amp;lon=-0.0827&amp;lat=51.2826&amp;=&amp;&amp;___cb=274083291762405</t>
  </si>
  <si>
    <t>https://listen-nation.sharp-stream.com/nationscotland.mp3?listenerid=60beeb6431338b72c00bee59cbb7d33b&amp;aw_0_1st.octave_permutive=&amp;aw_0_1st.skey=1667146589&amp;aw_0_1st.playerid=RadioPlayer_WEB&amp;amsparams=playerid:RadioPlayer_WEB;skey=1667146589;aw_0_req.gdpr=true&amp;lon=-0.0827&amp;lat=51.2826&amp;=&amp;&amp;___cb=346407171970110</t>
  </si>
  <si>
    <t>Radio Newark</t>
  </si>
  <si>
    <t>https://playoutonestreaming.com/proxy/nwk?mp=/stream&amp;=&amp;&amp;___cb=478159741490434</t>
  </si>
  <si>
    <t>https://uk-assets.radioplayer.org/image/1322_86x48_2017-03-07-17-01-35-181.png</t>
  </si>
  <si>
    <t>https://www.radionewark.co.uk/radioplayer/</t>
  </si>
  <si>
    <t>https://playoutonestreaming.com/proxy/nwk?mp=/mp3&amp;=&amp;&amp;___cb=327557438087233</t>
  </si>
  <si>
    <t>https://playoutonestreaming.com/proxy/newsradio?mp=/stream&amp;=&amp;&amp;___cb=334059739312272</t>
  </si>
  <si>
    <t>https://uk-assets.radioplayer.org/image/1373_86x48_2019-06-18-14-09-31-942.png</t>
  </si>
  <si>
    <t>https://newsradiouk.co.uk/player/</t>
  </si>
  <si>
    <t>https://playoutonestreaming.com/proxy/newsradio?mp=/stream2&amp;=&amp;&amp;___cb=928601651002363</t>
  </si>
  <si>
    <t>NLive Radio</t>
  </si>
  <si>
    <t>https://nliveradio.radioca.st/stream?=&amp;&amp;___cb=42292640973254</t>
  </si>
  <si>
    <t>https://uk-assets.radioplayer.org/image/1483_86x48_2021-06-15-09-46-50-585.png</t>
  </si>
  <si>
    <t>https://nliveradio.com/console/</t>
  </si>
  <si>
    <t>http://msmn3.co/proxy/x1mp33?mp=/stream&amp;=&amp;&amp;___cb=478858045710516</t>
  </si>
  <si>
    <t>https://uk-assets.radioplayer.org/image/1421_86x48_2018-01-22-12-00-31-636.png</t>
  </si>
  <si>
    <t>https://radio.nme.com/radioplayer/nme1-rp/?v=2</t>
  </si>
  <si>
    <t>http://msmn.co:8124?=&amp;&amp;___cb=168291871370455</t>
  </si>
  <si>
    <t>http://msmn3.co/proxy/x2mp33?mp=/stream&amp;=&amp;&amp;___cb=757312461323308</t>
  </si>
  <si>
    <t>https://uk-assets.radioplayer.org/image/1423_86x48_2020-09-02-13-38-46-458.png</t>
  </si>
  <si>
    <t>https://radio.nme.com/radioplayer/nme2-rp/?v=2</t>
  </si>
  <si>
    <t>http://msmn.co:8106?=&amp;&amp;___cb=619250035665935</t>
  </si>
  <si>
    <t>https://stream-mz.planetradio.co.uk/northsound1.aac?direct=true&amp;aw_0_1st.bauer_listenerid=60beeb6431338b72c00bee59cbb7d33b&amp;listenerid=60beeb6431338b72c00bee59cbb7d33b&amp;aw_0_1st.permutiveid=f41bfaad-62d1-4e99-ab33-6596a60b67c8&amp;aw_0_1st.octave_permutive=&amp;aw_0_1st.skey=1667146609&amp;aw_0_1st.playerid=BMUK_ukrp&amp;amsparams=playerid:BMUK_ukrp;skey=1667146609;=&amp;&amp;___cb=575983645331654</t>
  </si>
  <si>
    <t>https://uk-assets.radioplayer.org/image/581_86x48_2017-03-07-17-01-40-37.png</t>
  </si>
  <si>
    <t>https://radioplayer.planetradio.co.uk/no1</t>
  </si>
  <si>
    <t>https://stream-mz.planetradio.co.uk/northsound2.aac?direct=true&amp;aw_0_1st.bauer_listenerid=60beeb6431338b72c00bee59cbb7d33b&amp;listenerid=60beeb6431338b72c00bee59cbb7d33b&amp;aw_0_1st.permutiveid=f41bfaad-62d1-4e99-ab33-6596a60b67c8&amp;aw_0_1st.octave_permutive=&amp;aw_0_1st.skey=1667146612&amp;aw_0_1st.playerid=BMUK_ukrp&amp;amsparams=playerid:BMUK_ukrp;skey=1667146612;=&amp;&amp;___cb=810374671580734</t>
  </si>
  <si>
    <t>https://uk-assets.radioplayer.org/image/582_86x48_2017-03-07-17-01-40-517.png</t>
  </si>
  <si>
    <t>https://radioplayer.planetradio.co.uk/no2</t>
  </si>
  <si>
    <t>https://live.streamlojik.com:10070/outreachradio.aac?platform=radioplayer&amp;=&amp;&amp;___cb=356519053440781</t>
  </si>
  <si>
    <t>https://uk-assets.radioplayer.org/image/1494_86x48_2020-11-09-12-09-09-622.png</t>
  </si>
  <si>
    <t>https://www.outreachradio.co.uk/radioplayer/</t>
  </si>
  <si>
    <t>https://live.streamlojik.com:10070/outreachradio.mp3?platform=radioplayer&amp;=&amp;&amp;___cb=670644776823373</t>
  </si>
  <si>
    <t>https://live.streamlojik.com:10070/outreachradio.aac?=&amp;&amp;___cb=394096562653986</t>
  </si>
  <si>
    <t>https://stream.mybroadbandradio.com/passionradio/?=&amp;&amp;___cb=69080877714423</t>
  </si>
  <si>
    <t>https://uk-assets.radioplayer.org/image/1473_86x48_2019-09-24-12-42-15-112.png</t>
  </si>
  <si>
    <t>https://www.passionradio.co.uk/radioplayer/</t>
  </si>
  <si>
    <t>https://listen-nation.sharp-stream.com/tcpembrokeshire.aac?listenerid=60beeb6431338b72c00bee59cbb7d33b&amp;aw_0_1st.octave_permutive=&amp;aw_0_1st.skey=1667146617&amp;aw_0_1st.playerid=RadioPlayer_WEB&amp;amsparams=playerid:RadioPlayer_WEB;skey=1667146617;aw_0_req.gdpr=true&amp;lon=-0.0827&amp;lat=51.2826&amp;=&amp;&amp;___cb=832645275893270</t>
  </si>
  <si>
    <t>https://uk-assets.radioplayer.org/image/1148_86x48_2022-04-04-13-17-47-670.png</t>
  </si>
  <si>
    <t>https://radioplayer.nationplayer.com/RadioPembrokeshire</t>
  </si>
  <si>
    <t>https://listen-nation.sharp-stream.com/tcpembrokeshire.aac?listenerid=60beeb6431338b72c00bee59cbb7d33b&amp;aw_0_1st.octave_permutive=&amp;aw_0_1st.skey=1667146617&amp;aw_0_1st.playerid=RadioPlayer_WEB&amp;amsparams=playerid:RadioPlayer_WEB;skey=1667146617;aw_0_req.gdpr=true&amp;lon=-0.0827&amp;lat=51.2826&amp;=&amp;&amp;___cb=582471825507563</t>
  </si>
  <si>
    <t>Phonic FM</t>
  </si>
  <si>
    <t>http://listen.phonic.fm/mp3-160k?=&amp;&amp;___cb=658163137171342</t>
  </si>
  <si>
    <t>https://uk-assets.radioplayer.org/image/1394_86x48_2019-02-11-14-54-41-707.png</t>
  </si>
  <si>
    <t>http://listen.phonic.fm/player/</t>
  </si>
  <si>
    <t>http://listen.phonic.fm/mp3-160k?=&amp;&amp;___cb=230291697143881</t>
  </si>
  <si>
    <t>https://stream-mz.planetradio.co.uk/net1cornwalleast.aac?direct=true&amp;aw_0_1st.bauer_listenerid=60beeb6431338b72c00bee59cbb7d33b&amp;listenerid=60beeb6431338b72c00bee59cbb7d33b&amp;aw_0_1st.permutiveid=f41bfaad-62d1-4e99-ab33-6596a60b67c8&amp;aw_0_1st.octave_permutive=&amp;aw_0_1st.skey=1667146621&amp;aw_0_1st.playerid=BMUK_ukrp&amp;amsparams=playerid:BMUK_ukrp;skey=1667146621;=&amp;&amp;___cb=191409533589818</t>
  </si>
  <si>
    <t>https://uk-assets.radioplayer.org/image/1013_86x48_2022-03-24-16-18-21-991.png</t>
  </si>
  <si>
    <t>https://radioplayer.planetradio.co.uk/pf2&amp;region=pf2</t>
  </si>
  <si>
    <t>https://stream-mz.planetradio.co.uk/planetrock.aac?direct=true&amp;aw_0_1st.bauer_listenerid=60beeb6431338b72c00bee59cbb7d33b&amp;listenerid=60beeb6431338b72c00bee59cbb7d33b&amp;aw_0_1st.permutiveid=f41bfaad-62d1-4e99-ab33-6596a60b67c8&amp;aw_0_1st.octave_permutive=&amp;aw_0_1st.skey=1667146623&amp;aw_0_1st.playerid=BMUK_ukrp&amp;amsparams=playerid:BMUK_ukrp;skey=1667146623;=&amp;&amp;___cb=772634062393002</t>
  </si>
  <si>
    <t>https://uk-assets.radioplayer.org/image/1005_86x48_2017-11-27-00-01-23-563.png</t>
  </si>
  <si>
    <t>https://radioplayer.planetradio.co.uk/pln</t>
  </si>
  <si>
    <t>https://streams.radiomast.io/4f0fe096-7e2a-4bf0-957f-6c46a866d9ea?__cb=6557707773667&amp;___cb=815987030374476</t>
  </si>
  <si>
    <t>https://uk-assets.radioplayer.org/image/1340_86x48_2017-03-07-17-01-43-531.png</t>
  </si>
  <si>
    <t>https://www.premierpraise.com/radio-windowed</t>
  </si>
  <si>
    <t>https://streams.radiomast.io/848fe471-e284-49ac-8038-9b6577bcb855?__cb=523385180930883&amp;___cb=606207228339114</t>
  </si>
  <si>
    <t>Pride Radio</t>
  </si>
  <si>
    <t>https://richkell.radioca.st/stream.mp3?=&amp;&amp;___cb=108689462006611</t>
  </si>
  <si>
    <t>https://uk-assets.radioplayer.org/image/1448_86x48_2020-07-08-14-38-40-784.png</t>
  </si>
  <si>
    <t>https://prideradio.co.uk/new_radio_player/console/</t>
  </si>
  <si>
    <t>https://stream-mz.planetradio.co.uk/net1bradford.aac?direct=true&amp;aw_0_1st.bauer_listenerid=60beeb6431338b72c00bee59cbb7d33b&amp;listenerid=60beeb6431338b72c00bee59cbb7d33b&amp;aw_0_1st.permutiveid=33638e61-0acf-4406-a9fa-a20f636f43fc&amp;aw_0_1st.octave_permutive=%5B%22122421%22%5D&amp;aw_0_1st.skey=1667146808&amp;aw_0_1st.playerid=BMUK_ukrp&amp;amsparams=playerid:BMUK_ukrp;skey=1667146808;=&amp;&amp;___cb=642156224063635</t>
  </si>
  <si>
    <t>https://uk-assets.radioplayer.org/image/502_86x48_2020-12-09-11-09-57-193.png</t>
  </si>
  <si>
    <t>https://radioplayer.planetradio.co.uk/pu1</t>
  </si>
  <si>
    <t>https://direct-qradio.sharp-stream.com/qr967.mp3?=&amp;&amp;___cb=883720388325423</t>
  </si>
  <si>
    <t>https://uk-assets.radioplayer.org/image/1350_86x48_2022-05-04-09-49-35-789.png</t>
  </si>
  <si>
    <t>https://www.qradio.com/belfast/radioplayer/</t>
  </si>
  <si>
    <t>Q Radio Mid Antrim</t>
  </si>
  <si>
    <t>https://direct-qradio.sharp-stream.com/qr1070.mp3?=&amp;&amp;___cb=153391237635166</t>
  </si>
  <si>
    <t>https://uk-assets.radioplayer.org/image/1356_86x48_2022-05-04-09-49-37-465.png</t>
  </si>
  <si>
    <t>https://www.qradio.com/midantrim/radioplayer/</t>
  </si>
  <si>
    <t>Q Radio Mid Ulster</t>
  </si>
  <si>
    <t>https://direct-qradio.sharp-stream.com/qr1060.mp3?=&amp;&amp;___cb=670386974827143</t>
  </si>
  <si>
    <t>https://uk-assets.radioplayer.org/image/1353_86x48_2022-05-04-09-49-38-572.png</t>
  </si>
  <si>
    <t>https://www.qradio.com/midulster/radioplayer/</t>
  </si>
  <si>
    <t>Q Radio Newry and Mourne</t>
  </si>
  <si>
    <t>https://direct-qradio.sharp-stream.com/qr1005.mp3?=&amp;&amp;___cb=891549226741814</t>
  </si>
  <si>
    <t>https://uk-assets.radioplayer.org/image/1355_86x48_2022-05-04-09-49-39-662.png</t>
  </si>
  <si>
    <t>https://www.qradio.com/newryandmourne/radioplayer/</t>
  </si>
  <si>
    <t>Q Radio North Coast</t>
  </si>
  <si>
    <t>https://direct-qradio.sharp-stream.com/qr1060.mp3?=&amp;&amp;___cb=237392031768890</t>
  </si>
  <si>
    <t>https://uk-assets.radioplayer.org/image/1352_86x48_2022-05-04-09-49-40-655.png</t>
  </si>
  <si>
    <t>https://www.qradio.com/northcoast/radioplayer/</t>
  </si>
  <si>
    <t>Q Radio North West</t>
  </si>
  <si>
    <t>https://direct-qradio.sharp-stream.com/qr1029.mp3?=&amp;&amp;___cb=566188437078307</t>
  </si>
  <si>
    <t>https://uk-assets.radioplayer.org/image/1351_86x48_2022-05-04-09-49-41-678.png</t>
  </si>
  <si>
    <t>https://www.qradio.com/northwest/radioplayer/</t>
  </si>
  <si>
    <t>Q Radio Tyrone and Fermanagh</t>
  </si>
  <si>
    <t>https://direct-qradio.sharp-stream.com/qr1012.mp3?=&amp;&amp;___cb=472781204112321</t>
  </si>
  <si>
    <t>https://uk-assets.radioplayer.org/image/1354_86x48_2022-05-04-09-49-42-714.png</t>
  </si>
  <si>
    <t>https://www.qradio.com/tyroneandfermanagh/radioplayer/</t>
  </si>
  <si>
    <t>Raaj FM</t>
  </si>
  <si>
    <t>http://live.canstream.co.uk:8000/raajfm.mp3?=&amp;&amp;___cb=124452382289178</t>
  </si>
  <si>
    <t>https://uk-assets.radioplayer.org/image/1282_86x48_2017-03-07-17-01-44-684.png</t>
  </si>
  <si>
    <t>http://www.raajfm.com/radioplayer/</t>
  </si>
  <si>
    <t>Radio Ashford</t>
  </si>
  <si>
    <t>http://aries.streaming.zfast.co.uk:8056/;stream.aac?=&amp;&amp;___cb=689902200678483</t>
  </si>
  <si>
    <t>https://uk-assets.radioplayer.org/image/1480_86x48_2020-10-13-09-40-17-122.png</t>
  </si>
  <si>
    <t>http://radioashford.com/radioplayer/</t>
  </si>
  <si>
    <t>http://aries.streaming.zfast.co.uk:8056/;stream.aac?=&amp;&amp;___cb=465862583662988</t>
  </si>
  <si>
    <t>https://stream-al.planetradio.co.uk/borders.aac?direct=true&amp;aw_0_1st.bauer_listenerid=60beeb6431338b72c00bee59cbb7d33b&amp;listenerid=60beeb6431338b72c00bee59cbb7d33b&amp;aw_0_1st.permutiveid=33638e61-0acf-4406-a9fa-a20f636f43fc&amp;aw_0_1st.octave_permutive=&amp;aw_0_1st.skey=1667146828&amp;aw_0_1st.playerid=BMUK_ukrp&amp;amsparams=playerid:BMUK_ukrp;skey=1667146828;=&amp;&amp;___cb=580925380522075</t>
  </si>
  <si>
    <t>https://uk-assets.radioplayer.org/image/556_86x48_2017-03-07-17-01-46-403.png</t>
  </si>
  <si>
    <t>https://radioplayer.planetradio.co.uk/rbd</t>
  </si>
  <si>
    <t>http://sc2.radiocaroline.net:10568/;stream.mp3?=&amp;&amp;___cb=692770049269788</t>
  </si>
  <si>
    <t>https://uk-assets.radioplayer.org/image/1387_86x48_2019-02-04-11-10-09-346.png</t>
  </si>
  <si>
    <t>http://www.carolineflashback.co.uk/radioplayer_4/index.html</t>
  </si>
  <si>
    <t>http://sc2.radiocaroline.net:10558/;stream.mp3?=&amp;&amp;___cb=445976078501424</t>
  </si>
  <si>
    <t>http://sc2.radiocaroline.net:10558/?=&amp;&amp;___cb=273866596366834</t>
  </si>
  <si>
    <t>https://stream-al.planetradio.co.uk/city.aac?direct=true&amp;aw_0_1st.bauer_listenerid=60beeb6431338b72c00bee59cbb7d33b&amp;listenerid=60beeb6431338b72c00bee59cbb7d33b&amp;aw_0_1st.permutiveid=33638e61-0acf-4406-a9fa-a20f636f43fc&amp;aw_0_1st.octave_permutive=&amp;aw_0_1st.skey=1667146831&amp;aw_0_1st.playerid=BMUK_ukrp&amp;amsparams=playerid:BMUK_ukrp;skey=1667146831;=&amp;&amp;___cb=867277994989486</t>
  </si>
  <si>
    <t>https://uk-assets.radioplayer.org/image/558_86x48_2017-03-07-17-01-46-974.png</t>
  </si>
  <si>
    <t>https://radioplayer.planetradio.co.uk/rc1</t>
  </si>
  <si>
    <t>Radio Essex</t>
  </si>
  <si>
    <t>https://playoutonestreaming.com/proxy/essex?mp=/stream&amp;=&amp;&amp;___cb=966876146278970</t>
  </si>
  <si>
    <t>https://uk-assets.radioplayer.org/image/1261_86x48_2019-09-30-14-57-32-436.png</t>
  </si>
  <si>
    <t>https://www.radioessex.com/radioplayer/</t>
  </si>
  <si>
    <t>Radio Newquay</t>
  </si>
  <si>
    <t>https://stream.radiojar.com/6dxdfhfstbruv?=&amp;&amp;___cb=571509149161838</t>
  </si>
  <si>
    <t>https://uk-assets.radioplayer.org/image/1501_86x48_2020-11-26-16-10-21-362.png</t>
  </si>
  <si>
    <t>https://www.radionewquay.com/radioplayer/</t>
  </si>
  <si>
    <t>Radio Tyneside</t>
  </si>
  <si>
    <t>https://webradio.radiomonitor.com/stream/RadioTyneside?=&amp;&amp;___cb=739989281958775</t>
  </si>
  <si>
    <t>https://uk-assets.radioplayer.org/image/1132_86x48_2022-08-15-08-21-38-715.png</t>
  </si>
  <si>
    <t>https://play.radiotyneside.co.uk/radioplayer/</t>
  </si>
  <si>
    <t>https://webradio.radiomonitor.com/stream/RadioTyneside-AAC?=&amp;&amp;___cb=363355145083788</t>
  </si>
  <si>
    <t>https://stream.audiospace.co/tyneside?=&amp;&amp;___cb=766796009687665</t>
  </si>
  <si>
    <t>https://webradio.radiomonitor.com/stream/RadioTyneside-AAC?=&amp;&amp;___cb=528716220552888</t>
  </si>
  <si>
    <t>Radio West Norfolk</t>
  </si>
  <si>
    <t>https://securestreams.autopo.st:1209/RWS?=&amp;&amp;___cb=784822416141165</t>
  </si>
  <si>
    <t>https://uk-assets.radioplayer.org/image/1542_86x48_2021-11-25-12-49-52-325.png</t>
  </si>
  <si>
    <t>https://www.radiowestnorfolk.co.uk/radioplayer/</t>
  </si>
  <si>
    <t>https://securestreams.autopo.st:1209/RWS?=&amp;&amp;___cb=630084880241954</t>
  </si>
  <si>
    <t>http://hyades.shoutca.st:8034/stream</t>
  </si>
  <si>
    <t>https://uk-assets.radioplayer.org/image/1326_86x48_2018-04-16-09-32-32-818.png</t>
  </si>
  <si>
    <t>https://www.radiowoking.co.uk/radioplayer</t>
  </si>
  <si>
    <t>https://radiowoking.radioca.st/wokinglow?=&amp;&amp;___cb=124492890129637</t>
  </si>
  <si>
    <t>https://radiowoking.radioca.st/stream?=&amp;&amp;___cb=766936055517384</t>
  </si>
  <si>
    <t>https://radiowoking.radioca.st/stream?=&amp;&amp;___cb=36347248950389</t>
  </si>
  <si>
    <t>https://media-ssl.musicradio.com/RadioXLondon?=&amp;&amp;___cb=165764376914260</t>
  </si>
  <si>
    <t>https://uk-assets.radioplayer.org/image/253_86x48_2017-03-07-17-01-49-492.png</t>
  </si>
  <si>
    <t>https://radioplayer.musicradio.com/radio/radiox/london/</t>
  </si>
  <si>
    <t>https://media-ssl.musicradio.com/RadioXManchester?=&amp;&amp;___cb=580659961301478</t>
  </si>
  <si>
    <t>https://uk-assets.radioplayer.org/image/254_86x48_2017-03-07-17-01-49-795.png</t>
  </si>
  <si>
    <t>https://radioplayer.musicradio.com/radio/radiox/manchester/</t>
  </si>
  <si>
    <t>https://media-ssl.musicradio.com/RadioXUK?=&amp;&amp;___cb=651401277190233</t>
  </si>
  <si>
    <t>https://uk-assets.radioplayer.org/image/255_86x48_2017-03-07-17-01-49-897.png</t>
  </si>
  <si>
    <t>https://radioplayer.musicradio.com/radio/radiox/uk/</t>
  </si>
  <si>
    <t>Radio LaB 97.1fm</t>
  </si>
  <si>
    <t>https://radio.canstream.co.uk:9043/live.mp3?=&amp;&amp;___cb=742324011668629</t>
  </si>
  <si>
    <t>https://uk-assets.radioplayer.org/image/1259_86x48_2017-03-07-17-01-49-976.png</t>
  </si>
  <si>
    <t>https://radiolab.beds.ac.uk/player</t>
  </si>
  <si>
    <t>Red Kite Radio</t>
  </si>
  <si>
    <t>https://solid2.streamupsolutions.com/proxy/enkodckd?mp=/stream&amp;=&amp;&amp;___cb=194938202080671</t>
  </si>
  <si>
    <t>https://uk-assets.radioplayer.org/image/1485_86x48_2022-04-07-17-45-36-289.png</t>
  </si>
  <si>
    <t>https://radioplayerhosting.com/stations/live/1485/index.html</t>
  </si>
  <si>
    <t>https://solid2.streamupsolutions.com/proxy/enkodckd?mp=/stream&amp;=&amp;&amp;___cb=838120377250683</t>
  </si>
  <si>
    <t>Redroad FM</t>
  </si>
  <si>
    <t>https://s45.myradiostream.com/13784/listen.mp3?=&amp;&amp;___cb=235259743780546</t>
  </si>
  <si>
    <t>https://uk-assets.radioplayer.org/image/1400_86x48_2020-06-02-14-38-57-328.png</t>
  </si>
  <si>
    <t>https://radioplayerhosting.com/stations/live/1400/index.html</t>
  </si>
  <si>
    <t>Regency Radio Brighton</t>
  </si>
  <si>
    <t>http://stream.radiojar.com/m47fp4p5n0quv?=&amp;&amp;___cb=245674278127505</t>
  </si>
  <si>
    <t>https://uk-assets.radioplayer.org/image/1530_86x48_2022-06-25-16-50-59-199.png</t>
  </si>
  <si>
    <t>https://www.regencyradio.co.uk/radioplayer/</t>
  </si>
  <si>
    <t>http://stream.radiojar.com/m47fp4p5n0quv?=&amp;&amp;___cb=103641009686178</t>
  </si>
  <si>
    <t>https://stream.releaseradio.net/stream?=&amp;&amp;___cb=67014413798096</t>
  </si>
  <si>
    <t>https://uk-assets.radioplayer.org/image/1488_86x48_2020-06-11-11-09-39-177.png</t>
  </si>
  <si>
    <t>https://www.releaseradio.net/radioplayer/</t>
  </si>
  <si>
    <t>https://stream.releaseradio.net/stream2?=&amp;&amp;___cb=122056280385092</t>
  </si>
  <si>
    <t>https://stream.releaseradio.net/stream?=&amp;&amp;___cb=368914403213953</t>
  </si>
  <si>
    <t>Reprezent Radio</t>
  </si>
  <si>
    <t>http://radio.canstream.co.uk:8022/live.mp3?=&amp;&amp;___cb=929608639254220</t>
  </si>
  <si>
    <t>https://uk-assets.radioplayer.org/image/1247_86x48_2020-10-29-16-09-47-753.png</t>
  </si>
  <si>
    <t>https://radioplayerhosting.com/stations/live/1247/index.html</t>
  </si>
  <si>
    <t>http://radio.canstream.co.uk:8022/live.mp3?=&amp;&amp;___cb=385628585769797</t>
  </si>
  <si>
    <t>Resonance 104.4 FM</t>
  </si>
  <si>
    <t>https://stream.resonance.fm/resonance?=&amp;&amp;___cb=424529927122232</t>
  </si>
  <si>
    <t>https://uk-assets.radioplayer.org/image/1114_86x48_2017-03-07-17-01-51-224.png</t>
  </si>
  <si>
    <t>https://player.resonancefm.com/</t>
  </si>
  <si>
    <t>https://stream.resonance.fm/resonance-backup?=&amp;&amp;___cb=991822464881614</t>
  </si>
  <si>
    <t>https://stream.resonance.fm/resonance-extra?=&amp;&amp;___cb=276023525319545</t>
  </si>
  <si>
    <t>https://uk-assets.radioplayer.org/image/1333_86x48_2017-03-07-17-01-51-287.png</t>
  </si>
  <si>
    <t>https://playerx.resonance.fm</t>
  </si>
  <si>
    <t>https://stream.resonance.fm/resonance-extra-backup?=&amp;&amp;___cb=313042520320887</t>
  </si>
  <si>
    <t>Revival FM Scotland</t>
  </si>
  <si>
    <t>http://radio.canstream.co.uk:8097/live.aac?=&amp;&amp;___cb=839219493734676</t>
  </si>
  <si>
    <t>https://uk-assets.radioplayer.org/image/1330_86x48_2017-03-07-17-01-51-410.png</t>
  </si>
  <si>
    <t>http://www.revival.fm/radioplayer</t>
  </si>
  <si>
    <t>https://revolution.radioca.st/stream.mp3?=&amp;&amp;___cb=941444362157516</t>
  </si>
  <si>
    <t>https://uk-assets.radioplayer.org/image/1511_86x48_2022-01-03-20-19-12-546.png</t>
  </si>
  <si>
    <t>https://www.revolutionradio.com/radioplayer/</t>
  </si>
  <si>
    <t>https://stream.rcs.revma.com/yv4znr4xcg0uv?=&amp;&amp;___cb=432772776567506</t>
  </si>
  <si>
    <t>https://uk-assets.radioplayer.org/image/1200_86x48_2019-09-18-13-46-13-603.png</t>
  </si>
  <si>
    <t>https://live.rnibconnectradio.org.uk</t>
  </si>
  <si>
    <t>https://stream-mz.planetradio.co.uk/rock.aac?direct=true&amp;aw_0_1st.bauer_listenerid=60beeb6431338b72c00bee59cbb7d33b&amp;listenerid=60beeb6431338b72c00bee59cbb7d33b&amp;aw_0_1st.permutiveid=33638e61-0acf-4406-a9fa-a20f636f43fc&amp;aw_0_1st.octave_permutive=&amp;aw_0_1st.skey=1667146864&amp;aw_0_1st.playerid=BMUK_ukrp&amp;amsparams=playerid:BMUK_ukrp;skey=1667146864;=&amp;&amp;___cb=117170578678558</t>
  </si>
  <si>
    <t>https://uk-assets.radioplayer.org/image/584_86x48_2017-03-07-17-01-52-116.png</t>
  </si>
  <si>
    <t>https://radioplayer.planetradio.co.uk/ro1</t>
  </si>
  <si>
    <t>104.7 Rossendale Radio - The Voice of the Valley</t>
  </si>
  <si>
    <t>https://playoutonestreaming.com/proxy/ross?mp=/stream&amp;=&amp;&amp;___cb=90426573888275</t>
  </si>
  <si>
    <t>https://uk-assets.radioplayer.org/image/1560_86x48_2022-08-19-15-52-06-448.png</t>
  </si>
  <si>
    <t>https://www.rossendaleradio.com/radioplayer/</t>
  </si>
  <si>
    <t>https://playoutonestreaming.com/proxy/ross?mp=/stream&amp;=&amp;&amp;___cb=776454798331230</t>
  </si>
  <si>
    <t>https://s2.xrad.io:9410/stream?=&amp;&amp;___cb=932207250716925</t>
  </si>
  <si>
    <t>https://uk-assets.radioplayer.org/image/1550_86x48_2022-02-23-12-49-39-192.png</t>
  </si>
  <si>
    <t>https://lovesalisbury.co.uk/ListenLive/RadioPlayer/index.html</t>
  </si>
  <si>
    <t>https://stream-mz.planetradio.co.uk/scalahigh.aac?direct=true&amp;aw_0_1st.bauer_listenerid=60beeb6431338b72c00bee59cbb7d33b&amp;listenerid=60beeb6431338b72c00bee59cbb7d33b&amp;aw_0_1st.permutiveid=33638e61-0acf-4406-a9fa-a20f636f43fc&amp;aw_0_1st.octave_permutive=&amp;aw_0_1st.skey=1667146870&amp;aw_0_1st.playerid=BMUK_ukrp&amp;amsparams=playerid:BMUK_ukrp;skey=1667146870;=&amp;&amp;___cb=154361746127510</t>
  </si>
  <si>
    <t>https://uk-assets.radioplayer.org/image/526_86x48_2019-04-09-08-42-15-524.png</t>
  </si>
  <si>
    <t>https://radioplayer.planetradio.co.uk/sca</t>
  </si>
  <si>
    <t>Scout Radio</t>
  </si>
  <si>
    <t>https://streaming.scoutradio.org.uk/radioplayerweb?=&amp;&amp;___cb=862927671522112</t>
  </si>
  <si>
    <t>https://uk-assets.radioplayer.org/image/1229_86x48_2022-02-17-17-49-29-569.png</t>
  </si>
  <si>
    <t>https://scout.radio/radioplayer</t>
  </si>
  <si>
    <t>https://streaming.scoutradio.org.uk/scoutradio-mp3-128?=&amp;&amp;___cb=607670369630891</t>
  </si>
  <si>
    <t>Seahaven FM</t>
  </si>
  <si>
    <t>https://radio.canstream.co.uk:9027/live.mp3?=&amp;&amp;___cb=383094860988651</t>
  </si>
  <si>
    <t>https://uk-assets.radioplayer.org/image/1092_86x48_2022-01-05-10-49-27-936.png</t>
  </si>
  <si>
    <t>http://www.seahavenfm.radio/radioplayer/Eastbourne/</t>
  </si>
  <si>
    <t>https://stream4.hippynet.co.uk:8002/stream?=&amp;&amp;___cb=972490038130076</t>
  </si>
  <si>
    <t>https://stream4.hippynet.co.uk:8002/stream?=&amp;&amp;___cb=989017415718833</t>
  </si>
  <si>
    <t>Secklow 105.5fm</t>
  </si>
  <si>
    <t>http://31.25.191.64:8016/;stream.mp3?=&amp;&amp;___cb=933194820694392</t>
  </si>
  <si>
    <t>https://uk-assets.radioplayer.org/image/1406_86x48_2017-08-22-11-46-13-39.png</t>
  </si>
  <si>
    <t>https://radioplayerhosting.com/stations/live/1406/index.html</t>
  </si>
  <si>
    <t>106.9 SFM - Sittingbourne</t>
  </si>
  <si>
    <t>https://streaming02.zfast.co.uk/proxy/sittingb?mp=/stream&amp;=&amp;&amp;___cb=470469501857141</t>
  </si>
  <si>
    <t>https://uk-assets.radioplayer.org/image/1236_86x48_2017-03-07-17-01-54-325.png</t>
  </si>
  <si>
    <t>http://www.sfmradio.com/player</t>
  </si>
  <si>
    <t>https://streaming02.zfast.co.uk/proxy/sittingb?mp=/stream&amp;=&amp;&amp;___cb=797783265371336</t>
  </si>
  <si>
    <t>https://stream-mz.planetradio.co.uk/net1stoke.aac?direct=true&amp;aw_0_1st.bauer_listenerid=60beeb6431338b72c00bee59cbb7d33b&amp;listenerid=60beeb6431338b72c00bee59cbb7d33b&amp;aw_0_1st.permutiveid=33638e61-0acf-4406-a9fa-a20f636f43fc&amp;aw_0_1st.octave_permutive=&amp;aw_0_1st.skey=1667146878&amp;aw_0_1st.playerid=BMUK_ukrp&amp;amsparams=playerid:BMUK_ukrp;skey=1667146878;=&amp;&amp;___cb=846085864492959</t>
  </si>
  <si>
    <t>https://uk-assets.radioplayer.org/image/509_86x48_2020-12-09-11-11-47-14.png</t>
  </si>
  <si>
    <t>https://radioplayer.planetradio.co.uk/si1</t>
  </si>
  <si>
    <t>Smooth Berkshire and North Hampshire</t>
  </si>
  <si>
    <t>https://media-ssl.musicradio.com/SmoothBerkshire?=&amp;&amp;___cb=856437218811624</t>
  </si>
  <si>
    <t>https://uk-assets.radioplayer.org/image/420_86x48_2017-03-07-17-01-56-741.png</t>
  </si>
  <si>
    <t>https://radioplayer.musicradio.com/radio/smooth/thamesvalley/</t>
  </si>
  <si>
    <t>Smooth Bristol and Bath</t>
  </si>
  <si>
    <t>https://media-ssl.musicradio.com/SmoothBristol?=&amp;&amp;___cb=149083049889126</t>
  </si>
  <si>
    <t>https://uk-assets.radioplayer.org/image/421_86x48_2017-03-07-17-01-56-872.png</t>
  </si>
  <si>
    <t>https://radioplayer.musicradio.com/radio/smooth/bristol/</t>
  </si>
  <si>
    <t>https://media-ssl.musicradio.com/SmoothChill?=&amp;&amp;___cb=536098584889409</t>
  </si>
  <si>
    <t>https://uk-assets.radioplayer.org/image/439_86x48_2019-09-02-13-42-40-238.png</t>
  </si>
  <si>
    <t>https://radioplayer.musicradio.com/radio/smoothchill/uk/</t>
  </si>
  <si>
    <t>https://media-ssl.musicradio.com/SmoothCountry?=&amp;&amp;___cb=603258836990489</t>
  </si>
  <si>
    <t>https://uk-assets.radioplayer.org/image/438_86x48_2019-09-02-13-42-40-814.png</t>
  </si>
  <si>
    <t>https://radioplayer.musicradio.com/radio/smoothcountry/uk/</t>
  </si>
  <si>
    <t>Smooth Derby</t>
  </si>
  <si>
    <t>https://media-ssl.musicradio.com/SmoothDerby?=&amp;&amp;___cb=471688298134348</t>
  </si>
  <si>
    <t>https://uk-assets.radioplayer.org/image/442_86x48_2021-07-16-10-49-31-847.png</t>
  </si>
  <si>
    <t>https://radioplayer.musicradio.com/radio/smooth/derby/</t>
  </si>
  <si>
    <t>Smooth East Midlands</t>
  </si>
  <si>
    <t>https://media-ssl.musicradio.com/SmoothEastMids?=&amp;&amp;___cb=944829832113031</t>
  </si>
  <si>
    <t>https://uk-assets.radioplayer.org/image/408_86x48_2017-03-07-17-01-57-145.png</t>
  </si>
  <si>
    <t>https://radioplayer.musicradio.com/radio/smooth/eastmids/</t>
  </si>
  <si>
    <t>Smooth Essex</t>
  </si>
  <si>
    <t>https://media-ssl.musicradio.com/SmoothEssex?=&amp;&amp;___cb=45673707427016</t>
  </si>
  <si>
    <t>https://uk-assets.radioplayer.org/image/423_86x48_2017-03-07-17-01-57-321.png</t>
  </si>
  <si>
    <t>https://radioplayer.musicradio.com/radio/smooth/essex/</t>
  </si>
  <si>
    <t>Smooth Gloucester</t>
  </si>
  <si>
    <t>https://media-ssl.musicradio.com/SmoothGloucester?=&amp;&amp;___cb=858732625933386</t>
  </si>
  <si>
    <t>https://uk-assets.radioplayer.org/image/424_86x48_2017-03-07-17-01-57-573.png</t>
  </si>
  <si>
    <t>https://radioplayer.musicradio.com/radio/smooth/gloucester/</t>
  </si>
  <si>
    <t>Smooth Hampshire</t>
  </si>
  <si>
    <t>https://media-ssl.musicradio.com/SmoothHampshire?=&amp;&amp;___cb=808445167337588</t>
  </si>
  <si>
    <t>https://uk-assets.radioplayer.org/image/425_86x48_2017-03-07-17-01-57-690.png</t>
  </si>
  <si>
    <t>https://radioplayer.musicradio.com/radio/smooth/hampshire/</t>
  </si>
  <si>
    <t>Smooth Herts, Beds and Bucks</t>
  </si>
  <si>
    <t>https://media-ssl.musicradio.com/SmoothHerts?=&amp;&amp;___cb=154115385749811</t>
  </si>
  <si>
    <t>https://uk-assets.radioplayer.org/image/426_86x48_2017-03-07-17-01-57-832.png</t>
  </si>
  <si>
    <t>https://radioplayer.musicradio.com/radio/smooth/hertsbedsbucks/</t>
  </si>
  <si>
    <t>Smooth Kent</t>
  </si>
  <si>
    <t>https://media-ssl.musicradio.com/SmoothKent?=&amp;&amp;___cb=297336074589803</t>
  </si>
  <si>
    <t>https://uk-assets.radioplayer.org/image/427_86x48_2017-03-07-17-01-58-14.png</t>
  </si>
  <si>
    <t>https://radioplayer.musicradio.com/radio/smooth/kent/</t>
  </si>
  <si>
    <t>Smooth London</t>
  </si>
  <si>
    <t>https://media-ssl.musicradio.com/SmoothLondon?=&amp;&amp;___cb=750121505789761</t>
  </si>
  <si>
    <t>https://uk-assets.radioplayer.org/image/406_86x48_2017-03-07-17-01-58-131.png</t>
  </si>
  <si>
    <t>https://radioplayer.musicradio.com/radio/smooth/london/</t>
  </si>
  <si>
    <t>Smooth Norfolk</t>
  </si>
  <si>
    <t>https://media-ssl.musicradio.com/SmoothNorfolk?=&amp;&amp;___cb=91998643936904</t>
  </si>
  <si>
    <t>https://uk-assets.radioplayer.org/image/428_86x48_2017-03-07-17-01-58-254.png</t>
  </si>
  <si>
    <t>https://radioplayer.musicradio.com/radio/smooth/norfolk/</t>
  </si>
  <si>
    <t>Smooth North East (S)</t>
  </si>
  <si>
    <t>https://media-ssl.musicradio.com/SmoothNorthEastS?=&amp;&amp;___cb=771243330205327</t>
  </si>
  <si>
    <t>https://uk-assets.radioplayer.org/image/440_86x48_2021-07-01-18-19-41-658.png</t>
  </si>
  <si>
    <t>https://radioplayer.musicradio.com/radio/smooth/teeside/</t>
  </si>
  <si>
    <t>Smooth North Wales and Cheshire</t>
  </si>
  <si>
    <t>https://media-ssl.musicradio.com/SmoothNorthWales?=&amp;&amp;___cb=215760860416759</t>
  </si>
  <si>
    <t>https://uk-assets.radioplayer.org/image/429_86x48_2017-03-07-17-01-58-525.png</t>
  </si>
  <si>
    <t>https://radioplayer.musicradio.com/radio/smooth/northwales/</t>
  </si>
  <si>
    <t>Smooth North West</t>
  </si>
  <si>
    <t>https://media-ssl.musicradio.com/SmoothNorthWest?=&amp;&amp;___cb=444349101926399</t>
  </si>
  <si>
    <t>https://uk-assets.radioplayer.org/image/409_86x48_2017-03-07-17-01-58-869.png</t>
  </si>
  <si>
    <t>https://radioplayer.musicradio.com/radio/smooth/northwest/</t>
  </si>
  <si>
    <t>Smooth Northants</t>
  </si>
  <si>
    <t>https://media-ssl.musicradio.com/SmoothNorthants?=&amp;&amp;___cb=109099416845910</t>
  </si>
  <si>
    <t>https://uk-assets.radioplayer.org/image/441_86x48_2021-07-01-18-19-37-335.png</t>
  </si>
  <si>
    <t>https://radioplayer.musicradio.com/radio/smooth/northants/</t>
  </si>
  <si>
    <t>Smooth Plymouth</t>
  </si>
  <si>
    <t>https://media-ssl.musicradio.com/SmoothPlymouth?=&amp;&amp;___cb=593154678308662</t>
  </si>
  <si>
    <t>https://uk-assets.radioplayer.org/image/433_86x48_2017-03-07-17-01-59-23.png</t>
  </si>
  <si>
    <t>https://radioplayer.musicradio.com/radio/smooth/devon/</t>
  </si>
  <si>
    <t>Smooth Lake District</t>
  </si>
  <si>
    <t>https://media-ssl.musicradio.com/SmoothLakeDistrict?=&amp;&amp;___cb=856904006811155</t>
  </si>
  <si>
    <t>https://uk-assets.radioplayer.org/image/437_86x48_2018-03-02-10-47-41-694.png</t>
  </si>
  <si>
    <t>https://radioplayer.musicradio.com/radio/smooth/lakes/</t>
  </si>
  <si>
    <t>Smooth Scotland</t>
  </si>
  <si>
    <t>https://media-ssl.musicradio.com/SmoothScotland?=&amp;&amp;___cb=169794718533938</t>
  </si>
  <si>
    <t>https://uk-assets.radioplayer.org/image/411_86x48_2017-03-07-17-01-59-178.png</t>
  </si>
  <si>
    <t>https://radioplayer.musicradio.com/radio/smooth/scotland/</t>
  </si>
  <si>
    <t>Smooth South Wales</t>
  </si>
  <si>
    <t>https://media-ssl.musicradio.com/SmoothSouthWales?=&amp;&amp;___cb=784009725270881</t>
  </si>
  <si>
    <t>https://uk-assets.radioplayer.org/image/430_86x48_2017-03-07-17-01-59-298.png</t>
  </si>
  <si>
    <t>https://radioplayer.musicradio.com/radio/smooth/southwales/</t>
  </si>
  <si>
    <t>Smooth Sussex</t>
  </si>
  <si>
    <t>https://media-ssl.musicradio.com/SmoothSussex?=&amp;&amp;___cb=637674569090202</t>
  </si>
  <si>
    <t>https://uk-assets.radioplayer.org/image/431_86x48_2017-03-07-17-01-59-413.png</t>
  </si>
  <si>
    <t>https://radioplayer.musicradio.com/radio/smooth/sussex/</t>
  </si>
  <si>
    <t>Smooth UK</t>
  </si>
  <si>
    <t>https://media-ssl.musicradio.com/SmoothUK?=&amp;&amp;___cb=624365022356684</t>
  </si>
  <si>
    <t>https://uk-assets.radioplayer.org/image/405_86x48_2017-03-07-17-01-59-559.png</t>
  </si>
  <si>
    <t>https://radioplayer.musicradio.com/radio/smooth/uk/</t>
  </si>
  <si>
    <t>Smooth West Midlands</t>
  </si>
  <si>
    <t>https://media-ssl.musicradio.com/SmoothWestMids?=&amp;&amp;___cb=306251208095176</t>
  </si>
  <si>
    <t>https://uk-assets.radioplayer.org/image/407_86x48_2017-03-07-17-01-59-699.png</t>
  </si>
  <si>
    <t>https://radioplayer.musicradio.com/radio/smooth/westmids/</t>
  </si>
  <si>
    <t>Smooth Wiltshire</t>
  </si>
  <si>
    <t>https://media-ssl.musicradio.com/SmoothWiltshire?=&amp;&amp;___cb=763234167686671</t>
  </si>
  <si>
    <t>https://uk-assets.radioplayer.org/image/432_86x48_2017-03-07-17-01-59-834.png</t>
  </si>
  <si>
    <t>https://radioplayer.musicradio.com/radio/smooth/wiltshire/</t>
  </si>
  <si>
    <t>http://msmn4.co/proxy/mp3high11?mp=/stream&amp;=&amp;&amp;___cb=491629885142736</t>
  </si>
  <si>
    <t>https://uk-assets.radioplayer.org/image/1101_86x48_2017-03-07-17-02-00-19.png</t>
  </si>
  <si>
    <t>http://www.solarradio.com/radioconsole/</t>
  </si>
  <si>
    <t>https://stream.rcs.revma.com/sa3ccwa9yy8uv?=&amp;&amp;___cb=166818854168068</t>
  </si>
  <si>
    <t>https://uk-assets.radioplayer.org/image/1533_86x48_2022-01-22-17-20-49-856.png</t>
  </si>
  <si>
    <t>https://www.soleilradio.com/radioplayer/</t>
  </si>
  <si>
    <t xml:space="preserve">Somer Valley FM </t>
  </si>
  <si>
    <t>https://somervalleyfm.streammachine.co.uk/stream/8014?=&amp;&amp;___cb=660793502107153</t>
  </si>
  <si>
    <t>https://uk-assets.radioplayer.org/image/1266_86x48_2020-03-11-10-09-23-930.png</t>
  </si>
  <si>
    <t>http://www.somervalleyfm.co.uk/radioplayer</t>
  </si>
  <si>
    <t>http://stream4.hippynet.co.uk:8014/?=&amp;&amp;___cb=692724979450232</t>
  </si>
  <si>
    <t>https://somervalleyfm.streammachine.co.uk/stream/8014/low?=&amp;&amp;___cb=230251089928285</t>
  </si>
  <si>
    <t>http://stream4.hippynet.co.uk:8014/low?=&amp;&amp;___cb=508286003824857</t>
  </si>
  <si>
    <t>https://stream4.hippynet.co.uk:8014/stream?=&amp;&amp;___cb=298664802968488</t>
  </si>
  <si>
    <t>Soundart Radio 102.5 FM</t>
  </si>
  <si>
    <t>https://radio.canstream.co.uk:9134/live.mp3?=&amp;&amp;___cb=486220314608362</t>
  </si>
  <si>
    <t>https://uk-assets.radioplayer.org/image/1167_86x48_2020-04-02-11-09-17-33.png</t>
  </si>
  <si>
    <t>https://soundartradio.org.uk/listen/</t>
  </si>
  <si>
    <t>https://radio.canstream.co.uk:9134/live.mp3?=&amp;&amp;___cb=917342780149407</t>
  </si>
  <si>
    <t>https://s3.radio.co/s59218e461/low?=&amp;&amp;___cb=306539363920370</t>
  </si>
  <si>
    <t>https://uk-assets.radioplayer.org/image/1531_86x48_2021-10-13-12-50-15-401.png</t>
  </si>
  <si>
    <t>https://southdownradio.co.uk/player/</t>
  </si>
  <si>
    <t>https://s3.radio.co/s59218e461/listen?=&amp;&amp;___cb=447271937707562</t>
  </si>
  <si>
    <t>https://s3.radio.co/s59218e461/listen?=&amp;&amp;___cb=756583093356819</t>
  </si>
  <si>
    <t>Spark Sunderland</t>
  </si>
  <si>
    <t>https://radio.canstream.co.uk:8101/live.mp3?=&amp;&amp;___cb=945549525345981</t>
  </si>
  <si>
    <t>https://uk-assets.radioplayer.org/image/1081_86x48_2018-03-29-10-03-15-304.png</t>
  </si>
  <si>
    <t>https://radioplayerhosting.com/stations/live/1081/index.html</t>
  </si>
  <si>
    <t>http://radio.canstream.co.uk:8101/live48.mp3?=&amp;&amp;___cb=327793037956360</t>
  </si>
  <si>
    <t>107.3 Stafford FM</t>
  </si>
  <si>
    <t>https://playoutonestreaming.com/proxy/stfrd?mp=/high&amp;=&amp;&amp;___cb=311216427269758</t>
  </si>
  <si>
    <t>https://uk-assets.radioplayer.org/image/1309_86x48_2021-11-08-14-51-19-744.png</t>
  </si>
  <si>
    <t>https://radioplayerhosting.com/stations/live/1309/index.html</t>
  </si>
  <si>
    <t>https://playoutonestreaming.com/proxy/stfrd?mp=/stream&amp;=&amp;&amp;___cb=640859278078615</t>
  </si>
  <si>
    <t>http://stream.rcs.revma.com/hyyz8327ptzuv?=&amp;&amp;___cb=991669598193924</t>
  </si>
  <si>
    <t>https://uk-assets.radioplayer.org/image/1021_86x48_2020-11-10-23-44-10-587.png</t>
  </si>
  <si>
    <t>https://www.star.radio/radioplayer/</t>
  </si>
  <si>
    <t>http://starpoint-tx.hippynet.co.uk:8084/stream.mp3?=&amp;&amp;___cb=834037691394701</t>
  </si>
  <si>
    <t>https://uk-assets.radioplayer.org/image/1477_86x48_2020-03-06-09-39-31-706.png</t>
  </si>
  <si>
    <t>http://www.starpointradio.com/console</t>
  </si>
  <si>
    <t>http://starpoint-tx.hippynet.co.uk:8084/stream.mp3?=&amp;&amp;___cb=72297336720247</t>
  </si>
  <si>
    <t>https://playoutonestreaming.com/proxy/strawberry/?mp=/stream&amp;=&amp;&amp;___cb=215392085583190</t>
  </si>
  <si>
    <t>https://uk-assets.radioplayer.org/image/1476_86x48_2020-01-03-11-31-52-548.png</t>
  </si>
  <si>
    <t>http://strawberryradio-co-uk.stackstaging.com/radio-player/console/</t>
  </si>
  <si>
    <t>https://streaming.broadcastradio.com:10525/streetsd?=&amp;&amp;___cb=304358494576626</t>
  </si>
  <si>
    <t>https://uk-assets.radioplayer.org/image/1498_86x48_2020-12-02-15-14-05-401.png</t>
  </si>
  <si>
    <t>https://www.streetsoundsradio.com/radioplayer.html</t>
  </si>
  <si>
    <t>Sun FM Radio</t>
  </si>
  <si>
    <t>https://listen-nation.sharp-stream.com/sunfmi.aac?listenerid=60beeb6431338b72c00bee59cbb7d33b&amp;aw_0_1st.octave_permutive=&amp;aw_0_1st.skey=1667146940&amp;aw_0_1st.playerid=RadioPlayer_WEB&amp;amsparams=playerid:RadioPlayer_WEB;skey=1667146940;aw_0_req.gdpr=true&amp;lon=-0.0827&amp;lat=51.2826&amp;=&amp;&amp;___cb=462151792470726</t>
  </si>
  <si>
    <t>https://uk-assets.radioplayer.org/image/1025_86x48_2022-04-04-13-24-48-533.png</t>
  </si>
  <si>
    <t>https://radioplayer.nationplayer.com/SunFM</t>
  </si>
  <si>
    <t>http://listen-nation.sharp-stream.com/sunfm.mp3?listenerid=60beeb6431338b72c00bee59cbb7d33b&amp;aw_0_1st.octave_permutive=&amp;aw_0_1st.skey=1667146940&amp;aw_0_1st.playerid=RadioPlayer_WEB&amp;amsparams=playerid:RadioPlayer_WEB;skey=1667146940;aw_0_req.gdpr=true&amp;lon=-0.0827&amp;lat=51.2826&amp;=&amp;&amp;___cb=459756375030525</t>
  </si>
  <si>
    <t>https://listen-nation.sharp-stream.com/sunfm.mp3?listenerid=60beeb6431338b72c00bee59cbb7d33b&amp;aw_0_1st.octave_permutive=&amp;aw_0_1st.skey=1667146940&amp;aw_0_1st.playerid=RadioPlayer_WEB&amp;amsparams=playerid:RadioPlayer_WEB;skey=1667146940;aw_0_req.gdpr=true&amp;lon=-0.0827&amp;lat=51.2826&amp;=&amp;&amp;___cb=316282907055034</t>
  </si>
  <si>
    <t>Susy Radio 103.4</t>
  </si>
  <si>
    <t>https://streaming.broadcast.radio/susycloudradio?=&amp;&amp;___cb=777369929029062</t>
  </si>
  <si>
    <t>https://uk-assets.radioplayer.org/image/1263_86x48_2020-05-26-09-40-06-360.png</t>
  </si>
  <si>
    <t>http://radioplayer.susyradio.com</t>
  </si>
  <si>
    <t>http://media3.susyradio.com:8000/relay?=&amp;&amp;___cb=171607589227512</t>
  </si>
  <si>
    <t>Switch Radio</t>
  </si>
  <si>
    <t>https://listen.switchradio.co.uk/switchradio_medium?=&amp;&amp;___cb=690828002670516</t>
  </si>
  <si>
    <t>https://uk-assets.radioplayer.org/image/1276_86x48_2017-07-30-18-46-32-599.png</t>
  </si>
  <si>
    <t>http://www.switchradio.co.uk/console/</t>
  </si>
  <si>
    <t>https://listen.switchradio.co.uk/switchradio_low?=&amp;&amp;___cb=219763171359998</t>
  </si>
  <si>
    <t>https://listen.switchradio.co.uk/switchradio_high?=&amp;&amp;___cb=996235903151330</t>
  </si>
  <si>
    <t>https://listen.switchradio.co.uk/switchradio_high?=&amp;&amp;___cb=182782758728625</t>
  </si>
  <si>
    <t>Radio Tamworth</t>
  </si>
  <si>
    <t>http://streaming.radiotamworth.com:8080/live?=&amp;&amp;___cb=551030295452864</t>
  </si>
  <si>
    <t>https://uk-assets.radioplayer.org/image/1116_86x48_2017-11-20-11-16-45-787.png</t>
  </si>
  <si>
    <t>http://www.radiotamworth.com/player/</t>
  </si>
  <si>
    <t>http://streaming.radiotamworth.com:8080/tcr64?=&amp;&amp;___cb=108619838067072</t>
  </si>
  <si>
    <t>http://streaming.radiotamworth.com:8080/live?=&amp;&amp;___cb=761990348719962</t>
  </si>
  <si>
    <t>https://stream-mz.planetradio.co.uk/tayfm.aac?direct=true&amp;aw_0_1st.bauer_listenerid=60beeb6431338b72c00bee59cbb7d33b&amp;listenerid=60beeb6431338b72c00bee59cbb7d33b&amp;aw_0_1st.permutiveid=33638e61-0acf-4406-a9fa-a20f636f43fc&amp;aw_0_1st.octave_permutive=&amp;aw_0_1st.skey=1667146954&amp;aw_0_1st.playerid=BMUK_ukrp&amp;amsparams=playerid:BMUK_ukrp;skey=1667146954;=&amp;&amp;___cb=415454570189525</t>
  </si>
  <si>
    <t>https://uk-assets.radioplayer.org/image/587_86x48_2017-03-07-17-02-05-160.png</t>
  </si>
  <si>
    <t>https://radioplayer.planetradio.co.uk/ta1</t>
  </si>
  <si>
    <t>https://stream-mz.planetradio.co.uk/tayam.aac?direct=true&amp;aw_0_1st.bauer_listenerid=60beeb6431338b72c00bee59cbb7d33b&amp;listenerid=60beeb6431338b72c00bee59cbb7d33b&amp;aw_0_1st.permutiveid=33638e61-0acf-4406-a9fa-a20f636f43fc&amp;aw_0_1st.octave_permutive=&amp;aw_0_1st.skey=1667146956&amp;aw_0_1st.playerid=BMUK_ukrp&amp;amsparams=playerid:BMUK_ukrp;skey=1667146956;=&amp;&amp;___cb=374379981291665</t>
  </si>
  <si>
    <t>https://uk-assets.radioplayer.org/image/545_86x48_2017-03-07-17-02-05-687.png</t>
  </si>
  <si>
    <t>https://radioplayer.planetradio.co.uk/ta2</t>
  </si>
  <si>
    <t>https://stream-mz.planetradio.co.uk/tfm.aac?direct=true&amp;aw_0_1st.bauer_listenerid=60beeb6431338b72c00bee59cbb7d33b&amp;listenerid=60beeb6431338b72c00bee59cbb7d33b&amp;aw_0_1st.permutiveid=33638e61-0acf-4406-a9fa-a20f636f43fc&amp;aw_0_1st.octave_permutive=&amp;aw_0_1st.skey=1667146958&amp;aw_0_1st.playerid=BMUK_ukrp&amp;amsparams=playerid:BMUK_ukrp;skey=1667146958;=&amp;&amp;___cb=866543388577906</t>
  </si>
  <si>
    <t>https://uk-assets.radioplayer.org/image/588_86x48_2017-03-07-17-02-07-132.png</t>
  </si>
  <si>
    <t>https://radioplayer.planetradio.co.uk/tf1</t>
  </si>
  <si>
    <t>http://s6.citrus3.com:8310/stream?=&amp;&amp;___cb=73143094892674</t>
  </si>
  <si>
    <t>https://uk-assets.radioplayer.org/image/1544_86x48_2022-01-13-11-25-40-458.png</t>
  </si>
  <si>
    <t>http://www.togetherradio.uk/radioplayer</t>
  </si>
  <si>
    <t>http://usa2-pn.mixstream.net:8060/listen.mp3?=&amp;&amp;___cb=337008504881192</t>
  </si>
  <si>
    <t>https://streaming.broadcastradio.com:10765/thisisthecoast?=&amp;&amp;___cb=310256839047165</t>
  </si>
  <si>
    <t>https://uk-assets.radioplayer.org/image/1529_86x48_2021-07-13-13-54-27-563.png</t>
  </si>
  <si>
    <t>https://www.thisisthecoast.co.uk/radioplayer/</t>
  </si>
  <si>
    <t>https://streaming.broadcast.radio/thisisthecoast?=&amp;&amp;___cb=80746309546425</t>
  </si>
  <si>
    <t>https://timesradio.wireless.radio/stream?=&amp;&amp;___cb=968705476378974</t>
  </si>
  <si>
    <t>https://uk-assets.radioplayer.org/image/521_86x48_2020-06-23-11-41-04-884.png</t>
  </si>
  <si>
    <t>https://www.thetimes.co.uk/radio/player</t>
  </si>
  <si>
    <t>https://timesradio.wireless.radio/stream?aw_0_1st.platform=website&amp;aw_0_1st.playerid=wireless-website&amp;=&amp;&amp;___cb=184710135832946</t>
  </si>
  <si>
    <t>Two Lochs Radio - ReÃƒÆ’Ã†â€™Ãƒâ€šÃ‚Â¬dio DÃƒÆ’Ã†â€™  Locha</t>
  </si>
  <si>
    <t>https://streaming02.zfast.co.uk/proxy/twolochs2?mp=/stream&amp;=&amp;&amp;___cb=296400670302904</t>
  </si>
  <si>
    <t>https://uk-assets.radioplayer.org/image/1107_86x48_2022-03-03-11-22-20-225.png</t>
  </si>
  <si>
    <t>https://radioplayerhosting.com/stations/live/1107/index.html</t>
  </si>
  <si>
    <t>https://streaming02.zfast.co.uk/proxy/twolochs1?mp=/stream&amp;=&amp;&amp;___cb=625809929170729</t>
  </si>
  <si>
    <t>https://streaming02.zfast.co.uk/proxy/twolochs2?mp=/stream&amp;=&amp;&amp;___cb=307635026555777</t>
  </si>
  <si>
    <t>U105 Radio Northern Ireland</t>
  </si>
  <si>
    <t>http://gbradio.cdn.tibus.net/U105?=&amp;&amp;___cb=495526498552304</t>
  </si>
  <si>
    <t>https://uk-assets.radioplayer.org/image/514_86x48_2017-04-04-16-01-23-886.png</t>
  </si>
  <si>
    <t>http://urbanmedia.ie/radioplayer/</t>
  </si>
  <si>
    <t>http://tx.sharp-stream.com/http_live.php?i=ucbuk.mp3&amp;device=ukradioplayer&amp;=&amp;&amp;___cb=670535072699623</t>
  </si>
  <si>
    <t>https://uk-assets.radioplayer.org/image/1109_86x48_2022-09-02-11-28-17-482.png</t>
  </si>
  <si>
    <t>http://www.ucb.co.uk/radioplayer/uk/</t>
  </si>
  <si>
    <t>http://tx.sharp-stream.com/http_live.php?i=ucbinspirational.mp3&amp;device=ukradioplayermobile&amp;=&amp;&amp;___cb=61049481292126</t>
  </si>
  <si>
    <t>https://uk-assets.radioplayer.org/image/1119_86x48_2022-09-02-11-28-18-386.png</t>
  </si>
  <si>
    <t>http://www.ucb.co.uk/radioplayer/inspirational/</t>
  </si>
  <si>
    <t>https://uksouth.streaming.broadcast.radio:9165/uckfieldfmmp3?=&amp;&amp;___cb=232726980513680</t>
  </si>
  <si>
    <t>https://uk-assets.radioplayer.org/image/1175_86x48_2022-04-04-18-55-48-118.png</t>
  </si>
  <si>
    <t>https://www.ashdownradio.com/radioplayer/</t>
  </si>
  <si>
    <t>University Radio York</t>
  </si>
  <si>
    <t>https://audio.ury.org.uk/live-high?=&amp;&amp;___cb=121670786357595</t>
  </si>
  <si>
    <t>https://uk-assets.radioplayer.org/image/1077_86x48_2019-11-01-10-49-34-123.png</t>
  </si>
  <si>
    <t>https://ury.org.uk/live/</t>
  </si>
  <si>
    <t>https://audio.ury.org.uk/live-high?=&amp;&amp;___cb=283199529442273</t>
  </si>
  <si>
    <t>http://stream.v2radio.co.uk/V2RadioHQAACP?=&amp;&amp;___cb=767180127171030</t>
  </si>
  <si>
    <t>https://uk-assets.radioplayer.org/image/1508_86x48_2021-01-21-19-16-38-150.png</t>
  </si>
  <si>
    <t>https://www.v2radio.co.uk/radioplayer/</t>
  </si>
  <si>
    <t>Vectis Radio</t>
  </si>
  <si>
    <t>https://stream.gointernet.co.uk:8004/live?=&amp;&amp;___cb=108050362592199</t>
  </si>
  <si>
    <t>https://uk-assets.radioplayer.org/image/1482_86x48_2020-04-27-11-10-35-999.png</t>
  </si>
  <si>
    <t>https://www.vectisradio.com/radioplayer/</t>
  </si>
  <si>
    <t>Vibe 107.6 - Radio Made in Watford</t>
  </si>
  <si>
    <t>http://stream.sentiaglobal.com:8001/main?=&amp;&amp;___cb=969243896125571</t>
  </si>
  <si>
    <t>https://uk-assets.radioplayer.org/image/1134_86x48_2017-03-07-17-02-11-942.png</t>
  </si>
  <si>
    <t>http://www.vibe1076.co.uk/radioplayer/</t>
  </si>
  <si>
    <t>http://stream.sentiaglobal.com:8001/main?=&amp;&amp;___cb=330236786367543</t>
  </si>
  <si>
    <t>https://stream-mz.planetradio.co.uk/viking.aac?direct=true&amp;aw_0_1st.bauer_listenerid=60beeb6431338b72c00bee59cbb7d33b&amp;listenerid=60beeb6431338b72c00bee59cbb7d33b&amp;aw_0_1st.permutiveid=33638e61-0acf-4406-a9fa-a20f636f43fc&amp;aw_0_1st.octave_permutive=&amp;aw_0_1st.skey=1667146982&amp;aw_0_1st.playerid=BMUK_ukrp&amp;amsparams=playerid:BMUK_ukrp;skey=1667146982;=&amp;&amp;___cb=476716645197912</t>
  </si>
  <si>
    <t>https://uk-assets.radioplayer.org/image/589_86x48_2017-03-07-17-02-12-228.png</t>
  </si>
  <si>
    <t>https://radioplayer.planetradio.co.uk/vi1</t>
  </si>
  <si>
    <t>https://stream-mz.planetradio.co.uk/net1swansea.aac?direct=true&amp;aw_0_1st.bauer_listenerid=60beeb6431338b72c00bee59cbb7d33b&amp;listenerid=60beeb6431338b72c00bee59cbb7d33b&amp;aw_0_1st.permutiveid=33638e61-0acf-4406-a9fa-a20f636f43fc&amp;aw_0_1st.octave_permutive=&amp;aw_0_1st.skey=1667146994&amp;aw_0_1st.playerid=BMUK_ukrp&amp;amsparams=playerid:BMUK_ukrp;skey=1667146994;=&amp;&amp;___cb=62031401479697</t>
  </si>
  <si>
    <t>https://uk-assets.radioplayer.org/image/512_86x48_2020-12-09-11-15-17-680.png</t>
  </si>
  <si>
    <t>https://radioplayer.planetradio.co.uk/twa</t>
  </si>
  <si>
    <t>https://stream-mz.planetradio.co.uk/wave105.aac?direct=true&amp;aw_0_1st.bauer_listenerid=60beeb6431338b72c00bee59cbb7d33b&amp;listenerid=60beeb6431338b72c00bee59cbb7d33b&amp;aw_0_1st.permutiveid=33638e61-0acf-4406-a9fa-a20f636f43fc&amp;aw_0_1st.octave_permutive=&amp;aw_0_1st.skey=1667146996&amp;aw_0_1st.playerid=BMUK_ukrp&amp;amsparams=playerid:BMUK_ukrp;skey=1667146996;=&amp;&amp;___cb=834139066023113</t>
  </si>
  <si>
    <t>https://uk-assets.radioplayer.org/image/590_86x48_2017-03-07-17-02-13-955.png</t>
  </si>
  <si>
    <t>https://radioplayer.planetradio.co.uk/wav</t>
  </si>
  <si>
    <t>https://stream-mz.planetradio.co.uk/westfm.aac?direct=true&amp;aw_0_1st.bauer_listenerid=60beeb6431338b72c00bee59cbb7d33b&amp;listenerid=60beeb6431338b72c00bee59cbb7d33b&amp;aw_0_1st.permutiveid=33638e61-0acf-4406-a9fa-a20f636f43fc&amp;aw_0_1st.octave_permutive=&amp;aw_0_1st.skey=1667146998&amp;aw_0_1st.playerid=BMUK_ukrp&amp;amsparams=playerid:BMUK_ukrp;skey=1667146998;=&amp;&amp;___cb=267004843913175</t>
  </si>
  <si>
    <t>https://uk-assets.radioplayer.org/image/591_86x48_2017-03-07-17-02-14-721.png</t>
  </si>
  <si>
    <t>https://radioplayer.planetradio.co.uk/wfm</t>
  </si>
  <si>
    <t>https://stream-mz.planetradio.co.uk/westsound.aac?direct=true&amp;aw_0_1st.bauer_listenerid=60beeb6431338b72c00bee59cbb7d33b&amp;listenerid=60beeb6431338b72c00bee59cbb7d33b&amp;aw_0_1st.permutiveid=33638e61-0acf-4406-a9fa-a20f636f43fc&amp;aw_0_1st.octave_permutive=&amp;aw_0_1st.skey=1667147000&amp;aw_0_1st.playerid=BMUK_ukrp&amp;amsparams=playerid:BMUK_ukrp;skey=1667147000;=&amp;&amp;___cb=225691637557082</t>
  </si>
  <si>
    <t>https://uk-assets.radioplayer.org/image/592_86x48_2017-03-07-17-02-15-210.png</t>
  </si>
  <si>
    <t>https://radioplayer.planetradio.co.uk/wes</t>
  </si>
  <si>
    <t>https://stream-mz.planetradio.co.uk/westsoundfm.aac?direct=true&amp;aw_0_1st.bauer_listenerid=60beeb6431338b72c00bee59cbb7d33b&amp;listenerid=60beeb6431338b72c00bee59cbb7d33b&amp;aw_0_1st.permutiveid=33638e61-0acf-4406-a9fa-a20f636f43fc&amp;aw_0_1st.octave_permutive=&amp;aw_0_1st.skey=1667147002&amp;aw_0_1st.playerid=BMUK_ukrp&amp;amsparams=playerid:BMUK_ukrp;skey=1667147002;=&amp;&amp;___cb=571387228209421</t>
  </si>
  <si>
    <t>https://uk-assets.radioplayer.org/image/593_86x48_2017-03-07-17-02-15-702.png</t>
  </si>
  <si>
    <t>https://radioplayer.planetradio.co.uk/wsf</t>
  </si>
  <si>
    <t>Winchester Radio</t>
  </si>
  <si>
    <t>http://winchest.radioca.st/stream?=&amp;&amp;___cb=467176562629795</t>
  </si>
  <si>
    <t>https://uk-assets.radioplayer.org/image/1470_86x48_2019-06-04-09-44-51-647.png</t>
  </si>
  <si>
    <t>https://winchester.radio/radioplayer</t>
  </si>
  <si>
    <t>Wycombe Sound</t>
  </si>
  <si>
    <t>https://wycsostream.radioca.st/stream;=?&amp;___cb=138089274560726</t>
  </si>
  <si>
    <t>https://uk-assets.radioplayer.org/image/1398_86x48_2021-05-04-09-25-58-893.png</t>
  </si>
  <si>
    <t>http://listen.wycombesound.org.uk</t>
  </si>
  <si>
    <t>XS Manchester</t>
  </si>
  <si>
    <t>https://media-ice.musicradio.com/RealXSManchesterMP3?=&amp;&amp;___cb=508719650039175</t>
  </si>
  <si>
    <t>https://uk-assets.radioplayer.org/image/414_86x48_2020-04-30-14-12-14-719.png</t>
  </si>
  <si>
    <t>https://www.xsmanchester.co.uk/radio/player/</t>
  </si>
  <si>
    <t>https://sslproxy.hippynet.co.uk/yorkmix/stream?=&amp;&amp;___cb=309649320888722</t>
  </si>
  <si>
    <t>https://uk-assets.radioplayer.org/image/1524_86x48_2022-06-22-13-29-27-805.png</t>
  </si>
  <si>
    <t>https://player.yorkmixradio.com/radioplayer/</t>
  </si>
  <si>
    <t>https://sslproxy.hippynet.co.uk/yorkmix/stream?=&amp;&amp;___cb=124017487546</t>
  </si>
  <si>
    <t>URL</t>
  </si>
  <si>
    <t>https://stream-ar.planetradio.co.uk/absolute90shigh.aac?direct=true&amp;aw_0_1st.bauer_listenerid=60beeb6431338b72c00bee59cbb7d33b&amp;listenerid=60beeb6431338b72c00bee59cbb7d33b&amp;aw_0_1st.permutiveid=666a114c-b6f1-4f95-95e7-56eeea0f97d1&amp;aw_0_1st.octave_permutive=%5B%2264802%22%2C%2276526%22%5D&amp;aw_0_1st.skey=1667149563&amp;aw_0_1st.playerid=BMUK_ukrp&amp;amsparams=playerid:BMUK_ukrp;skey=1667149563;aw_0_req.userConsentV2=CPhqXEAPhqXEAAGABBENCoCgAAAAAAPAAAwIAAAH7gCgDNAIOAWcA7YB-wBhwAIAZoBByIAEA_ZAAEAM0A7ZIACAM0qABAP2UABAEHAO2AAA.YAAAAAAAAAAA&amp;=&amp;&amp;___cb=918388197152378</t>
  </si>
  <si>
    <t>https://stream-ar.planetradio.co.uk/absolute10shigh.aac?aw_0_1st.skey=1667145883&amp;aw_0_1st.playerid=BMUK_ukrp</t>
  </si>
  <si>
    <t>https://stream-ar.planetradio.co.uk/absoluteclassicrockhigh.aac?aw_0_1st.skey=1667145885&amp;aw_0_1st.playerid=BMUK_ukrp</t>
  </si>
  <si>
    <t>https://stream-ar.planetradio.co.uk/absolutecountryhigh.aac?aw_0_1st.skey=1667145887&amp;aw_0_1st.playerid=BMUK_ukrp</t>
  </si>
  <si>
    <t>https://stream-ar.planetradio.co.uk/absolute80shigh.aac?aw_0_1st.skey=1667145889&amp;aw_0_1st.playerid=BMUK_ukrp</t>
  </si>
  <si>
    <t>https://stream-ar.planetradio.co.uk/absoluteradiohigh.aac?aw_0_1st.skey=1667145893&amp;aw_0_1st.playerid=BMUK_ukrp</t>
  </si>
  <si>
    <t>https://stream-ar.planetradio.co.uk/absolute60shigh.aac?aw_0_1st.skey=1667145895&amp;aw_0_1st.playerid=BMUK_ukrp</t>
  </si>
  <si>
    <t>https://stream-mz.planetradio.co.uk/webcast3high.aac?aw_0_1st.skey=1667145897&amp;aw_0_1st.playerid=BMUK_ukrp</t>
  </si>
  <si>
    <t>https://stream-ar.planetradio.co.uk/absolute70shigh.aac?aw_0_1st.skey=1667145900&amp;aw_0_1st.playerid=BMUK_ukrp</t>
  </si>
  <si>
    <t>https://stream-ar.planetradio.co.uk/absolute00shigh.aac?aw_0_1st.skey=1667145902&amp;aw_0_1st.playerid=BMUK_ukrp</t>
  </si>
  <si>
    <t>https://stream-ar.planetradio.co.uk/absolute90shigh.aac?aw_0_1st.skey=1667149563&amp;aw_0_1st.playerid=BMUK_ukrp</t>
  </si>
  <si>
    <t>https://stream-mz.planetradio.co.uk/net2bath.aac?aw_0_1st.skey=1667146249&amp;aw_0_1st.playerid=BMUK_ukrp</t>
  </si>
  <si>
    <t>https://stream-mz.planetradio.co.uk/net2berkshire.aac?aw_0_1st.skey=1667146251&amp;aw_0_1st.playerid=BMUK_ukrp</t>
  </si>
  <si>
    <t>https://stream-mz.planetradio.co.uk/net2westmidlands.aac?aw_0_1st.skey=1667146253&amp;aw_0_1st.playerid=BMUK_ukrp</t>
  </si>
  <si>
    <t>https://stream-mz.planetradio.co.uk/net2wolverhampton.aac?aw_0_1st.skey=1667146256&amp;aw_0_1st.playerid=BMUK_ukrp</t>
  </si>
  <si>
    <t>https://stream-mz.planetradio.co.uk/net2bristol.aac?aw_0_1st.skey=1667146259&amp;aw_0_1st.playerid=BMUK_ukrp</t>
  </si>
  <si>
    <t>https://stream-mz.planetradio.co.uk/net2aylesbury.aac?aw_0_1st.skey=1667146262&amp;aw_0_1st.playerid=BMUK_ukrp</t>
  </si>
  <si>
    <t>https://stream.apollo.audio/gh0/hi/aac/?aw_0_1st.skey=1667146265&amp;aw_0_1st.playerid=BMUK_ukrp</t>
  </si>
  <si>
    <t>https://stream-mz.planetradio.co.uk/net2cornwall.aac?aw_0_1st.skey=1667146268&amp;aw_0_1st.playerid=BMUK_ukrp</t>
  </si>
  <si>
    <t>https://stream-mz.planetradio.co.uk/net2coventry.aac?aw_0_1st.skey=1667146271&amp;aw_0_1st.playerid=BMUK_ukrp</t>
  </si>
  <si>
    <t>https://stream-mz.planetradio.co.uk/net2devon.aac?aw_0_1st.skey=1667146274&amp;aw_0_1st.playerid=BMUK_ukrp</t>
  </si>
  <si>
    <t>https://stream.apollo.audio/gwd/hi/aac/?aw_0_1st.skey=1667146277&amp;aw_0_1st.playerid=BMUK_ukrp</t>
  </si>
  <si>
    <t>https://stream-mz.planetradio.co.uk/net2eastmidlands.aac?aw_0_1st.skey=1667146280&amp;aw_0_1st.playerid=BMUK_ukrp</t>
  </si>
  <si>
    <t>https://stream-mz.planetradio.co.uk/net2essex.aac?aw_0_1st.skey=1667146286&amp;aw_0_1st.playerid=BMUK_ukrp</t>
  </si>
  <si>
    <t>https://stream-mz.planetradio.co.uk/net2gloucester.aac?aw_0_1st.skey=1667146288&amp;aw_0_1st.playerid=BMUK_ukrp</t>
  </si>
  <si>
    <t>https://stream-mz.planetradio.co.uk/net2grimsby.aac?aw_0_1st.skey=1667146291&amp;aw_0_1st.playerid=BMUK_ukrp</t>
  </si>
  <si>
    <t>https://stream-mz.planetradio.co.uk/net2harrogate.aac?aw_0_1st.skey=1667146294&amp;aw_0_1st.playerid=BMUK_ukrp</t>
  </si>
  <si>
    <t>https://stream-mz.planetradio.co.uk/net2worcester.aac?aw_0_1st.skey=1667146297&amp;aw_0_1st.playerid=BMUK_ukrp</t>
  </si>
  <si>
    <t>https://stream-mz.planetradio.co.uk/magic999.aac?aw_0_1st.skey=1667146300&amp;aw_0_1st.playerid=BMUK_ukrp</t>
  </si>
  <si>
    <t>https://stream-mz.planetradio.co.uk/magic828.aac?aw_0_1st.skey=1667146303&amp;aw_0_1st.playerid=BMUK_ukrp</t>
  </si>
  <si>
    <t>https://stream-mz.planetradio.co.uk/net2lincoln.aac?aw_0_1st.skey=1667146309&amp;aw_0_1st.playerid=BMUK_ukrp</t>
  </si>
  <si>
    <t>https://stream-mz.planetradio.co.uk/net2norfolk.aac?aw_0_1st.skey=1667146315&amp;aw_0_1st.playerid=BMUK_ukrp</t>
  </si>
  <si>
    <t>https://stream-mz.planetradio.co.uk/magic1152n.aac?aw_0_1st.skey=1667146316&amp;aw_0_1st.playerid=BMUK_ukrp</t>
  </si>
  <si>
    <t>https://stream-mz.planetradio.co.uk/net2chesterfield.aac?aw_0_1st.skey=1667146319&amp;aw_0_1st.playerid=BMUK_ukrp</t>
  </si>
  <si>
    <t>https://stream-mz.planetradio.co.uk/net2plymouth.aac?aw_0_1st.skey=1667146322&amp;aw_0_1st.playerid=BMUK_ukrp</t>
  </si>
  <si>
    <t>https://stream-mz.planetradio.co.uk/net2somerset.aac?aw_0_1st.skey=1667146325&amp;aw_0_1st.playerid=BMUK_ukrp</t>
  </si>
  <si>
    <t>https://stream-mz.planetradio.co.uk/net2southcoast.aac?aw_0_1st.skey=1667146327&amp;aw_0_1st.playerid=BMUK_ukrp</t>
  </si>
  <si>
    <t>https://stream-mz.planetradio.co.uk/net2salisbury.aac?aw_0_1st.skey=1667146332&amp;aw_0_1st.playerid=BMUK_ukrp</t>
  </si>
  <si>
    <t>https://stream-mz.planetradio.co.uk/magicam.aac?aw_0_1st.skey=1667146335&amp;aw_0_1st.playerid=BMUK_ukrp</t>
  </si>
  <si>
    <t>https://stream-mz.planetradio.co.uk/net2southwales.aac?aw_0_1st.skey=1667146340&amp;aw_0_1st.playerid=BMUK_ukrp</t>
  </si>
  <si>
    <t>https://stream-mz.planetradio.co.uk/net2rutland.aac?aw_0_1st.skey=1667146343&amp;aw_0_1st.playerid=BMUK_ukrp</t>
  </si>
  <si>
    <t>https://stream-mz.planetradio.co.uk/net2stoke.aac?aw_0_1st.skey=1667146346&amp;aw_0_1st.playerid=BMUK_ukrp</t>
  </si>
  <si>
    <t>https://stream-mz.planetradio.co.uk/net2surrey.aac?aw_0_1st.skey=1667146349&amp;aw_0_1st.playerid=BMUK_ukrp</t>
  </si>
  <si>
    <t>https://stream-mz.planetradio.co.uk/net2suffolk.aac?aw_0_1st.skey=1667146352&amp;aw_0_1st.playerid=BMUK_ukrp</t>
  </si>
  <si>
    <t>https://stream-mz.planetradio.co.uk/net2swindon.aac?aw_0_1st.skey=1667146354&amp;aw_0_1st.playerid=BMUK_ukrp</t>
  </si>
  <si>
    <t>https://stream-mz.planetradio.co.uk/magic1170.aac?aw_0_1st.skey=1667146357&amp;aw_0_1st.playerid=BMUK_ukrp</t>
  </si>
  <si>
    <t>https://stream-mz.planetradio.co.uk/net2sussex.aac?aw_0_1st.skey=1667146359&amp;aw_0_1st.playerid=BMUK_ukrp</t>
  </si>
  <si>
    <t>https://stream-mz.planetradio.co.uk/net2westnorfolk.aac?aw_0_1st.skey=1667146361&amp;aw_0_1st.playerid=BMUK_ukrp</t>
  </si>
  <si>
    <t>https://stream-mz.planetradio.co.uk/net2wigan.aac?aw_0_1st.skey=1667146364&amp;aw_0_1st.playerid=BMUK_ukrp</t>
  </si>
  <si>
    <t>https://stream-mz.planetradio.co.uk/net2yorkshirecoast.aac?aw_0_1st.skey=1667146368&amp;aw_0_1st.playerid=BMUK_ukrp</t>
  </si>
  <si>
    <t>Absolute Radio 80s</t>
  </si>
  <si>
    <t>Absolute Radio 80s.jpg</t>
  </si>
  <si>
    <t>https://stream.apollo.audio/mag/hi/aac/?aw_0_1st.skey=1667146531&amp;aw_0_1st.playerid=BMUK_ukrp</t>
  </si>
  <si>
    <t>https://stream-mz.planetradio.co.uk/magicchilled.aac?aw_0_1st.skey=1667146532&amp;aw_0_1st.playerid=BMUK_ukrp</t>
  </si>
  <si>
    <t>https://stream-mz.planetradio.co.uk/magicmusicalshigh.aac?aw_0_1st.skey=1667146534&amp;aw_0_1st.playerid=BMUK_ukrp</t>
  </si>
  <si>
    <t>https://stream-mz.planetradio.co.uk/magicsoul.aac?aw_0_1st.skey=1667146536&amp;aw_0_1st.playerid=BMUK_ukrp</t>
  </si>
  <si>
    <t>https://stream-mz.planetradio.co.uk/magicmellow.aac?aw_0_1st.skey=1667146544&amp;aw_0_1st.playerid=BMUK_ukrp</t>
  </si>
  <si>
    <t>https://stream-mz.planetradio.co.uk/magicmusicals.aac?aw_0_1st.skey=1667146534&amp;aw_0_1st.playerid=BMUK_ukrp</t>
  </si>
  <si>
    <t>https://stream-mz.planetradio.co.uk/net2cumbria.aac?aw_0_1st.skey=1667318487&amp;aw_0_1st.playerid=BMUK_html5</t>
  </si>
  <si>
    <t>https://stream-mz.planetradio.co.uk/net2london.aac?aw_0_1st.skey=1667318790&amp;aw_0_1st.playerid=BMUK_ukrp</t>
  </si>
  <si>
    <t>https://stream-mz.planetradio.co.uk/magic1548.aac?aw_0_1st.skey=1667319023&amp;aw_0_1st.playerid=BMUK_html5</t>
  </si>
  <si>
    <t>https://stream-mz.planetradio.co.uk/magic1152m.aac?aw_0_1st.skey=1667319096&amp;aw_0_1st.playerid=BMUK_html5</t>
  </si>
  <si>
    <t>https://stream-mz.planetradio.co.uk/net2hull.aac?aw_0_1st.skey=1667319304&amp;aw_0_1st.playerid=BMUK_html5</t>
  </si>
  <si>
    <t>https://stream-mz.planetradio.co.uk/net2york.aac?aw_0_1st.skey=1667319449&amp;aw_0_1st.playerid=BMUK_html5</t>
  </si>
  <si>
    <t>https://stream-mz.planetradio.co.uk/net1bournemouth.aac?aw_0_1st.skey=1667146450&amp;aw_0_1st.playerid=BMUK_ukrp</t>
  </si>
  <si>
    <t>https://stream-al.planetradio.co.uk/key.aac?aw_0_1st.skey=1667146453&amp;aw_0_1st.playerid=BMUK_ukrp</t>
  </si>
  <si>
    <t>https://stream-al.planetradio.co.uk/hitsradiopride.aac?aw_0_1st.skey=1667146457&amp;aw_0_1st.playerid=BMUK_ukrp</t>
  </si>
  <si>
    <t>https://stream-mz.planetradio.co.uk/net1southcoast.aac?aw_0_1st.skey=1667146459&amp;aw_0_1st.playerid=BMUK_ukrp</t>
  </si>
  <si>
    <t>https://stream-mz.planetradio.co.uk/net1london.aac?aw_0_1st.skey=1667320099&amp;aw_0_1st.playerid=BMUK_html5</t>
  </si>
  <si>
    <t>https://stream.apollo.audio/hit/hi/aac/?aw_0_1st.skey=1667320171&amp;aw_0_1st.playerid=BMUK_ukrp</t>
  </si>
  <si>
    <t>Hits Radio (South)</t>
  </si>
  <si>
    <t>https://stream-mz.planetradio.co.uk/net1northyorkshire.aac?aw_0_1st.skey=1667320433&amp;aw_0_1st.playerid=BMUK_html5</t>
  </si>
  <si>
    <t>https://stream-al.planetradio.co.uk/hits.aac?aw_0_1st.skey=1667320494&amp;aw_0_1st.playerid=BMUK_html5</t>
  </si>
  <si>
    <t>Hits Radio (South).jpg</t>
  </si>
  <si>
    <t>Hits Radio (Dorset).jpg</t>
  </si>
  <si>
    <t>http://edge-bauerall-01-gos2.sharp-stream.com/forth1.aac</t>
  </si>
  <si>
    <t>http://edge-bauerall-01-gos2.sharp-stream.com/forth1.mp3</t>
  </si>
  <si>
    <t>http://edge-bauerall-01-gos2.sharp-stream.com/forth2.mp3</t>
  </si>
  <si>
    <t>http://edge-bauerall-01-gos2.sharp-stream.com/forth2.aac</t>
  </si>
  <si>
    <t>http://stream.live.vc.bbcmedia.co.uk/bbc_radio_three_hd</t>
  </si>
  <si>
    <t>http://stream.live.vc.bbcmedia.co.uk/bbc_asian_network</t>
  </si>
  <si>
    <t>http://stream.live.vc.bbcmedia.co.uk/bbc_radio_coventry_warwickshire</t>
  </si>
  <si>
    <t>http://stream.live.vc.bbcmedia.co.uk/bbc_radio_essex</t>
  </si>
  <si>
    <t>http://stream.live.vc.bbcmedia.co.uk/bbc_radio_hereford_worcester</t>
  </si>
  <si>
    <t>http://stream.live.vc.bbcmedia.co.uk/bbc_radio_one</t>
  </si>
  <si>
    <t>http://stream.live.vc.bbcmedia.co.uk/bbc_1xtra</t>
  </si>
  <si>
    <t>http://stream.live.vc.bbcmedia.co.uk/bbc_radio_two</t>
  </si>
  <si>
    <t>http://stream.live.vc.bbcmedia.co.uk/bbc_radio_three</t>
  </si>
  <si>
    <t>http://stream.live.vc.bbcmedia.co.uk/bbc_radio_fourfm</t>
  </si>
  <si>
    <t>http://stream.live.vc.bbcmedia.co.uk/bbc_radio_fourlw</t>
  </si>
  <si>
    <t>http://stream.live.vc.bbcmedia.co.uk/bbc_radio_four_extra</t>
  </si>
  <si>
    <t>http://stream.live.vc.bbcmedia.co.uk/bbc_radio_five_live</t>
  </si>
  <si>
    <t>http://stream.live.vc.bbcmedia.co.uk/bbc_radio_five_live_sports_extra</t>
  </si>
  <si>
    <t>http://stream.live.vc.bbcmedia.co.uk/bbc_6music</t>
  </si>
  <si>
    <t>http://stream.live.vc.bbcmedia.co.uk/bbc_radio_berkshire</t>
  </si>
  <si>
    <t>http://stream.live.vc.bbcmedia.co.uk/bbc_radio_bristol</t>
  </si>
  <si>
    <t>http://stream.live.vc.bbcmedia.co.uk/bbc_radio_cambridge</t>
  </si>
  <si>
    <t>http://stream.live.vc.bbcmedia.co.uk/bbc_radio_cornwall</t>
  </si>
  <si>
    <t>http://stream.live.vc.bbcmedia.co.uk/bbc_radio_cumbria</t>
  </si>
  <si>
    <t>http://stream.live.vc.bbcmedia.co.uk/bbc_radio_cymru</t>
  </si>
  <si>
    <t>http://stream.live.vc.bbcmedia.co.uk/bbc_radio_cymru_2</t>
  </si>
  <si>
    <t>http://stream.live.vc.bbcmedia.co.uk/bbc_radio_derby</t>
  </si>
  <si>
    <t>http://stream.live.vc.bbcmedia.co.uk/bbc_radio_devon</t>
  </si>
  <si>
    <t>http://stream.live.vc.bbcmedia.co.uk/bbc_radio_foyle</t>
  </si>
  <si>
    <t>http://stream.live.vc.bbcmedia.co.uk/bbc_radio_gloucestershire</t>
  </si>
  <si>
    <t>http://stream.live.vc.bbcmedia.co.uk/bbc_radio_guernsey</t>
  </si>
  <si>
    <t>http://stream.live.vc.bbcmedia.co.uk/bbc_radio_humberside</t>
  </si>
  <si>
    <t>http://stream.live.vc.bbcmedia.co.uk/bbc_radio_jersey</t>
  </si>
  <si>
    <t>http://stream.live.vc.bbcmedia.co.uk/bbc_radio_kent</t>
  </si>
  <si>
    <t>http://stream.live.vc.bbcmedia.co.uk/bbc_radio_lancashire</t>
  </si>
  <si>
    <t>http://stream.live.vc.bbcmedia.co.uk/bbc_radio_leeds</t>
  </si>
  <si>
    <t>http://stream.live.vc.bbcmedia.co.uk/bbc_radio_leicester</t>
  </si>
  <si>
    <t>http://stream.live.vc.bbcmedia.co.uk/bbc_radio_lincolnshire</t>
  </si>
  <si>
    <t>http://stream.live.vc.bbcmedia.co.uk/bbc_london</t>
  </si>
  <si>
    <t>http://stream.live.vc.bbcmedia.co.uk/bbc_radio_manchester</t>
  </si>
  <si>
    <t>http://stream.live.vc.bbcmedia.co.uk/bbc_radio_merseyside</t>
  </si>
  <si>
    <t>http://stream.live.vc.bbcmedia.co.uk/bbc_radio_nan_gaidheal</t>
  </si>
  <si>
    <t>http://stream.live.vc.bbcmedia.co.uk/bbc_radio_newcastle</t>
  </si>
  <si>
    <t>http://stream.live.vc.bbcmedia.co.uk/bbc_radio_norfolk</t>
  </si>
  <si>
    <t>http://stream.live.vc.bbcmedia.co.uk/bbc_radio_northampton</t>
  </si>
  <si>
    <t>http://stream.live.vc.bbcmedia.co.uk/bbc_radio_nottingham</t>
  </si>
  <si>
    <t>http://stream.live.vc.bbcmedia.co.uk/bbc_radio_orkney</t>
  </si>
  <si>
    <t>http://stream.live.vc.bbcmedia.co.uk/bbc_radio_oxford</t>
  </si>
  <si>
    <t>http://stream.live.vc.bbcmedia.co.uk/bbc_radio_scotland_mw</t>
  </si>
  <si>
    <t>http://stream.live.vc.bbcmedia.co.uk/bbc_radio_scotland_fm</t>
  </si>
  <si>
    <t>http://stream.live.vc.bbcmedia.co.uk/bbc_radio_sheffield</t>
  </si>
  <si>
    <t>http://stream.live.vc.bbcmedia.co.uk/bbc_radio_shetland</t>
  </si>
  <si>
    <t>http://stream.live.vc.bbcmedia.co.uk/bbc_radio_shropshire</t>
  </si>
  <si>
    <t>http://stream.live.vc.bbcmedia.co.uk/bbc_radio_solent</t>
  </si>
  <si>
    <t>http://stream.live.vc.bbcmedia.co.uk/bbc_radio_solent_west_dorset</t>
  </si>
  <si>
    <t>http://stream.live.vc.bbcmedia.co.uk/bbc_radio_somerset_sound</t>
  </si>
  <si>
    <t>http://stream.live.vc.bbcmedia.co.uk/bbc_radio_stoke</t>
  </si>
  <si>
    <t>http://stream.live.vc.bbcmedia.co.uk/bbc_radio_suffolk</t>
  </si>
  <si>
    <t>http://stream.live.vc.bbcmedia.co.uk/bbc_radio_surrey</t>
  </si>
  <si>
    <t>http://stream.live.vc.bbcmedia.co.uk/bbc_radio_sussex</t>
  </si>
  <si>
    <t>http://stream.live.vc.bbcmedia.co.uk/bbc_tees</t>
  </si>
  <si>
    <t>http://stream.live.vc.bbcmedia.co.uk/bbc_radio_ulster</t>
  </si>
  <si>
    <t>http://stream.live.vc.bbcmedia.co.uk/bbc_radio_wales_fm</t>
  </si>
  <si>
    <t>http://stream.live.vc.bbcmedia.co.uk/bbc_radio_wiltshire</t>
  </si>
  <si>
    <t>http://stream.live.vc.bbcmedia.co.uk/bbc_wm</t>
  </si>
  <si>
    <t>http://stream.live.vc.bbcmedia.co.uk/bbc_radio_york</t>
  </si>
  <si>
    <t>http://stream.live.vc.bbcmedia.co.uk/bbc_three_counties_radio</t>
  </si>
  <si>
    <t>http://stream.rcs.revma.com/0kv9v43t87zuv.m3u</t>
  </si>
  <si>
    <t>http://81.136.155.183:8000/45Radio32k.m3u</t>
  </si>
  <si>
    <t>http://www.radiofeeds.net/playlists/80srhythm.m3u</t>
  </si>
  <si>
    <t>http://www.radiofeeds.net/playlists/bauerflash.pls?station=absoluteclassicrock-aac.m3u</t>
  </si>
  <si>
    <t>http://www.radiofeeds.net/playlists/bauerflash.pls?station=absoluteclassicrockhigh-aac</t>
  </si>
  <si>
    <t>http://www.radiofeeds.net/playlists/bauerflash.pls?station=absoluteradio-aac</t>
  </si>
  <si>
    <t>http://www.radiofeeds.net/playlists/bauerflash.pls?station=absoluteradiohigh-aac</t>
  </si>
  <si>
    <t>http://www.radiofeeds.net/playlists/bauerflash.pls?station=absolute60s-aac</t>
  </si>
  <si>
    <t>http://www.radiofeeds.net/playlists/bauerflash.pls?station=absolute60shigh-aac</t>
  </si>
  <si>
    <t>http://www.radiofeeds.net/playlists/bauerflash.pls?station=absolute70s-aac</t>
  </si>
  <si>
    <t>http://www.radiofeeds.net/playlists/bauerflash.pls?station=absolute70shigh-aac</t>
  </si>
  <si>
    <t>http://www.radiofeeds.net/playlists/bauerflash.pls?station=absolute80s-aac</t>
  </si>
  <si>
    <t>http://www.radiofeeds.net/playlists/bauerflash.pls?station=absolute80shigh-aac</t>
  </si>
  <si>
    <t>http://www.radiofeeds.net/playlists/bauerflash.pls?station=absolute90s-aac</t>
  </si>
  <si>
    <t>http://www.radiofeeds.net/playlists/bauerflash.pls?station=absolute90shigh-aac</t>
  </si>
  <si>
    <t>http://www.radiofeeds.net/playlists/bauerflash.pls?station=absolute00s-aac</t>
  </si>
  <si>
    <t>http://www.radiofeeds.net/playlists/bauerflash.pls?station=absolute00shigh-aac</t>
  </si>
  <si>
    <t>http://www.radiofeeds.net/playlists/bauerflash.pls?station=absolute10s-aac</t>
  </si>
  <si>
    <t>http://www.radiofeeds.net/playlists/bauerflash.pls?station=absolute10shigh-aac</t>
  </si>
  <si>
    <t>http://www.radiofeeds.net/playlists/bauer.pls?station=webcast3-aac</t>
  </si>
  <si>
    <t>http://www.radiofeeds.net/playlists/bauer.pls?station=webcast3high-aac</t>
  </si>
  <si>
    <t>http://www.radiofeeds.net/playlists/bauer.pls?station=absolutecountry-aac</t>
  </si>
  <si>
    <t>http://www.radiofeeds.net/playlists/bauer.pls?station=absolutecountryhigh-aac</t>
  </si>
  <si>
    <t>http://www.radiofeeds.net/playlists/sharptemp.pls?station=actualradio-aac</t>
  </si>
  <si>
    <t>http://centauri.shoutca.st:8284/listen.pls?sid=2</t>
  </si>
  <si>
    <t>http://www.radiofeeds.net/playlists/argyllaaclow.m3u</t>
  </si>
  <si>
    <t>http://www.radiofeeds.net/playlists/argyllaachigh.m3u</t>
  </si>
  <si>
    <t>http://www.radiofeeds.net/playlists/sharptemp.pls?station=aspenwaiteprem-aac</t>
  </si>
  <si>
    <t>http://www.radiofeeds.net/playlists/sharptemp.pls?station=mangovibe-aac</t>
  </si>
  <si>
    <t>http://streaming.radio.co/sc599f67d7/low.m3u</t>
  </si>
  <si>
    <t>http://streaming.radio.co/sc599f67d7/listen.m3u</t>
  </si>
  <si>
    <t>http://hydra.shoutca.st:8064/stream2.m3u</t>
  </si>
  <si>
    <t>http://www.radiofeeds.net/playlists/bbcradio3aac.pls</t>
  </si>
  <si>
    <t>http://stream.beyondradio.co.uk:8000/ulow.m3u</t>
  </si>
  <si>
    <t>http://stream.beyondradio.co.uk:8000/low.m3u</t>
  </si>
  <si>
    <t>http://stream.beyondradio.co.uk:8000/high.m3u</t>
  </si>
  <si>
    <t>http://icy-e-01.sharp-stream.com/ssvcbfbs11.aac.m3u</t>
  </si>
  <si>
    <t>http://icy-e-01.sharp-stream.com/ssvcbfbs1.aac.m3u</t>
  </si>
  <si>
    <t>http://icy-e-01.sharp-stream.com/ssvcbfbs20.aac.m3u</t>
  </si>
  <si>
    <t>http://icy-e-01.sharp-stream.com/ssvcbfbs24.aac.m3u</t>
  </si>
  <si>
    <t>http://icy-e-01.sharp-stream.com/ssvcbfbs22.aac.m3u</t>
  </si>
  <si>
    <t>http://icy-e-01.sharp-stream.com/ssvcbfbs3.aac.m3u</t>
  </si>
  <si>
    <t>http://icy-e-01.sharp-stream.com/ssvcbfbs21.aac.m3u</t>
  </si>
  <si>
    <t>http://s4.citrus3.com:8366/stream.m3u</t>
  </si>
  <si>
    <t>http://www.radiofeeds.net/playlists/sharptemp.pls?station=65_boom_light_48_aac</t>
  </si>
  <si>
    <t>http://www.radiofeeds.net/playlists/sharptemp.pls?station=65_boom_light_64_aac</t>
  </si>
  <si>
    <t>http://www.radiofeeds.net/playlists/sharptemp.pls?station=65_boom_light_256_aac</t>
  </si>
  <si>
    <t>http://www.radiofeeds.net/playlists/sharptemp.pls?station=65_boom_radio_live_48</t>
  </si>
  <si>
    <t>http://www.radiofeeds.net/playlists/sharptemp.pls?station=65_boom_radio_live_64</t>
  </si>
  <si>
    <t>http://www.radiofeeds.net/playlists/sharptemp.pls?station=65_boom_radio_live_192</t>
  </si>
  <si>
    <t>http://www.radiofeeds.net/playlists/sharptemp.pls?station=tcbridge-aac</t>
  </si>
  <si>
    <t>http://stream4.hippynet.co.uk:8008/mobile.m3u</t>
  </si>
  <si>
    <t>http://aries.streaming.zfast.co.uk:8128/listen.pls?sid=1</t>
  </si>
  <si>
    <t>http://icecast.thisisdax.com/CapitalCymru.m3u</t>
  </si>
  <si>
    <t>http://icecast.thisisdax.com/CapitalLiverpool.m3u</t>
  </si>
  <si>
    <t>http://icecast.thisisdax.com/Capital.m3u</t>
  </si>
  <si>
    <t>http://icecast.thisisdax.com/CapitalBirmingham.m3u</t>
  </si>
  <si>
    <t>http://icecast.thisisdax.com/CapitalCoventry.m3u</t>
  </si>
  <si>
    <t>http://icecast.thisisdax.com/CapitalDerbyshire.m3u</t>
  </si>
  <si>
    <t>http://icecast.thisisdax.com/CapitalLeicestershire.m3u</t>
  </si>
  <si>
    <t>http://icecast.thisisdax.com/CapitalNorthOxfordshire.m3u</t>
  </si>
  <si>
    <t>http://icecast.thisisdax.com/CapitalNottinghamshire.m3u</t>
  </si>
  <si>
    <t>http://icecast.thisisdax.com/CapitalRugby.m3u</t>
  </si>
  <si>
    <t>http://icecast.thisisdax.com/CapitalSouthEastStaffordshire.m3u</t>
  </si>
  <si>
    <t>http://icecast.thisisdax.com/CapitalStratford.m3u</t>
  </si>
  <si>
    <t>http://icecast.thisisdax.com/CapitalWarwick.m3u</t>
  </si>
  <si>
    <t>http://icecast.thisisdax.com/CapitalTeesside.m3u</t>
  </si>
  <si>
    <t>http://icecast.thisisdax.com/CapitalTyneWear.m3u</t>
  </si>
  <si>
    <t>http://icecast.thisisdax.com/CapitalWalesCoast.m3u</t>
  </si>
  <si>
    <t>http://icecast.thisisdax.com/CapitalWirral.m3u</t>
  </si>
  <si>
    <t>http://icecast.thisisdax.com/CapitalWrexham.m3u</t>
  </si>
  <si>
    <t>http://icecast.thisisdax.com/CapitalBurnley.m3u</t>
  </si>
  <si>
    <t>http://icecast.thisisdax.com/CapitalManchester.m3u</t>
  </si>
  <si>
    <t>http://icecast.thisisdax.com/CapitalPreston.m3u</t>
  </si>
  <si>
    <t>http://icecast.thisisdax.com/CapitalEdinburgh.m3u</t>
  </si>
  <si>
    <t>http://icecast.thisisdax.com/CapitalGlasgow.m3u</t>
  </si>
  <si>
    <t>http://icecast.thisisdax.com/CapitalBrighton.m3u</t>
  </si>
  <si>
    <t>http://icecast.thisisdax.com/CapitalSouthCoast.m3u</t>
  </si>
  <si>
    <t>http://icecast.thisisdax.com/CapitalSouthWales.m3u</t>
  </si>
  <si>
    <t>http://icecast.thisisdax.com/CapitalUK.m3u</t>
  </si>
  <si>
    <t>http://icecast.thisisdax.com/CapitalYorkshireEast.m3u</t>
  </si>
  <si>
    <t>http://icecast.thisisdax.com/CapitalYorkshireSouthWest.m3u</t>
  </si>
  <si>
    <t>http://media-ice.musicradio.com/CapitalDance.m3u</t>
  </si>
  <si>
    <t>http://icecast.thisisdax.com/CapitalXTRALondon.m3u</t>
  </si>
  <si>
    <t>http://icecast.thisisdax.com/CapitalXTRANational.m3u</t>
  </si>
  <si>
    <t>http://icecast.thisisdax.com/CapitalXTRAReloaded.m3u</t>
  </si>
  <si>
    <t>http://www.radiofeeds.net/playlists/sharptemp.pls?station=120_care_radio_48_aac</t>
  </si>
  <si>
    <t>http://webradio.radiomonitor.com/m3u/CentralFM.m3u</t>
  </si>
  <si>
    <t>http://stream.central.radio:8000/low.m3u</t>
  </si>
  <si>
    <t>http://stream.central.radio:8000/high.m3u</t>
  </si>
  <si>
    <t>http://www.radiofeeds.net/playlists/bauer.pls?station=cfm-aac</t>
  </si>
  <si>
    <t>http://stream.rcs.revma.com/wzc639un1qzuv.m3u</t>
  </si>
  <si>
    <t>http://www.radiofeeds.net/playlists/sharptemp.pls?station=cheesyfm-aac</t>
  </si>
  <si>
    <t>http://icecast.thisisdax.com/ClassicFM.m3u</t>
  </si>
  <si>
    <t>http://stream.radiojar.com/q8wauz467reuv.m3u</t>
  </si>
  <si>
    <t>http://stream.radiojar.com/xgbg3anx3zquv.m3u</t>
  </si>
  <si>
    <t>http://www.radiofeeds.net/playlists/bauer.pls?station=clyde1-aac</t>
  </si>
  <si>
    <t>http://www.radiofeeds.net/playlists/bauer.pls?station=clyde2-aac</t>
  </si>
  <si>
    <t>http://www.radiofeeds.net/playlists/bauer.pls?station=coolfm-aac</t>
  </si>
  <si>
    <t>http://www.radiofeeds.net/playlists/sharptemp.pls?station=chriscountry-aac</t>
  </si>
  <si>
    <t>http://dab.decadanceradio.net:8000/brighton.aac.m3u</t>
  </si>
  <si>
    <t>http://www.radiofeeds.net/playlists/bauer.pls?station=downtowncountry-aac</t>
  </si>
  <si>
    <t>http://www.radiofeeds.net/playlists/bauer.pls?station=downtown-aac</t>
  </si>
  <si>
    <t>http://www.radiofeeds.net/playlists/sharptemp.pls?station=tcnationdigital-aac</t>
  </si>
  <si>
    <t>http://stream.rcs.revma.com/69v2m2q5xhruv.m3u</t>
  </si>
  <si>
    <t>http://fra-ranger01.dedicateware.com:18010/mobile.m3u</t>
  </si>
  <si>
    <t>http://www.radiofeeds.net/playlists/sharptemp.pls?station=nationeasyports-aac</t>
  </si>
  <si>
    <t>http://www.radiofeeds.net/playlists/sharptemp.pls?station=nationeasysoton-aac</t>
  </si>
  <si>
    <t>http://www.radiofeeds.net/playlists/sharptemp.pls?station=breezyradiouk-aac</t>
  </si>
  <si>
    <t>http://www.radiofeeds.net/playlists/sharptemp.pls?station=tcbay-aac</t>
  </si>
  <si>
    <t>http://www.radiofeeds.net/playlists/eirewaveaac.m3u</t>
  </si>
  <si>
    <t>http://www.radiofeeds.net/playlists/ewtn.m3u</t>
  </si>
  <si>
    <t>http://icy-e-01.sharp-stream.com/fixradio.aac.m3u</t>
  </si>
  <si>
    <t>http://www.radiofeeds.net/playlists/bauer.pls?station=forth1-aac</t>
  </si>
  <si>
    <t>http://www.radiofeeds.net/playlists/bauer.pls?station=forth2-aac</t>
  </si>
  <si>
    <t>http://www.radiofeeds.net/playlists/maxxwave.pls?station=fossehinckleyhq</t>
  </si>
  <si>
    <t>http://www.radiofeeds.net/playlists/maxxwave.pls?station=fosseloughbrohq</t>
  </si>
  <si>
    <t>http://www.radiofeeds.net/playlists/bauer.pls?station=freebirmingham-aac</t>
  </si>
  <si>
    <t>http://www.radiofeeds.net/playlists/bauer.pls?station=freeblackcountry-aac</t>
  </si>
  <si>
    <t>http://www.radiofeeds.net/playlists/bauer.pls?station=freecoventry-aac</t>
  </si>
  <si>
    <t>http://www.radiofeeds.net/playlists/bauer.pls?station=freehereford-aac</t>
  </si>
  <si>
    <t>http://www.radiofeeds.net/playlists/bauer.pls?station=freeshropshire-aac</t>
  </si>
  <si>
    <t>http://www.friskradio.com:8000/stream1.m3u</t>
  </si>
  <si>
    <t>http://www.radiofeeds.net/playlists/sharptemp.pls?station=funkids-aac</t>
  </si>
  <si>
    <t>http://www.radiofeeds.net/playlists/sharptemp.pls?station=funkidsjunior-aac</t>
  </si>
  <si>
    <t>http://stream.rcs.revma.com/06806khmh5zuv.m3u</t>
  </si>
  <si>
    <t>http://stream.rcs.revma.com/d3xb3hq3tm0uv.m3u</t>
  </si>
  <si>
    <t>http://www.radiofeeds.net/playlists/sharptemp.pls?station=467_gaydio_birmingham_48_aac</t>
  </si>
  <si>
    <t>http://www.radiofeeds.net/playlists/sharptemp.pls?station=76_gaydio_scotland_48_aac</t>
  </si>
  <si>
    <t>http://www.radiofeeds.net/playlists/sharptemp.pls?station=472_gaydio_london_48_aac</t>
  </si>
  <si>
    <t>http://www.radiofeeds.net/playlists/sharptemp.pls?station=gaydiouk-aac</t>
  </si>
  <si>
    <t>http://www.radiofeeds.net/playlists/sharptemp.pls?station=gbnews-aac</t>
  </si>
  <si>
    <t>http://www.radiofeeds.net/playlists/bauer.pls?station=gem106-aac.m3u</t>
  </si>
  <si>
    <t>http://stream.getradio.co.uk/aac64.m3u</t>
  </si>
  <si>
    <t>http://stream.getradio.co.uk/aac.m3u</t>
  </si>
  <si>
    <t>http://icecast.thisisdax.com/Gold.m3u</t>
  </si>
  <si>
    <t>http://media-ice.musicradio.com/GoldAdwHD.m3u</t>
  </si>
  <si>
    <t>http://stream.rcs.revma.com/xb30qqsuvrhvv.m3u</t>
  </si>
  <si>
    <t>http://www.radiofeeds.net/playlists/bauer.pls?station=net2essex-aac</t>
  </si>
  <si>
    <t>http://www.radiofeeds.net/playlists/bauer.pls?station=net2suffolk-aac</t>
  </si>
  <si>
    <t>http://www.radiofeeds.net/playlists/bauer.pls?station=net2norfolk-aac</t>
  </si>
  <si>
    <t>http://www.radiofeeds.net/playlists/bauer.pls?station=net2westnorfolk-aac</t>
  </si>
  <si>
    <t>http://www.radiofeeds.net/playlists/bauer.pls?station=net2london-aac</t>
  </si>
  <si>
    <t>http://www.radiofeeds.net/playlists/bauer.pls?station=net2westmidlands-aac</t>
  </si>
  <si>
    <t>http://www.radiofeeds.net/playlists/bauer.pls?station=net2wolverhampton-aac</t>
  </si>
  <si>
    <t>http://www.radiofeeds.net/playlists/bauer.pls?station=net2coventry-aac</t>
  </si>
  <si>
    <t>http://www.radiofeeds.net/playlists/bauer.pls?station=net2eastmidlands-aac</t>
  </si>
  <si>
    <t>http://www.radiofeeds.net/playlists/bauer.pls?station=net2worcester-aac</t>
  </si>
  <si>
    <t>http://www.radiofeeds.net/playlists/bauer.pls?station=net2derbyshire-aac</t>
  </si>
  <si>
    <t>http://www.radiofeeds.net/playlists/bauer.pls?station=net2stoke-aac</t>
  </si>
  <si>
    <t>http://www.radiofeeds.net/playlists/bauer.pls?station=net2rutland-aac</t>
  </si>
  <si>
    <t>http://www.radiofeeds.net/playlists/bauer.pls?station=magic1170-aac</t>
  </si>
  <si>
    <t>http://www.radiofeeds.net/playlists/bauer.pls?station=magic1152n-aac</t>
  </si>
  <si>
    <t>http://www.radiofeeds.net/playlists/bauer.pls?station=net2cumbria-aac</t>
  </si>
  <si>
    <t>http://www.radiofeeds.net/playlists/bauer.pls?station=magic999-aac</t>
  </si>
  <si>
    <t>http://www.radiofeeds.net/playlists/bauer.pls?station=magic1548-aac</t>
  </si>
  <si>
    <t>http://www.radiofeeds.net/playlists/bauer.pls?station=magic1152m-aac</t>
  </si>
  <si>
    <t>http://www.radiofeeds.net/playlists/bauer.pls?station=net2stockport-aac</t>
  </si>
  <si>
    <t>http://www.radiofeeds.net/playlists/bauer.pls?station=net2wigan-aac</t>
  </si>
  <si>
    <t>http://www.radiofeeds.net/playlists/bauer.pls?station=net2berkshire-aac</t>
  </si>
  <si>
    <t>http://www.radiofeeds.net/playlists/bauer.pls?station=net2bournemouth-aac</t>
  </si>
  <si>
    <t>http://www.radiofeeds.net/playlists/bauer.pls?station=net2aylesbury-aac</t>
  </si>
  <si>
    <t>http://www.radiofeeds.net/playlists/bauer.pls?station=net2dorset-aac</t>
  </si>
  <si>
    <t>http://www.radiofeeds.net/playlists/bauer.pls?station=net2salisbury-aac</t>
  </si>
  <si>
    <t>http://www.radiofeeds.net/playlists/bauer.pls?station=net2southcoast-aac</t>
  </si>
  <si>
    <t>http://www.radiofeeds.net/playlists/bauer.pls?station=net2surrey-aac</t>
  </si>
  <si>
    <t>http://www.radiofeeds.net/playlists/bauer.pls?station=net2sussex-aac</t>
  </si>
  <si>
    <t>http://www.radiofeeds.net/playlists/bauer.pls?station=net2southwales-aac</t>
  </si>
  <si>
    <t>http://www.radiofeeds.net/playlists/bauer.pls?station=net2bath-aac</t>
  </si>
  <si>
    <t>http://www.radiofeeds.net/playlists/bauer.pls?station=net2bristol-aac</t>
  </si>
  <si>
    <t>http://www.radiofeeds.net/playlists/bauer.pls?station=net2cornwall-aac</t>
  </si>
  <si>
    <t>http://www.radiofeeds.net/playlists/bauer.pls?station=net2devon-aac</t>
  </si>
  <si>
    <t>http://www.radiofeeds.net/playlists/bauer.pls?station=net2gloucester-aac</t>
  </si>
  <si>
    <t>http://www.radiofeeds.net/playlists/bauer.pls?station=net2plymouth-aac</t>
  </si>
  <si>
    <t>http://www.radiofeeds.net/playlists/bauer.pls?station=net2somerset-aac</t>
  </si>
  <si>
    <t>http://www.radiofeeds.net/playlists/bauer.pls?station=net2swindon-aac</t>
  </si>
  <si>
    <t>http://www.radiofeeds.net/playlists/bauer.pls?station=net2national-aac</t>
  </si>
  <si>
    <t>http://www.radiofeeds.net/playlists/bauer.pls?station=net2hull-aac</t>
  </si>
  <si>
    <t>http://www.radiofeeds.net/playlists/bauer.pls?station=net2grimsby-aac</t>
  </si>
  <si>
    <t>http://www.radiofeeds.net/playlists/bauer.pls?station=net2harrogate-aac</t>
  </si>
  <si>
    <t>http://www.radiofeeds.net/playlists/bauer.pls?station=net2lincoln-aac</t>
  </si>
  <si>
    <t>http://www.radiofeeds.net/playlists/bauer.pls?station=net2chesterfield-aac</t>
  </si>
  <si>
    <t>http://www.radiofeeds.net/playlists/bauer.pls?station=magicam-aac</t>
  </si>
  <si>
    <t>http://www.radiofeeds.net/playlists/bauer.pls?station=magic828-aac</t>
  </si>
  <si>
    <t>http://www.radiofeeds.net/playlists/bauer.pls?station=net2york-aac</t>
  </si>
  <si>
    <t>http://www.radiofeeds.net/playlists/bauer.pls?station=net2yorkshirecoast-aac</t>
  </si>
  <si>
    <t>http://www.radiofeeds.net/playlists/bauer.pls?station=hallam-aac</t>
  </si>
  <si>
    <t>http://icecast.thisisdax.com/HeartBedfordshire.m3u</t>
  </si>
  <si>
    <t>http://icecast.thisisdax.com/HeartBedsBucksHerts.m3u</t>
  </si>
  <si>
    <t>http://icecast.thisisdax.com/HeartCambridge.m3u</t>
  </si>
  <si>
    <t>http://icecast.thisisdax.com/HeartColchester.m3u</t>
  </si>
  <si>
    <t>http://icecast.thisisdax.com/HeartPeterborough.m3u</t>
  </si>
  <si>
    <t>http://icecast.thisisdax.com/HeartHarlow.m3u</t>
  </si>
  <si>
    <t>http://icecast.thisisdax.com/HeartMiltonKeynes.m3u</t>
  </si>
  <si>
    <t>http://icecast.thisisdax.com/HeartNorfolk.m3u</t>
  </si>
  <si>
    <t>http://icecast.thisisdax.com/HeartNorthamptonshire.m3u</t>
  </si>
  <si>
    <t>http://icecast.thisisdax.com/HeartEssex.m3u</t>
  </si>
  <si>
    <t>http://icecast.thisisdax.com/HeartSuffolk.m3u</t>
  </si>
  <si>
    <t>http://icecast.thisisdax.com/HeartHertsNorth.m3u</t>
  </si>
  <si>
    <t>http://icecast.thisisdax.com/HeartWatford.m3u</t>
  </si>
  <si>
    <t>http://icecast.thisisdax.com/HeartLondon.m3u</t>
  </si>
  <si>
    <t>http://icecast.thisisdax.com/HeartNorthWales.m3u</t>
  </si>
  <si>
    <t>http://icecast.thisisdax.com/HeartTeesside.m3u</t>
  </si>
  <si>
    <t>http://icecast.thisisdax.com/HeartTyneWear.m3u</t>
  </si>
  <si>
    <t>http://icecast.thisisdax.com/HeartNorthLancsCumbria.m3u</t>
  </si>
  <si>
    <t>http://icecast.thisisdax.com/HeartNorthWest.m3u</t>
  </si>
  <si>
    <t>http://icecast.thisisdax.com/HeartEdinburgh.m3u</t>
  </si>
  <si>
    <t>http://icecast.thisisdax.com/HeartGlasgow.m3u</t>
  </si>
  <si>
    <t>http://icecast.thisisdax.com/HeartBerkshire.m3u</t>
  </si>
  <si>
    <t>http://icecast.thisisdax.com/HeartCrawley.m3u</t>
  </si>
  <si>
    <t>http://icecast.thisisdax.com/HeartDorset.m3u</t>
  </si>
  <si>
    <t>http://icecast.thisisdax.com/HeartHampshire.m3u</t>
  </si>
  <si>
    <t>http://icecast.thisisdax.com/HeartKent.m3u</t>
  </si>
  <si>
    <t>http://icecast.thisisdax.com/HeartOxfordshire.m3u</t>
  </si>
  <si>
    <t>http://icecast.thisisdax.com/HeartSussex.m3u</t>
  </si>
  <si>
    <t>http://icecast.thisisdax.com/HeartSouthWales.m3u</t>
  </si>
  <si>
    <t>http://icecast.thisisdax.com/HeartWestWales.m3u</t>
  </si>
  <si>
    <t>http://icecast.thisisdax.com/HeartUK.m3u</t>
  </si>
  <si>
    <t>http://icecast.thisisdax.com/HeartUKAdwHD.m3u</t>
  </si>
  <si>
    <t>http://icecast.thisisdax.com/HeartBath.m3u</t>
  </si>
  <si>
    <t>http://icecast.thisisdax.com/HeartBristol.m3u</t>
  </si>
  <si>
    <t>http://icecast.thisisdax.com/HeartCornwall.m3u</t>
  </si>
  <si>
    <t>http://icecast.thisisdax.com/HeartEastDevon.m3u</t>
  </si>
  <si>
    <t>http://icecast.thisisdax.com/HeartGloucestershire.m3u</t>
  </si>
  <si>
    <t>http://icecast.thisisdax.com/HeartNorthDevon.m3u</t>
  </si>
  <si>
    <t>http://icecast.thisisdax.com/HeartPlymouth.m3u</t>
  </si>
  <si>
    <t>http://icecast.thisisdax.com/HeartSomerset.m3u</t>
  </si>
  <si>
    <t>http://icecast.thisisdax.com/HeartSouthHams.m3u</t>
  </si>
  <si>
    <t>http://icecast.thisisdax.com/HeartTorbay.m3u</t>
  </si>
  <si>
    <t>http://icecast.thisisdax.com/HeartWiltshire.m3u</t>
  </si>
  <si>
    <t>http://icecast.thisisdax.com/HeartWestMids.m3u</t>
  </si>
  <si>
    <t>http://icecast.thisisdax.com/HeartYorkshire.m3u</t>
  </si>
  <si>
    <t>http://icecast.thisisdax.com/Heart70s.m3u</t>
  </si>
  <si>
    <t>http://icecast.thisisdax.com/Heart80s.m3u</t>
  </si>
  <si>
    <t>http://icecast.thisisdax.com/Heart90s.m3u</t>
  </si>
  <si>
    <t>http://icecast.thisisdax.com/Heart00s.m3u</t>
  </si>
  <si>
    <t>http://icecast.thisisdax.com/HeartDance.m3u</t>
  </si>
  <si>
    <t>http://media-ice.musicradio.com/HeartXmas.m3u</t>
  </si>
  <si>
    <t>http://streamer.radio.co/sa0f1967d5/low.m3u</t>
  </si>
  <si>
    <t>http://www.radiofeeds.net/playlists/bauer.pls?station=heat-aac</t>
  </si>
  <si>
    <t>http://streaming03.zfast.co.uk:8014/listen.pls?sid=1</t>
  </si>
  <si>
    <t>http://www.radiofeeds.net/playlists/bauer.pls?station=net1bristol-aac</t>
  </si>
  <si>
    <t>http://www.radiofeeds.net/playlists/bauer.pls?station=net1london-aac</t>
  </si>
  <si>
    <t>http://www.radiofeeds.net/playlists/bauer.pls?station=key-aac</t>
  </si>
  <si>
    <t>http://www.radiofeeds.net/playlists/bauer.pls?station=net1northyorkshire-aac</t>
  </si>
  <si>
    <t>http://www.radiofeeds.net/playlists/bauer.pls?station=net1bournemouth-aac</t>
  </si>
  <si>
    <t>http://www.radiofeeds.net/playlists/bauer.pls?station=net1southcoast-aac</t>
  </si>
  <si>
    <t>http://www.radiofeeds.net/playlists/bauer.pls?station=net1suffolk-aac</t>
  </si>
  <si>
    <t>http://www.radiofeeds.net/playlists/bauer.pls?station=hits-aac</t>
  </si>
  <si>
    <t>http://www.radiofeeds.net/playlists/bauerflash.pls?station=hitsradiopride-aac</t>
  </si>
  <si>
    <t>http://radio.hopefm.org.uk:12364/liveaac.m3u</t>
  </si>
  <si>
    <t>http://www2.housepartyradio.net/stream/aac/httpsafe/play.m3u?from=radiofeeds</t>
  </si>
  <si>
    <t>http://curtis.hubradio.co.uk:8080/hub-lq.aac.m3u</t>
  </si>
  <si>
    <t>http://curtis.hubradio.co.uk:8080/hub-hq.aac.m3u</t>
  </si>
  <si>
    <t>http://stream.rcs.revma.com/6s36ckxvutzuv.m3u</t>
  </si>
  <si>
    <t>http://stream.rcs.revma.com/24we5fvn1qzuv.m3u</t>
  </si>
  <si>
    <t>http://s4.xrad.io:8018/listen.pls?sid=1</t>
  </si>
  <si>
    <t>http://www.radiofeeds.net/playlists/sharptemp.pls?station=390_jack_fm_64_aac</t>
  </si>
  <si>
    <t>http://www.radiofeeds.net/playlists/sharptemp.pls?station=390_jack_2_64_aac</t>
  </si>
  <si>
    <t>http://www.radiofeeds.net/playlists/sharptemp.pls?station=390_jack_3_64_aac</t>
  </si>
  <si>
    <t>http://www.radiofeeds.net/playlists/bauer.pls?station=jazz-aac</t>
  </si>
  <si>
    <t>http://www.radiofeeds.net/playlists/bauer.pls?station=jazzhigh-aac</t>
  </si>
  <si>
    <t>http://www.radiofeeds.net/playlists/bauer.pls?station=kerrang-aac</t>
  </si>
  <si>
    <t>http://www.radiofeeds.net/playlists/sharptemp.pls?station=kingdomfm-aac</t>
  </si>
  <si>
    <t>http://www.radiofeeds.net/playlists/bauer.pls?station=kiss100-aac</t>
  </si>
  <si>
    <t>http://www.radiofeeds.net/playlists/bauer.pls?station=kissnational-aac</t>
  </si>
  <si>
    <t>http://www.radiofeeds.net/playlists/bauer.pls?station=webcast7-aac</t>
  </si>
  <si>
    <t>http://www.radiofeeds.net/playlists/bauer.pls?station=webcast7high-aac</t>
  </si>
  <si>
    <t>http://www.radiofeeds.net/playlists/bauer.pls?station=webcast6-aac</t>
  </si>
  <si>
    <t>http://www.radiofeeds.net/playlists/bauer.pls?station=webcast6high-aac</t>
  </si>
  <si>
    <t>http://www.radiofeeds.net/playlists/bauer.pls?station=kissfresh-aac</t>
  </si>
  <si>
    <t>http://www.radiofeeds.net/playlists/bauer.pls?station=webcast5-aac</t>
  </si>
  <si>
    <t>http://www.radiofeeds.net/playlists/bauer.pls?station=webcast5high-aac</t>
  </si>
  <si>
    <t>http://www.radiofeeds.net/playlists/bauer.pls?station=kisstory-aac</t>
  </si>
  <si>
    <t>http://icecast.thisisdax.com/LBCLondon.m3u</t>
  </si>
  <si>
    <t>http://icecast.thisisdax.com/LBCUK.m3u</t>
  </si>
  <si>
    <t>http://icecast.thisisdax.com/LBCNewsLondon.m3u</t>
  </si>
  <si>
    <t>http://icecast.thisisdax.com/LBCNewsUK.m3u</t>
  </si>
  <si>
    <t>http://www.radiofeeds.net/playlists/maxxwave.pls?station=lcr_aac</t>
  </si>
  <si>
    <t>http://www.radiofeeds.net/playlists/maxxwave.pls?station=lcr2</t>
  </si>
  <si>
    <t>http://www.radiofeeds.net/playlists/likeoneaac.m3u</t>
  </si>
  <si>
    <t>http://www.radiofeeds.net/playlists/likepopaac.m3u</t>
  </si>
  <si>
    <t>http://www.radiofeeds.net/playlists/likeretroaac.m3u</t>
  </si>
  <si>
    <t>http://www.radiofeeds.net/playlists/bauer.pls?station=net1lincoln-aac</t>
  </si>
  <si>
    <t>http://www.radiofeeds.net/playlists/liteaac.m3u</t>
  </si>
  <si>
    <t>http://playoutonestreaming.com:8048/listen.pls?sid=2</t>
  </si>
  <si>
    <t>http://playoutonestreaming.com:8062/listen.pls?sid=2</t>
  </si>
  <si>
    <t>http://playoutonestreaming.com:8042/listen.pls?sid=2</t>
  </si>
  <si>
    <t>http://www.radiofeeds.net/playlists/bauer.pls?station=magic1054-aac</t>
  </si>
  <si>
    <t>http://www.radiofeeds.net/playlists/bauer.pls?station=magicnational-aac</t>
  </si>
  <si>
    <t>http://www.radiofeeds.net/playlists/bauer.pls?station=webcast8-aac</t>
  </si>
  <si>
    <t>http://www.radiofeeds.net/playlists/bauer.pls?station=webcast8high-aac</t>
  </si>
  <si>
    <t>http://www.radiofeeds.net/playlists/bauer.pls?station=magicmusicals-aac</t>
  </si>
  <si>
    <t>http://www.radiofeeds.net/playlists/bauer.pls?station=magicmusicalshigh-aac</t>
  </si>
  <si>
    <t>http://www.radiofeeds.net/playlists/bauer.pls?station=magicchilled-aac</t>
  </si>
  <si>
    <t>http://www.radiofeeds.net/playlists/bauer.pls?station=magicsoul-aac</t>
  </si>
  <si>
    <t>http://www.radiofeeds.net/playlists/sharptemp.pls?station=manxradioammobile-aac</t>
  </si>
  <si>
    <t>http://www.radiofeeds.net/playlists/sharptemp.pls?station=manxradioam-aac</t>
  </si>
  <si>
    <t>http://www.radiofeeds.net/playlists/sharptemp.pls?station=manxradiofmmobile-aac</t>
  </si>
  <si>
    <t>http://www.radiofeeds.net/playlists/sharptemp.pls?station=manxradiofm-aac</t>
  </si>
  <si>
    <t>http://www.radiofeeds.net/playlists/bauer.pls?station=magicmellow-aac</t>
  </si>
  <si>
    <t>http://listen.metalmeyhemradio.com:9520/listen.pls?sid=1</t>
  </si>
  <si>
    <t>http://www.radiofeeds.net/playlists/bauer.pls?station=metro-aac</t>
  </si>
  <si>
    <t>http://www.radiofeeds.net/playlists/bauer.pls?station=mfrfm-aac</t>
  </si>
  <si>
    <t>http://www.radiofeeds.net/playlists/bauer.pls?station=mfram-aac</t>
  </si>
  <si>
    <t>http://www.radiofeeds.net/playlists/sharptemp.pls?station=462_mi_soul_48_aac</t>
  </si>
  <si>
    <t>http://cupcake.citrus3.com:8122/stream.m3u</t>
  </si>
  <si>
    <t>http://memorylaneradio.radioca.st:9607/listen.pls?sid=1</t>
  </si>
  <si>
    <t>http://s4.xrad.io:8090/listen.pls?sid=1</t>
  </si>
  <si>
    <t>http://s4.xrad.io:8092/listen.pls?sid=1</t>
  </si>
  <si>
    <t>http://s4.xrad.io:8094/listen.pls?sid=1</t>
  </si>
  <si>
    <t>http://s4.xrad.io:8104/listen.pls?sid=1</t>
  </si>
  <si>
    <t>http://s4.xrad.io:8096/listen.pls?sid=1</t>
  </si>
  <si>
    <t>http://s2.xrad.io:8332/listen.pls</t>
  </si>
  <si>
    <t>http://www.radiofeeds.net/playlists/sharptemp.pls?station=nation60s-aac</t>
  </si>
  <si>
    <t>http://www.radiofeeds.net/playlists/sharptemp.pls?station=nationradio70s-aac</t>
  </si>
  <si>
    <t>http://www.radiofeeds.net/playlists/sharptemp.pls?station=nationradio80s-aac</t>
  </si>
  <si>
    <t>http://www.radiofeeds.net/playlists/sharptemp.pls?station=nationradio90s-aac</t>
  </si>
  <si>
    <t>http://www.radiofeeds.net/playlists/sharptemp.pls?station=nationradio00s-aac</t>
  </si>
  <si>
    <t>http://www.radiofeeds.net/playlists/sharptemp.pls?station=clubnation-aac</t>
  </si>
  <si>
    <t>http://www.radiofeeds.net/playlists/sharptemp.pls?station=nationhits-aac</t>
  </si>
  <si>
    <t>http://www.radiofeeds.net/playlists/sharptemp.pls?station=lovenation-aac</t>
  </si>
  <si>
    <t>http://www.radiofeeds.net/playlists/sharptemp.pls?station=nationparty-aac</t>
  </si>
  <si>
    <t>http://www.radiofeeds.net/playlists/sharptemp.pls?station=hulli-aac</t>
  </si>
  <si>
    <t>http://www.radiofeeds.net/playlists/sharptemp.pls?station=yourradioi-aac</t>
  </si>
  <si>
    <t>http://www.radiofeeds.net/playlists/sharptemp.pls?station=nationscotlandi-aac</t>
  </si>
  <si>
    <t>http://www.radiofeeds.net/playlists/sharptemp.pls?station=nationdorset-aac</t>
  </si>
  <si>
    <t>http://www.radiofeeds.net/playlists/sharptemp.pls?station=nationhampshire-aac</t>
  </si>
  <si>
    <t>http://www.radiofeeds.net/playlists/sharptemp.pls?station=nationsuffolk-aac</t>
  </si>
  <si>
    <t>http://www.radiofeeds.net/playlists/sharptemp.pls?station=thamesradio-aac</t>
  </si>
  <si>
    <t>http://www.radiofeeds.net/playlists/sharptemp.pls?station=tcceredigion-aac</t>
  </si>
  <si>
    <t>http://www.radiofeeds.net/playlists/sharptemp.pls?station=tcnationi-aac</t>
  </si>
  <si>
    <t>http://www.radiofeeds.net/playlists/sharptemp.pls?station=tcnation-aac</t>
  </si>
  <si>
    <t>http://www.radiofeeds.net/playlists/sharptemp.pls?station=nationrocks-aac</t>
  </si>
  <si>
    <t>http://stream.audiospace.co/newsradiouk.m3u</t>
  </si>
  <si>
    <t>http://www.radiofeeds.net/playlists/sharptemp.pls?station=nme1-aac</t>
  </si>
  <si>
    <t>http://www.radiofeeds.net/playlists/sharptemp.pls?station=nme2-aac</t>
  </si>
  <si>
    <t>http://www.radiofeeds.net/playlists/bauer.pls?station=northsound1-aac</t>
  </si>
  <si>
    <t>http://www.radiofeeds.net/playlists/bauer.pls?station=northsound2-aac</t>
  </si>
  <si>
    <t>http://www.radiofeeds.net/playlists/oneworldaac.m3u</t>
  </si>
  <si>
    <t>http://www.radiofeeds.net/playlists/sharptemp.pls?station=original106-aac</t>
  </si>
  <si>
    <t>http://live.streamlojik.com:11170/outreachdance.aac.m3u</t>
  </si>
  <si>
    <t>http://live.streamlojik.com:11070/outreachradio.aac.m3u</t>
  </si>
  <si>
    <t>http://www.radiofeeds.net/playlists/passion.m3u</t>
  </si>
  <si>
    <t>http://www.radiofeeds.net/playlists/sharptemp.pls?station=petersfield-aac</t>
  </si>
  <si>
    <t>http://streams.radio.co/sbaa068f97/low.m3u</t>
  </si>
  <si>
    <t>http://www.radiofeeds.net/playlists/bauer.pls?station=net1cornwalleast-aac</t>
  </si>
  <si>
    <t>http://www.radiofeeds.net/playlists/bauer.pls?station=net1cornwall-aac</t>
  </si>
  <si>
    <t>http://www.radiofeeds.net/playlists/bauer.pls?station=planetrock-aac</t>
  </si>
  <si>
    <t>http://playerservices.streamtheworld.com/pls/PODCAST_RADIOAAC.pls</t>
  </si>
  <si>
    <t>http://www.radiofeeds.net/playlists/pointblankaac.m3u</t>
  </si>
  <si>
    <t>http://stream.rcs.revma.com/prfmwmwy768uv.m3u</t>
  </si>
  <si>
    <t>http://www.radiofeeds.net/playlists/bauer.pls?station=net1bradford-aac</t>
  </si>
  <si>
    <t>http://icy-e-01.sharp-stream.com/pure_radio.aac.m3u</t>
  </si>
  <si>
    <t>http://playoutonestreaming.com:8147/listen.pls?sid=2</t>
  </si>
  <si>
    <t>http://www.radiofeeds.net/playlists/bauer.pls?station=borders-aac</t>
  </si>
  <si>
    <t>http://www.radiofeeds.net/playlists/sharptemp.pls?station=tccarmarthenshire-aac</t>
  </si>
  <si>
    <t>http://www.radiofeeds.net/playlists/bauer.pls?station=city-aac</t>
  </si>
  <si>
    <t>http://playoutonestreaming.com:8012/listen.pls?sid=2</t>
  </si>
  <si>
    <t>http://media.radiojackie.com:11209/listen.pls</t>
  </si>
  <si>
    <t>http://media.radiojackie.com:11289/listen.pls</t>
  </si>
  <si>
    <t>http://www.radiofeeds.net/playlists/jackie128aac.m3u</t>
  </si>
  <si>
    <t>http://media.radiojackie.com:5873/listen.pls</t>
  </si>
  <si>
    <t>http://dreamsiteradiocp5.com:8094/listen.pls?sid=1</t>
  </si>
  <si>
    <t>http://www.radiofeeds.net/playlists/sharptemp.pls?station=tcpembrokeshire-aac</t>
  </si>
  <si>
    <t>http://streaming.radioup.co.uk/up.m3u</t>
  </si>
  <si>
    <t>http://hyades.shoutca.st:8034/wokinglow.m3u</t>
  </si>
  <si>
    <t>http://icecast.thisisdax.com/RadioXLondon.m3u</t>
  </si>
  <si>
    <t>http://icecast.thisisdax.com/RadioXManchester.m3u</t>
  </si>
  <si>
    <t>http://icecast.thisisdax.com/RadioXUK.m3u</t>
  </si>
  <si>
    <t>http://stream.radiojar.com/m47fp4p5n0quv.m3u</t>
  </si>
  <si>
    <t>http://stream.releaseradio.net/stream2.m3u</t>
  </si>
  <si>
    <t>http://s4.radio.co/s2eaa194f6/low.m3u</t>
  </si>
  <si>
    <t>http://stream.rcs.revma.com/yv4znr4xcg0uv.m3u</t>
  </si>
  <si>
    <t>http://www.radiofeeds.net/playlists/bauer.pls?station=rock-aac</t>
  </si>
  <si>
    <t>http://streaming03.zfast.co.uk:8053/listen.pls?sid=1</t>
  </si>
  <si>
    <t>http://streaming03.zfast.co.uk:8132/listen.pls?sid=1</t>
  </si>
  <si>
    <t>http://s4.xrad.io:8010/stream.m3u</t>
  </si>
  <si>
    <t>http://www.radiofeeds.net/playlists/bauer.pls?station=scala-aac</t>
  </si>
  <si>
    <t>http://www.radiofeeds.net/playlists/bauer.pls?station=scalahigh-aac</t>
  </si>
  <si>
    <t>http://www.radiofeeds.net/playlists/SIBC24aac.m3u</t>
  </si>
  <si>
    <t>http://www.radiofeeds.net/playlists/SIBC48aac.m3u</t>
  </si>
  <si>
    <t>http://www.radiofeeds.net/playlists/SIBC64aac.m3u</t>
  </si>
  <si>
    <t>http://www.radiofeeds.net/playlists/SIBC128aac.m3u</t>
  </si>
  <si>
    <t>http://www.radiofeeds.net/playlists/bauer.pls?station=net1stoke-aac</t>
  </si>
  <si>
    <t>http://icy-e-01.sharp-stream.com/tcsilk.aac.m3u</t>
  </si>
  <si>
    <t>http://198.245.60.88:8128/listen.pls?sid=1</t>
  </si>
  <si>
    <t>http://icecast.thisisdax.com/SmoothChill.m3u</t>
  </si>
  <si>
    <t>http://icecast.thisisdax.com/SmoothCountry.m3u</t>
  </si>
  <si>
    <t>http://icecast.thisisdax.com/SmoothBristol.m3u</t>
  </si>
  <si>
    <t>http://icecast.thisisdax.com/SmoothDorset.m3u</t>
  </si>
  <si>
    <t>http://icecast.thisisdax.com/SmoothDerby.m3u</t>
  </si>
  <si>
    <t>http://icecast.thisisdax.com/SmoothEastMids.m3u</t>
  </si>
  <si>
    <t>http://icecast.thisisdax.com/SmoothNorthants.m3u</t>
  </si>
  <si>
    <t>http://icecast.thisisdax.com/SmoothEssex.m3u</t>
  </si>
  <si>
    <t>http://icecast.thisisdax.com/SmoothGloucester.m3u</t>
  </si>
  <si>
    <t>http://icecast.thisisdax.com/SmoothHampshire.m3u</t>
  </si>
  <si>
    <t>http://icecast.thisisdax.com/SmoothHerts.m3u</t>
  </si>
  <si>
    <t>http://icecast.thisisdax.com/SmoothKent.m3u</t>
  </si>
  <si>
    <t>http://icecast.thisisdax.com/SmoothLakeDistrict.m3u</t>
  </si>
  <si>
    <t>http://icecast.thisisdax.com/SmoothLondon.m3u</t>
  </si>
  <si>
    <t>http://icecast.thisisdax.com/SmoothNorfolk.m3u</t>
  </si>
  <si>
    <t>http://icecast.thisisdax.com/SmoothNorthEastS.m3u</t>
  </si>
  <si>
    <t>http://icecast.thisisdax.com/SmoothNorthEastN.m3u</t>
  </si>
  <si>
    <t>http://icecast.thisisdax.com/SmoothNorthWales.m3u</t>
  </si>
  <si>
    <t>http://icecast.thisisdax.com/SmoothNorthWest.m3u</t>
  </si>
  <si>
    <t>http://icecast.thisisdax.com/SmoothPlymouth.m3u</t>
  </si>
  <si>
    <t>http://icecast.thisisdax.com/SmoothScotland.m3u</t>
  </si>
  <si>
    <t>http://icecast.thisisdax.com/SmoothSouthWales.m3u</t>
  </si>
  <si>
    <t>http://icecast.thisisdax.com/SmoothSuffolk.m3u</t>
  </si>
  <si>
    <t>http://icecast.thisisdax.com/SmoothSussex.m3u</t>
  </si>
  <si>
    <t>http://icecast.thisisdax.com/SmoothBerkshire.m3u</t>
  </si>
  <si>
    <t>http://icecast.thisisdax.com/SmoothUK.m3u</t>
  </si>
  <si>
    <t>http://icecast.thisisdax.com/SmoothWestMids.m3u</t>
  </si>
  <si>
    <t>http://icecast.thisisdax.com/SmoothWiltshire.m3u</t>
  </si>
  <si>
    <t>http://svr1.msmn2.co:8312/listen.pls?sid=1</t>
  </si>
  <si>
    <t>http://stream.rcs.revma.com/hz85pb6p108uv.m3u</t>
  </si>
  <si>
    <t>http://stream.rcs.revma.com/r5uyvd6p108uv.m3u</t>
  </si>
  <si>
    <t>http://centova.solidradio.co.uk:8000/listen.pls?sid=2</t>
  </si>
  <si>
    <t>http://centova.solidradio.co.uk:8000/listen.pls?sid=1</t>
  </si>
  <si>
    <t>http://stream.rcs.revma.com/2h1gs337ptzuv.m3u</t>
  </si>
  <si>
    <t>http://stream2.hippynet.co.uk:8086/stream.aac.m3u</t>
  </si>
  <si>
    <t>http://www.radiofeeds.net/playlists/sharptemp.pls?station=sunfmi-aac</t>
  </si>
  <si>
    <t>http://streaming.radio.co/s6a51b5927/low.m3u</t>
  </si>
  <si>
    <t>http://www.radiofeeds.net/playlists/wgtalkradioaac.m3u</t>
  </si>
  <si>
    <t>http://www.radiofeeds.net/playlists/talksportstreammobile.m3u</t>
  </si>
  <si>
    <t>http://www.radiofeeds.net/playlists/talksport2mobile.m3u</t>
  </si>
  <si>
    <t>http://www.radiofeeds.net/playlists/bauer.pls?station=tayfm-aac</t>
  </si>
  <si>
    <t>http://www.radiofeeds.net/playlists/bauer.pls?station=tayam-aac</t>
  </si>
  <si>
    <t>http://www.radiofeeds.net/playlists/bauer.pls?station=tfm-aac</t>
  </si>
  <si>
    <t>http://icecast3.rosisystems.com:8000/thevoice32.aac.m3u</t>
  </si>
  <si>
    <t>http://streaming.galaxywebsolutions.com:9046/stream.m3u</t>
  </si>
  <si>
    <t>http://www.radiofeeds.net/playlists/bauer.pls?station=net1swansea-aac</t>
  </si>
  <si>
    <t>http://streaming.broadcastradio.com:10840/thisisthecoastdab.m3u</t>
  </si>
  <si>
    <t>http://www.radiofeeds.net/playlists/wgtimesradioaac.m3u</t>
  </si>
  <si>
    <t>http://usa2-pn.mixstream.net:8060/listen.pls?sid=1</t>
  </si>
  <si>
    <t>http://streaming02.zfast.co.uk:8034/stream.m3u</t>
  </si>
  <si>
    <t>http://icy-e-01.sharp-stream.com/ucbuk.aac.m3u</t>
  </si>
  <si>
    <t>http://icy-e-01.sharp-stream.com/ucbinspirational.aac.m3u</t>
  </si>
  <si>
    <t>http://stream.v2radio.co.uk/V2RadioLQAACP.m3u</t>
  </si>
  <si>
    <t>http://stream.v2radio.co.uk/V2RadioHQAACP.m3u</t>
  </si>
  <si>
    <t>http://audio.vibeyorkshire.com:9000/stream.m3u</t>
  </si>
  <si>
    <t>http://playoutonestreaming.com:8133/listen.pls?sid=2</t>
  </si>
  <si>
    <t>http://www.radiofeeds.net/playlists/bauer.pls?station=viking-aac</t>
  </si>
  <si>
    <t>http://www.radiofeeds.net/playlists/wgvirginradioaac.m3u</t>
  </si>
  <si>
    <t>http://www.radiofeeds.net/playlists/wgvirginprideaac.m3u</t>
  </si>
  <si>
    <t>http://www.radiofeeds.net/playlists/wgvirginanthemsaac.m3u</t>
  </si>
  <si>
    <t>http://www.radiofeeds.net/playlists/wgvirginchilledaac.m3u</t>
  </si>
  <si>
    <t>http://www.radiofeeds.net/playlists/bauer.pls?station=wave105-aac</t>
  </si>
  <si>
    <t>http://webradio.radiomonitor.com/m3u/WavesRadio-Mobile.m3u</t>
  </si>
  <si>
    <t>http://www.radiofeeds.net/playlists/bauer.pls?station=westfm-aac</t>
  </si>
  <si>
    <t>http://www.radiofeeds.net/playlists/bauer.pls?station=westsound-aac</t>
  </si>
  <si>
    <t>http://www.radiofeeds.net/playlists/bauer.pls?station=westsoundfm-aac</t>
  </si>
  <si>
    <t>http://icy-e-01.sharp-stream.com/xrhythms.aac.m3u</t>
  </si>
  <si>
    <t>http://icecast.thisisdax.com/RealXSManchester.m3u</t>
  </si>
  <si>
    <t>http://radioengland.co.uk:8100/zackDAB.aac.m3u</t>
  </si>
  <si>
    <t>RF-ACC</t>
  </si>
  <si>
    <t>http://edge.clrmedia.co.uk:10000/chiptunes.m3u</t>
  </si>
  <si>
    <t>http://stream1.themediasite.co.uk:8020/listen.pls?sid=1</t>
  </si>
  <si>
    <t>http://www.radiofeeds.net/playlists/80srhythmhq.m3u</t>
  </si>
  <si>
    <t>http://stream3.hippynet.co.uk:8008/listen.pls?sid=1</t>
  </si>
  <si>
    <t>http://www.radiofeeds.net/playlists/bauerflash.pls?station=absoluteclassicrock-mp3</t>
  </si>
  <si>
    <t>http://www.radiofeeds.net/playlists/bauerflash.pls?station=absoluteradio-mp3</t>
  </si>
  <si>
    <t>http://www.radiofeeds.net/playlists/bauerflash.pls?station=absolute60s-mp3</t>
  </si>
  <si>
    <t>http://www.radiofeeds.net/playlists/bauerflash.pls?station=absolute70s-mp3</t>
  </si>
  <si>
    <t>http://www.radiofeeds.net/playlists/bauerflash.pls?station=absolute80s-mp3</t>
  </si>
  <si>
    <t>http://www.radiofeeds.net/playlists/bauerflash.pls?station=absolute90s-mp3</t>
  </si>
  <si>
    <t>http://www.radiofeeds.net/playlists/bauerflash.pls?station=absolute00s-mp3</t>
  </si>
  <si>
    <t>http://www.radiofeeds.net/playlists/bauerflash.pls?station=absolute10s-mp3</t>
  </si>
  <si>
    <t>http://www.radiofeeds.net/playlists/bauer.pls?station=countryhits-mp3</t>
  </si>
  <si>
    <t>http://www.radiofeeds.net/playlists/sharptemp.pls?station=actualradio-mp3</t>
  </si>
  <si>
    <t>http://88.208.244.107:8002/listen.pls?sid=1</t>
  </si>
  <si>
    <t>http://s5.radio.co/s2e9e33a2d/listen.m3u</t>
  </si>
  <si>
    <t>http://edge.clrmedia.co.uk:10000/angel_lb.m3u</t>
  </si>
  <si>
    <t>http://edge.clrmedia.co.uk:10000/angel_hb.m3u</t>
  </si>
  <si>
    <t>http://arenaradio.radioca.st:8284/listen.pls?sid=1</t>
  </si>
  <si>
    <t>http://www.radiofeeds.net/playlists/argyllmp3.m3u</t>
  </si>
  <si>
    <t>http://streaming.broadcastradio.com:9420/asiansoundradio.m3u</t>
  </si>
  <si>
    <t>http://www.radiofeeds.net/playlists/sharptemp.pls?station=aspenwaiteprem-mp3</t>
  </si>
  <si>
    <t>http://38.96.148.140:6150/listen.pls?sid=1</t>
  </si>
  <si>
    <t>http://s1.voscast.com:9038/listen.pls</t>
  </si>
  <si>
    <t>http://www.radiofeeds.net/playlists/sharptemp.pls?station=mangovibe-mp3</t>
  </si>
  <si>
    <t>http://streaming.radio.co/s20224a067/listen.m3u</t>
  </si>
  <si>
    <t>http://streamer.radio.co/s5af29b339/listen.m3u</t>
  </si>
  <si>
    <t>http://hydra.shoutca.st:8064/stream.m3u</t>
  </si>
  <si>
    <t>http://streaming03.zfast.co.uk:8021/listen.pls?sid=1</t>
  </si>
  <si>
    <t>http://open.live.bbc.co.uk/mediaselector/5/select/version/2.0/mediaset/http-icy-mp3-a/vpid/bbc_asian_network/format/pls.pls</t>
  </si>
  <si>
    <t>http://open.live.bbc.co.uk/mediaselector/5/select/version/2.0/mediaset/http-icy-mp3-a/vpid/bbc_radio_coventry_warwickshire/format/pls.pls</t>
  </si>
  <si>
    <t>http://open.live.bbc.co.uk/mediaselector/5/select/version/2.0/mediaset/http-icy-mp3-a/vpid/bbc_radio_essex/format/pls.pls</t>
  </si>
  <si>
    <t>http://open.live.bbc.co.uk/mediaselector/5/select/version/2.0/mediaset/http-icy-mp3-a/vpid/bbc_radio_hereford_worcester/format/pls.pls</t>
  </si>
  <si>
    <t>http://open.live.bbc.co.uk/mediaselector/5/select/version/2.0/mediaset/http-icy-mp3-a/vpid/bbc_radio_one/format/pls.pls</t>
  </si>
  <si>
    <t>http://open.live.bbc.co.uk/mediaselector/5/select/version/2.0/mediaset/http-icy-mp3-a/vpid/bbc_1xtra/format/pls.pls</t>
  </si>
  <si>
    <t>http://open.live.bbc.co.uk/mediaselector/5/select/version/2.0/mediaset/http-icy-mp3-a/vpid/bbc_radio_two/format/pls.pls</t>
  </si>
  <si>
    <t>http://open.live.bbc.co.uk/mediaselector/5/select/version/2.0/mediaset/http-icy-mp3-a/vpid/bbc_radio_three/format/pls.pls</t>
  </si>
  <si>
    <t>http://open.live.bbc.co.uk/mediaselector/5/select/version/2.0/mediaset/http-icy-mp3-a/vpid/bbc_radio_fourfm/format/pls.pls</t>
  </si>
  <si>
    <t>http://open.live.bbc.co.uk/mediaselector/5/select/version/2.0/mediaset/http-icy-mp3-a/vpid/bbc_radio_fourlw/format/pls.pls</t>
  </si>
  <si>
    <t>http://open.live.bbc.co.uk/mediaselector/5/select/version/2.0/mediaset/http-icy-mp3-a/vpid/bbc_radio_four_extra/format/pls.pls</t>
  </si>
  <si>
    <t>http://open.live.bbc.co.uk/mediaselector/5/select/version/2.0/mediaset/http-icy-mp3-a/vpid/bbc_radio_five_live/format/pls.pls</t>
  </si>
  <si>
    <t>http://www.radiofeeds.net/playlists/bbc5livesportsextra.pls</t>
  </si>
  <si>
    <t>http://open.live.bbc.co.uk/mediaselector/5/select/version/2.0/mediaset/http-icy-mp3-a/vpid/bbc_6music/format/pls.pls</t>
  </si>
  <si>
    <t>http://open.live.bbc.co.uk/mediaselector/5/select/version/2.0/mediaset/http-icy-mp3-a/vpid/bbc_radio_berkshire/format/pls.pls</t>
  </si>
  <si>
    <t>http://open.live.bbc.co.uk/mediaselector/5/select/version/2.0/mediaset/http-icy-mp3-a/vpid/bbc_radio_bristol/format/pls.pls</t>
  </si>
  <si>
    <t>http://open.live.bbc.co.uk/mediaselector/5/select/version/2.0/mediaset/http-icy-mp3-a/vpid/bbc_radio_cambridge/format/pls.pls</t>
  </si>
  <si>
    <t>http://open.live.bbc.co.uk/mediaselector/5/select/version/2.0/mediaset/http-icy-mp3-a/vpid/bbc_radio_cornwall/format/pls.pls</t>
  </si>
  <si>
    <t>http://open.live.bbc.co.uk/mediaselector/5/select/version/2.0/mediaset/http-icy-mp3-a/vpid/bbc_radio_cumbria/format/pls.pls</t>
  </si>
  <si>
    <t>http://open.live.bbc.co.uk/mediaselector/5/select/version/2.0/mediaset/http-icy-mp3-a/vpid/bbc_radio_cymru/format/pls.pls</t>
  </si>
  <si>
    <t>http://open.live.bbc.co.uk/mediaselector/5/select/mediaset/http-icy-mp3-a/format/pls/vpid/bbc_radio_cymru_2.pls</t>
  </si>
  <si>
    <t>http://open.live.bbc.co.uk/mediaselector/5/select/version/2.0/mediaset/http-icy-mp3-a/vpid/bbc_radio_derby/format/pls.pls</t>
  </si>
  <si>
    <t>http://open.live.bbc.co.uk/mediaselector/5/select/version/2.0/mediaset/http-icy-mp3-a/vpid/bbc_radio_devon/format/pls.pls</t>
  </si>
  <si>
    <t>http://open.live.bbc.co.uk/mediaselector/5/select/version/2.0/mediaset/http-icy-mp3-a/vpid/bbc_radio_foyle/format/pls.pls</t>
  </si>
  <si>
    <t>http://open.live.bbc.co.uk/mediaselector/5/select/version/2.0/mediaset/http-icy-mp3-a/vpid/bbc_radio_gloucestershire/format/pls.pls</t>
  </si>
  <si>
    <t>http://open.live.bbc.co.uk/mediaselector/5/select/version/2.0/mediaset/http-icy-mp3-a/vpid/bbc_radio_guernsey/format/pls.pls</t>
  </si>
  <si>
    <t>http://open.live.bbc.co.uk/mediaselector/5/select/version/2.0/mediaset/http-icy-mp3-a/vpid/bbc_radio_humberside/format/pls.pls</t>
  </si>
  <si>
    <t>http://open.live.bbc.co.uk/mediaselector/5/select/version/2.0/mediaset/http-icy-mp3-a/vpid/bbc_radio_jersey/format/pls.pls</t>
  </si>
  <si>
    <t>http://open.live.bbc.co.uk/mediaselector/5/select/version/2.0/mediaset/http-icy-mp3-a/vpid/bbc_radio_kent/format/pls.pls</t>
  </si>
  <si>
    <t>http://open.live.bbc.co.uk/mediaselector/5/select/version/2.0/mediaset/http-icy-mp3-a/vpid/bbc_radio_lancashire/format/pls.pls</t>
  </si>
  <si>
    <t>http://open.live.bbc.co.uk/mediaselector/5/select/version/2.0/mediaset/http-icy-mp3-a/vpid/bbc_radio_leeds/format/pls.pls</t>
  </si>
  <si>
    <t>http://open.live.bbc.co.uk/mediaselector/5/select/version/2.0/mediaset/http-icy-mp3-a/vpid/bbc_radio_leicester/format/pls.pls</t>
  </si>
  <si>
    <t>http://open.live.bbc.co.uk/mediaselector/5/select/version/2.0/mediaset/http-icy-mp3-a/vpid/bbc_radio_lincolnshire/format/pls.pls</t>
  </si>
  <si>
    <t>http://open.live.bbc.co.uk/mediaselector/5/select/version/2.0/mediaset/http-icy-mp3-a/vpid/bbc_london/format/pls.pls</t>
  </si>
  <si>
    <t>http://open.live.bbc.co.uk/mediaselector/5/select/version/2.0/mediaset/http-icy-mp3-a/vpid/bbc_radio_manchester/format/pls.pls</t>
  </si>
  <si>
    <t>http://open.live.bbc.co.uk/mediaselector/5/select/version/2.0/mediaset/http-icy-mp3-a/vpid/bbc_radio_merseyside/format/pls.pls</t>
  </si>
  <si>
    <t>http://open.live.bbc.co.uk/mediaselector/5/select/version/2.0/mediaset/http-icy-mp3-a/vpid/bbc_radio_nan_gaidheal/format/pls.pls</t>
  </si>
  <si>
    <t>http://open.live.bbc.co.uk/mediaselector/5/select/version/2.0/mediaset/http-icy-mp3-a/vpid/bbc_radio_newcastle/format/pls.pls</t>
  </si>
  <si>
    <t>http://open.live.bbc.co.uk/mediaselector/5/select/version/2.0/mediaset/http-icy-mp3-a/vpid/bbc_radio_norfolk/format/pls.pls</t>
  </si>
  <si>
    <t>http://open.live.bbc.co.uk/mediaselector/5/select/version/2.0/mediaset/http-icy-mp3-a/vpid/bbc_radio_northampton/format/pls.pls</t>
  </si>
  <si>
    <t>http://open.live.bbc.co.uk/mediaselector/5/select/version/2.0/mediaset/http-icy-mp3-a/vpid/bbc_radio_nottingham/format/pls.pls</t>
  </si>
  <si>
    <t>http://open.live.bbc.co.uk/mediaselector/5/select/mediaset/http-icy-mp3-a/format/pls/vpid/bbc_radio_orkney.pls</t>
  </si>
  <si>
    <t>http://open.live.bbc.co.uk/mediaselector/5/select/version/2.0/mediaset/http-icy-mp3-a/vpid/bbc_radio_oxford/format/pls.pls</t>
  </si>
  <si>
    <t>http://open.live.bbc.co.uk/mediaselector/5/select/version/2.0/mediaset/http-icy-mp3-a/vpid/bbc_radio_scotland_fm/format/pls.pls</t>
  </si>
  <si>
    <t>http://open.live.bbc.co.uk/mediaselector/5/select/version/2.0/mediaset/http-icy-mp3-a/vpid/bbc_radio_scotland_mw/format/pls.pls</t>
  </si>
  <si>
    <t>http://open.live.bbc.co.uk/mediaselector/5/select/version/2.0/mediaset/http-icy-mp3-a/vpid/bbc_radio_sheffield/format/pls.pls</t>
  </si>
  <si>
    <t>http://www.radiofeeds.net/playlists/bbcradioshetland.pls</t>
  </si>
  <si>
    <t>http://open.live.bbc.co.uk/mediaselector/5/select/version/2.0/mediaset/http-icy-mp3-a/vpid/bbc_radio_shropshire/format/pls.pls</t>
  </si>
  <si>
    <t>http://open.live.bbc.co.uk/mediaselector/5/select/version/2.0/mediaset/http-icy-mp3-a/vpid/bbc_radio_solent/format/pls.pls</t>
  </si>
  <si>
    <t>http://open.live.bbc.co.uk/mediaselector/5/select/version/2.0/mediaset/http-icy-mp3-a/vpid/bbc_radio_solent_west_dorset/format/pls.pls</t>
  </si>
  <si>
    <t>http://open.live.bbc.co.uk/mediaselector/5/select/version/2.0/mediaset/http-icy-mp3-a/vpid/bbc_radio_somerset_sound/format/pls.pls</t>
  </si>
  <si>
    <t>http://open.live.bbc.co.uk/mediaselector/5/select/version/2.0/mediaset/http-icy-mp3-a/vpid/bbc_radio_stoke/format/pls.pls</t>
  </si>
  <si>
    <t>http://open.live.bbc.co.uk/mediaselector/5/select/version/2.0/mediaset/http-icy-mp3-a/vpid/bbc_radio_suffolk/format/pls.pls</t>
  </si>
  <si>
    <t>http://open.live.bbc.co.uk/mediaselector/5/select/version/2.0/mediaset/http-icy-mp3-a/vpid/bbc_radio_surrey/format/pls.pls</t>
  </si>
  <si>
    <t>http://open.live.bbc.co.uk/mediaselector/5/select/version/2.0/mediaset/http-icy-mp3-a/vpid/bbc_radio_sussex/format/pls.pls</t>
  </si>
  <si>
    <t>http://open.live.bbc.co.uk/mediaselector/5/select/version/2.0/mediaset/http-icy-mp3-a/vpid/bbc_tees/format/pls.pls</t>
  </si>
  <si>
    <t>http://open.live.bbc.co.uk/mediaselector/5/select/version/2.0/mediaset/http-icy-mp3-a/vpid/bbc_radio_ulster/format/pls.pls</t>
  </si>
  <si>
    <t>http://open.live.bbc.co.uk/mediaselector/5/select/version/2.0/mediaset/http-icy-mp3-a/vpid/bbc_radio_wales_fm/format/pls.pls</t>
  </si>
  <si>
    <t>http://open.live.bbc.co.uk/mediaselector/5/select/version/2.0/mediaset/http-icy-mp3-a/vpid/bbc_radio_wiltshire/format/pls.pls</t>
  </si>
  <si>
    <t>http://open.live.bbc.co.uk/mediaselector/5/select/version/2.0/mediaset/http-icy-mp3-a/vpid/bbc_wm/format/pls.pls</t>
  </si>
  <si>
    <t>http://open.live.bbc.co.uk/mediaselector/5/select/version/2.0/mediaset/http-icy-mp3-a/vpid/bbc_radio_york/format/pls.pls</t>
  </si>
  <si>
    <t>http://open.live.bbc.co.uk/mediaselector/5/select/version/2.0/mediaset/http-icy-mp3-a/vpid/bbc_three_counties_radio/format/pls.pls</t>
  </si>
  <si>
    <t>http://wsdownload.bbc.co.uk/worldservice/meta/live/shoutcast/mp3/eieuk.pls</t>
  </si>
  <si>
    <t>http://stream6.hippynet.co.uk:8001/streamLQ.m3u</t>
  </si>
  <si>
    <t>http://stream6.hippynet.co.uk:8001/stream.m3u</t>
  </si>
  <si>
    <t>http://bewaretheradio.out.airtime.pro:8000/bewaretheradio_b.m3u</t>
  </si>
  <si>
    <t>http://bewaretheradio.out.airtime.pro:8000/bewaretheradio_a.m3u</t>
  </si>
  <si>
    <t>http://stream.beyondradio.co.uk:8000/med.m3u</t>
  </si>
  <si>
    <t>http://icy-e-01.sharp-stream.com/ssvcbfbs11.mp3.m3u</t>
  </si>
  <si>
    <t>http://icy-e-01.sharp-stream.com/ssvcbfbs1.mp3.m3u</t>
  </si>
  <si>
    <t>http://icy-e-01.sharp-stream.com/ssvcbfbs20.mp3.m3u</t>
  </si>
  <si>
    <t>http://icy-e-01.sharp-stream.com/ssvcbfbs24.mp3.m3u</t>
  </si>
  <si>
    <t>http://icy-e-01.sharp-stream.com/ssvcbfbs22.mp3.m3u</t>
  </si>
  <si>
    <t>http://icy-e-01.sharp-stream.com/ssvcbfbs3.mp3.m3u</t>
  </si>
  <si>
    <t>http://icy-e-01.sharp-stream.com/ssvcbfbs21.mp3.m3u</t>
  </si>
  <si>
    <t>http://www.radiofeeds.net/playlists/sharptemp.pls?station=65_boom_light_128_mp3</t>
  </si>
  <si>
    <t>http://www.radiofeeds.net/playlists/sharptemp.pls?station=65_boom_radio_live_128</t>
  </si>
  <si>
    <t>http://live.audiospace.co/bridgefm.m3u</t>
  </si>
  <si>
    <t>http://www.radiofeeds.net/playlists/sharptemp.pls?station=tcbridge-mp3</t>
  </si>
  <si>
    <t>http://icy-e-01.sharp-stream.com/bridgefmdab.mp3.m3u</t>
  </si>
  <si>
    <t>http://stream4.hippynet.co.uk:8008/stream.m3u</t>
  </si>
  <si>
    <t>http://icecast.thisisdax.com/CapitalCymruMP3.m3u</t>
  </si>
  <si>
    <t>http://icecast.thisisdax.com/CapitalLiverpoolMP3.m3u</t>
  </si>
  <si>
    <t>http://icecast.thisisdax.com/CapitalMP3.m3u</t>
  </si>
  <si>
    <t>http://icecast.thisisdax.com/CapitalBirminghamMP3.m3u</t>
  </si>
  <si>
    <t>http://media-ice.musicradio.com/CapitalCoventryMP3.m3u</t>
  </si>
  <si>
    <t>http://icecast.thisisdax.com/CapitalDerbyshireMP3.m3u</t>
  </si>
  <si>
    <t>http://icecast.thisisdax.com/CapitalLeicestershireMP3.m3u</t>
  </si>
  <si>
    <t>http://media-ice.musicradio.com/CapitalNorthOxfordshireMP3.m3u</t>
  </si>
  <si>
    <t>http://icecast.thisisdax.com/CapitalNottinghamshireMP3.m3u</t>
  </si>
  <si>
    <t>http://media-ice.musicradio.com/CapitalRugbyMP3.m3u</t>
  </si>
  <si>
    <t>http://media-ice.musicradio.com/CapitalSouthEastStaffordshireMP3.m3u</t>
  </si>
  <si>
    <t>http://media-ice.musicradio.com/CapitalStratfordMP3.m3u</t>
  </si>
  <si>
    <t>http://icecast.thisisdax.com/CapitalWarwickMP3.m3u</t>
  </si>
  <si>
    <t>http://icecast.thisisdax.com/CapitalTeessideMP3.m3u</t>
  </si>
  <si>
    <t>http://icecast.thisisdax.com/CapitalTyneWearMP3.m3u</t>
  </si>
  <si>
    <t>http://icecast.thisisdax.com/CapitalWalesCoastMP3.m3u</t>
  </si>
  <si>
    <t>http://icecast.thisisdax.com/CapitalWirralMP3.m3u</t>
  </si>
  <si>
    <t>http://icecast.thisisdax.com/CapitalWrexhamMP3.m3u</t>
  </si>
  <si>
    <t>http://icecast.thisisdax.com/CapitalBurnleyMP3.m3u</t>
  </si>
  <si>
    <t>http://icecast.thisisdax.com/CapitalManchesterMP3.m3u</t>
  </si>
  <si>
    <t>http://icecast.thisisdax.com/CapitalPrestonMP3.m3u</t>
  </si>
  <si>
    <t>http://icecast.thisisdax.com/CapitalEdinburghMP3.m3u</t>
  </si>
  <si>
    <t>http://icecast.thisisdax.com/CapitalGlasgowMP3.m3u</t>
  </si>
  <si>
    <t>http://icecast.thisisdax.com/CapitalBrightonMP3.m3u</t>
  </si>
  <si>
    <t>http://icecast.thisisdax.com/CapitalSouthCoastMP3.m3u</t>
  </si>
  <si>
    <t>http://icecast.thisisdax.com/CapitalSouthWalesMP3.m3u</t>
  </si>
  <si>
    <t>http://icecast.thisisdax.com/CapitalUKMP3.m3u</t>
  </si>
  <si>
    <t>http://icecast.thisisdax.com/CapitalYorkshireEastMP3.m3u</t>
  </si>
  <si>
    <t>http://icecast.thisisdax.com/CapitalYorkshireSouthWestMP3.m3u</t>
  </si>
  <si>
    <t>http://media-ice.musicradio.com/CapitalDanceMP3.m3u</t>
  </si>
  <si>
    <t>http://icecast.thisisdax.com/CapitalXTRALondonMP3.m3u</t>
  </si>
  <si>
    <t>http://icecast.thisisdax.com/CapitalXTRANationalMP3.m3u</t>
  </si>
  <si>
    <t>http://icecast.thisisdax.com/CapitalXTRAReloadedMP3.m3u</t>
  </si>
  <si>
    <t>http://www.radiofeeds.net/playlists/sharptemp.pls?station=120_care_radio_128_mp3</t>
  </si>
  <si>
    <t>http://msmn7.co:8012/listen.pls?sid=1</t>
  </si>
  <si>
    <t>http://msmn7.co:8018/listen.pls?sid=1</t>
  </si>
  <si>
    <t>http://uksouth.streaming.broadcast.radio:15890/central.m3u</t>
  </si>
  <si>
    <t>http://centreforce.streamgb.com:8830/listen.pls?sid=3</t>
  </si>
  <si>
    <t>http://centreforce.streamgb.com:8830/listen.pls?sid=2</t>
  </si>
  <si>
    <t>http://centreforce.streamgb.com:8830/listen.pls?sid=1</t>
  </si>
  <si>
    <t>http://www.radiofeeds.net/playlists/bauer.pls?station=cfm-mp3</t>
  </si>
  <si>
    <t>http://stream.rcs.revma.com/kbxu5chhqd0uv.m3u</t>
  </si>
  <si>
    <t>http://stream.rcs.revma.com/1b7wddebanzuv.m3u</t>
  </si>
  <si>
    <t>http://www.radiofeeds.net/playlists/sharptemp.pls?station=cheesyfm-mp3</t>
  </si>
  <si>
    <t>http://chiefradio.out.airtime.pro:8000/chiefradio_a.m3u</t>
  </si>
  <si>
    <t>http://icecast.thisisdax.com/ClassicFMMP3.m3u</t>
  </si>
  <si>
    <t>http://s3.citrus3.com:8320/stream.m3u</t>
  </si>
  <si>
    <t>http://www.radiofeeds.net/playlists/bauer.pls?station=clyde1-mp3</t>
  </si>
  <si>
    <t>http://www.radiofeeds.net/playlists/bauer.pls?station=clyde2-mp3</t>
  </si>
  <si>
    <t>http://uksouth.streaming.broadcast.radio:16070/coastal.m3u</t>
  </si>
  <si>
    <t>http://streaming.colourfulradio.com:8000/colourful.m3u</t>
  </si>
  <si>
    <t>http://streaming.colourfulradio.com:8000/live.m3u</t>
  </si>
  <si>
    <t>http://www.radiofeeds.net/playlists/bauer.pls?station=coolfm-mp3</t>
  </si>
  <si>
    <t>http://8.38.78.173:8264/listen.pls?sid=1</t>
  </si>
  <si>
    <t>http://www.radiofeeds.net/playlists/cosoro.m3u</t>
  </si>
  <si>
    <t>http://www.radiofeeds.net/playlists/sharptemp.pls?station=chriscountryi-mp3</t>
  </si>
  <si>
    <t>http://www.radiofeeds.net/playlists/sharptemp.pls?station=chriscountry-mp3</t>
  </si>
  <si>
    <t>http://icy-e-01.sharp-stream.com/chriscountrydab.mp3.m3u</t>
  </si>
  <si>
    <t>http://s5.radio.co/s89dcf578d/listen.m3u</t>
  </si>
  <si>
    <t>http://dab.decadanceradio.net:8000/radio.mp3.m3u</t>
  </si>
  <si>
    <t>http://icy-e-01.sharp-stream.com/tcdeei.mp3.m3u</t>
  </si>
  <si>
    <t>http://icy-e-01.sharp-stream.com/tcdee.mp3.m3u</t>
  </si>
  <si>
    <t>http://s4.voscast.com:8642/live.m3u</t>
  </si>
  <si>
    <t>http://stream.deliteonline.com:48000/live128.m3u</t>
  </si>
  <si>
    <t>http://stream.deliteonline.com:48000/live192.m3u</t>
  </si>
  <si>
    <t>http://stream.deliteonline.com:48000/live320.m3u</t>
  </si>
  <si>
    <t>http://www.radiofeeds.net/playlists/bauer.pls?station=downtowncountry-mp3</t>
  </si>
  <si>
    <t>http://www.radiofeeds.net/playlists/bauer.pls?station=downtown-mp3</t>
  </si>
  <si>
    <t>http://www.radiofeeds.net/playlists/sharptemp.pls?station=tcnationdigital-mp3</t>
  </si>
  <si>
    <t>http://icy-e-01.sharp-stream.com/dragonradio-dab.mp3.m3u</t>
  </si>
  <si>
    <t>http://fra-ranger01.dedicateware.com:18010/stream.m3u</t>
  </si>
  <si>
    <t>http://109.169.54.86:8018/live.m3u</t>
  </si>
  <si>
    <t>http://www.radiofeeds.net/playlists/sharptemp.pls?station=nationeasyports-mp3</t>
  </si>
  <si>
    <t>http://www.radiofeeds.net/playlists/sharptemp.pls?station=nationeasyportsdab-mp3</t>
  </si>
  <si>
    <t>http://www.radiofeeds.net/playlists/sharptemp.pls?station=nationeasysoton-mp3</t>
  </si>
  <si>
    <t>http://www.radiofeeds.net/playlists/sharptemp.pls?station=nationeasysotondab-mp3</t>
  </si>
  <si>
    <t>http://www.radiofeeds.net/playlists/sharptemp.pls?station=breezyradiouk-mp3</t>
  </si>
  <si>
    <t>http://www.radiofeeds.net/playlists/sharptemp.pls?station=breezyradioukdab-mp3</t>
  </si>
  <si>
    <t>http://www.radiofeeds.net/playlists/sharptemp.pls?station=tcbay-mp3</t>
  </si>
  <si>
    <t>http://icy-e-01.sharp-stream.com/swanseabay.mp3.m3u</t>
  </si>
  <si>
    <t>http://s5.radio.co/s813789af2/listen.m3u</t>
  </si>
  <si>
    <t>http://www.radiofeeds.net/playlists/eirewave.m3u</t>
  </si>
  <si>
    <t>http://uksouth.streaming.broadcast.radio:15580/energyfm.m3u</t>
  </si>
  <si>
    <t>http://a11.streamgb.com:8083/listen.pls?sid=1</t>
  </si>
  <si>
    <t>http://aries.streaming.zfast.co.uk:8116/listen.pls?sid=1</t>
  </si>
  <si>
    <t>http://stream1.themediasite.co.uk:8030/listen.pls?sid=1</t>
  </si>
  <si>
    <t>http://icy-e-01.sharp-stream.com/fixradio.mp3.m3u</t>
  </si>
  <si>
    <t>http://www.radiofeeds.net/playlists/bauer.pls?station=forth1-mp3</t>
  </si>
  <si>
    <t>http://www.radiofeeds.net/playlists/bauer.pls?station=forth2-mp3</t>
  </si>
  <si>
    <t>http://www.radiofeeds.net/playlists/bauer.pls?station=freebirmingham-mp3</t>
  </si>
  <si>
    <t>http://www.radiofeeds.net/playlists/bauer.pls?station=freeblackcountry-mp3</t>
  </si>
  <si>
    <t>http://www.radiofeeds.net/playlists/bauer.pls?station=freecoventry-mp3</t>
  </si>
  <si>
    <t>http://www.radiofeeds.net/playlists/bauer.pls?station=freehereford-mp3</t>
  </si>
  <si>
    <t>http://www.radiofeeds.net/playlists/bauer.pls?station=freeshropshire-mp3</t>
  </si>
  <si>
    <t>http://www.radiofeeds.net/playlists/sharptemp.pls?station=funkids-mp3</t>
  </si>
  <si>
    <t>http://www.radiofeeds.net/playlists/sharptemp.pls?station=funkidsjunior-mp3</t>
  </si>
  <si>
    <t>http://stream.rcs.revma.com/pp2cg1z3tm0uv.m3u</t>
  </si>
  <si>
    <t>http://stream.rcs.revma.com/6m5ucmz3tm0uv.m3u</t>
  </si>
  <si>
    <t>http://www.radiofeeds.net/playlists/sharptemp.pls?station=467_gaydio_birmingham_128_mp3</t>
  </si>
  <si>
    <t>http://www.radiofeeds.net/playlists/sharptemp.pls?station=467_gaydio_birmingham_320_mp3</t>
  </si>
  <si>
    <t>http://www.radiofeeds.net/playlists/sharptemp.pls?station=76_gaydio_scotland_128</t>
  </si>
  <si>
    <t>http://www.radiofeeds.net/playlists/sharptemp.pls?station=76_gaydio_scotland_320</t>
  </si>
  <si>
    <t>http://www.radiofeeds.net/playlists/sharptemp.pls?station=472_gaydio_london_128_mp3</t>
  </si>
  <si>
    <t>http://www.radiofeeds.net/playlists/sharptemp.pls?station=472_gaydio_london_320_mp3</t>
  </si>
  <si>
    <t>http://www.radiofeeds.net/playlists/sharptemp.pls?station=gaydiouk-mp3</t>
  </si>
  <si>
    <t>http://www.radiofeeds.net/playlists/sharptemp.pls?station=gaydioukhq-mp3</t>
  </si>
  <si>
    <t>http://www.radiofeeds.net/playlists/sharptemp.pls?station=gbnews-mp3</t>
  </si>
  <si>
    <t>http://www.radiofeeds.net/playlists/bauer.pls?station=gem106-mp3</t>
  </si>
  <si>
    <t>http://stream.getradio.co.uk/mp3.m3u</t>
  </si>
  <si>
    <t>http://s7.yesstreaming.net:8050/stream.m3u</t>
  </si>
  <si>
    <t>http://streaming.broadcastradio.com:8250/goradio.m3u</t>
  </si>
  <si>
    <t>http://icecast.thisisdax.com/GoldMP3.m3u</t>
  </si>
  <si>
    <t>http://www.radiofeeds.net/playlists/sharptemp.pls?station=45_gorgeous_fm_128_mp3</t>
  </si>
  <si>
    <t>http://s6.citrus3.com:8008/stream.m3u</t>
  </si>
  <si>
    <t>http://s6.citrus3.com:8010/stream.m3u</t>
  </si>
  <si>
    <t>http://s6.citrus3.com:8216/stream.m3u</t>
  </si>
  <si>
    <t>http://my.superstreaming.co.uk:8064/gyronline.m3u</t>
  </si>
  <si>
    <t>http://www.radiofeeds.net/playlists/bauer.pls?station=net2essex-mp3</t>
  </si>
  <si>
    <t>http://www.radiofeeds.net/playlists/bauer.pls?station=net2suffolk-mp3</t>
  </si>
  <si>
    <t>http://www.radiofeeds.net/playlists/bauer.pls?station=net2norfolk-mp3</t>
  </si>
  <si>
    <t>http://www.radiofeeds.net/playlists/bauer.pls?station=net2westnorfolk-mp3</t>
  </si>
  <si>
    <t>http://www.radiofeeds.net/playlists/bauer.pls?station=net2london-mp3</t>
  </si>
  <si>
    <t>http://www.radiofeeds.net/playlists/bauer.pls?station=net2westmidlands-mp3</t>
  </si>
  <si>
    <t>http://www.radiofeeds.net/playlists/bauer.pls?station=net2wolverhampton-mp3</t>
  </si>
  <si>
    <t>http://www.radiofeeds.net/playlists/bauer.pls?station=net2coventry-mp3</t>
  </si>
  <si>
    <t>http://www.radiofeeds.net/playlists/bauer.pls?station=net2eastmidlands-mp3</t>
  </si>
  <si>
    <t>http://www.radiofeeds.net/playlists/bauer.pls?station=net2worcester-mp3</t>
  </si>
  <si>
    <t>http://www.radiofeeds.net/playlists/bauer.pls?station=net2derbyshire-mp3</t>
  </si>
  <si>
    <t>http://www.radiofeeds.net/playlists/bauer.pls?station=net2stoke-mp3</t>
  </si>
  <si>
    <t>http://www.radiofeeds.net/playlists/bauer.pls?station=net2rutland-mp3</t>
  </si>
  <si>
    <t>http://www.radiofeeds.net/playlists/bauer.pls?station=magic1170-mp3</t>
  </si>
  <si>
    <t>http://www.radiofeeds.net/playlists/bauer.pls?station=magic1152n-mp3</t>
  </si>
  <si>
    <t>http://www.radiofeeds.net/playlists/bauer.pls?station=net2cumbria-mp3</t>
  </si>
  <si>
    <t>http://www.radiofeeds.net/playlists/bauer.pls?station=magic999-mp3</t>
  </si>
  <si>
    <t>http://www.radiofeeds.net/playlists/bauer.pls?station=magic1548-mp3</t>
  </si>
  <si>
    <t>http://www.radiofeeds.net/playlists/bauer.pls?station=magic1152m-mp3</t>
  </si>
  <si>
    <t>http://www.radiofeeds.net/playlists/bauer.pls?station=net2stockport-mp3</t>
  </si>
  <si>
    <t>http://www.radiofeeds.net/playlists/bauer.pls?station=net2wigan-mp3</t>
  </si>
  <si>
    <t>http://www.radiofeeds.net/playlists/bauer.pls?station=net2berkshire-mp3</t>
  </si>
  <si>
    <t>http://www.radiofeeds.net/playlists/bauer.pls?station=net2bournemouth-mp3</t>
  </si>
  <si>
    <t>http://www.radiofeeds.net/playlists/bauer.pls?station=net2aylesbury-mp3</t>
  </si>
  <si>
    <t>http://www.radiofeeds.net/playlists/bauer.pls?station=net2dorset-mp3</t>
  </si>
  <si>
    <t>http://www.radiofeeds.net/playlists/bauer.pls?station=net2salisbury-mp3</t>
  </si>
  <si>
    <t>http://www.radiofeeds.net/playlists/bauer.pls?station=net2southcoast-mp3</t>
  </si>
  <si>
    <t>http://www.radiofeeds.net/playlists/bauer.pls?station=net2surrey-mp3</t>
  </si>
  <si>
    <t>http://www.radiofeeds.net/playlists/bauerflash.pls?station=net2sussex-mp3</t>
  </si>
  <si>
    <t>http://www.radiofeeds.net/playlists/bauer.pls?station=net2southwales-mp3</t>
  </si>
  <si>
    <t>http://www.radiofeeds.net/playlists/bauer.pls?station=net2bath-mp3</t>
  </si>
  <si>
    <t>http://www.radiofeeds.net/playlists/bauer.pls?station=net2bristol-mp3</t>
  </si>
  <si>
    <t>http://www.radiofeeds.net/playlists/bauer.pls?station=net2cornwall-mp3</t>
  </si>
  <si>
    <t>http://www.radiofeeds.net/playlists/bauer.pls?station=net2devon-mp3</t>
  </si>
  <si>
    <t>http://www.radiofeeds.net/playlists/bauer.pls?station=net2gloucester-mp3</t>
  </si>
  <si>
    <t>http://www.radiofeeds.net/playlists/bauer.pls?station=net2plymouth-mp3</t>
  </si>
  <si>
    <t>http://www.radiofeeds.net/playlists/bauer.pls?station=net2somerset-mp3</t>
  </si>
  <si>
    <t>http://www.radiofeeds.net/playlists/bauer.pls?station=net2swindon-mp3</t>
  </si>
  <si>
    <t>http://www.radiofeeds.net/playlists/bauer.pls?station=net2national-mp3</t>
  </si>
  <si>
    <t>http://www.radiofeeds.net/playlists/bauer.pls?station=net2hull-mp3</t>
  </si>
  <si>
    <t>http://www.radiofeeds.net/playlists/bauer.pls?station=net2grimsby-mp3</t>
  </si>
  <si>
    <t>http://www.radiofeeds.net/playlists/bauer.pls?station=net2harrogate-mp3</t>
  </si>
  <si>
    <t>http://www.radiofeeds.net/playlists/bauer.pls?station=net2lincoln-mp3</t>
  </si>
  <si>
    <t>http://www.radiofeeds.net/playlists/bauer.pls?station=net2chesterfield-mp3</t>
  </si>
  <si>
    <t>http://www.radiofeeds.net/playlists/bauer.pls?station=magicam-mp3</t>
  </si>
  <si>
    <t>http://www.radiofeeds.net/playlists/bauer.pls?station=magic828-mp3</t>
  </si>
  <si>
    <t>http://www.radiofeeds.net/playlists/bauer.pls?station=net2york-mp3</t>
  </si>
  <si>
    <t>http://www.radiofeeds.net/playlists/bauer.pls?station=net2yorkshirecoast-mp3</t>
  </si>
  <si>
    <t>http://www.radiofeeds.net/playlists/bauer.pls?station=hallam-mp3</t>
  </si>
  <si>
    <t>http://s43.myradiostream.com:22874/listen.pls?sid=1</t>
  </si>
  <si>
    <t>http://provisioning.streamtheworld.com/pls/SAM07AAC214.pls</t>
  </si>
  <si>
    <t>http://playoutonestreaming.com:8026/listen.pls?sid=1</t>
  </si>
  <si>
    <t>http://playoutonestreaming.com:8026/listen.pls?sid=2</t>
  </si>
  <si>
    <t>http://icecast.thisisdax.com/HeartBedfordshireMP3.m3u</t>
  </si>
  <si>
    <t>http://icecast.thisisdax.com/HeartBedsBucksHertsMP3.m3u</t>
  </si>
  <si>
    <t>http://icecast.thisisdax.com/HeartCambridgeMP3.m3u</t>
  </si>
  <si>
    <t>http://icecast.thisisdax.com/HeartColchesterMP3.m3u</t>
  </si>
  <si>
    <t>http://icecast.thisisdax.com/HeartPeterboroughMP3.m3u</t>
  </si>
  <si>
    <t>http://icecast.thisisdax.com/HeartHarlowMP3.m3u</t>
  </si>
  <si>
    <t>http://icecast.thisisdax.com/HeartMiltonKeynesMP3.m3u</t>
  </si>
  <si>
    <t>http://icecast.thisisdax.com/HeartNorfolkMP3.m3u</t>
  </si>
  <si>
    <t>http://icecast.thisisdax.com/HeartNorthamptonshireMP3.m3u</t>
  </si>
  <si>
    <t>http://icecast.thisisdax.com/HeartEssexMP3.m3u</t>
  </si>
  <si>
    <t>http://icecast.thisisdax.com/HeartSuffolkMP3.m3u</t>
  </si>
  <si>
    <t>http://icecast.thisisdax.com/HeartHertsNorthMP3.m3u</t>
  </si>
  <si>
    <t>http://icecast.thisisdax.com/HeartWatfordMP3.m3u</t>
  </si>
  <si>
    <t>http://icecast.thisisdax.com/HeartLondonMP3.m3u</t>
  </si>
  <si>
    <t>http://icecast.thisisdax.com/HeartNorthWalesMP3.m3u</t>
  </si>
  <si>
    <t>http://icecast.thisisdax.com/HeartTeessideMP3.m3u</t>
  </si>
  <si>
    <t>http://icecast.thisisdax.com/HeartTyneWearMP3.m3u</t>
  </si>
  <si>
    <t>http://icecast.thisisdax.com/HeartNorthLancsCumbriaMP3.m3u</t>
  </si>
  <si>
    <t>http://icecast.thisisdax.com/HeartNorthWestMP3.m3u</t>
  </si>
  <si>
    <t>http://icecast.thisisdax.com/HeartEdinburghMP3.m3u</t>
  </si>
  <si>
    <t>http://icecast.thisisdax.com/HeartGlasgowMP3.m3u</t>
  </si>
  <si>
    <t>http://icecast.thisisdax.com/HeartBerkshireMP3.m3u</t>
  </si>
  <si>
    <t>http://icecast.thisisdax.com/HeartCrawleyMP3.m3u</t>
  </si>
  <si>
    <t>http://icecast.thisisdax.com/HeartDorsetMP3.m3u</t>
  </si>
  <si>
    <t>http://icecast.thisisdax.com/HeartHampshireMP3.m3u</t>
  </si>
  <si>
    <t>http://icecast.thisisdax.com/HeartKentMP3.m3u</t>
  </si>
  <si>
    <t>http://icecast.thisisdax.com/HeartOxfordshireMP3.m3u</t>
  </si>
  <si>
    <t>http://icecast.thisisdax.com/HeartSussexMP3.m3u</t>
  </si>
  <si>
    <t>http://icecast.thisisdax.com/HeartSouthWalesMP3.m3u</t>
  </si>
  <si>
    <t>http://icecast.thisisdax.com/HeartWestWalesMP3.m3u</t>
  </si>
  <si>
    <t>http://icecast.thisisdax.com/HeartUKMP3.m3u</t>
  </si>
  <si>
    <t>http://icecast.thisisdax.com/HeartBathMP3.m3u</t>
  </si>
  <si>
    <t>http://icecast.thisisdax.com/HeartBristolMP3.m3u</t>
  </si>
  <si>
    <t>http://icecast.thisisdax.com/HeartCornwallMP3.m3u</t>
  </si>
  <si>
    <t>http://icecast.thisisdax.com/HeartEastDevonMP3.m3u</t>
  </si>
  <si>
    <t>http://icecast.thisisdax.com/HeartGloucestershireMP3.m3u</t>
  </si>
  <si>
    <t>http://icecast.thisisdax.com/HeartNorthDevonMP3.m3u</t>
  </si>
  <si>
    <t>http://icecast.thisisdax.com/HeartPlymouthMP3.m3u</t>
  </si>
  <si>
    <t>http://icecast.thisisdax.com/HeartSomersetMP3.m3u</t>
  </si>
  <si>
    <t>http://icecast.thisisdax.com/HeartSouthHamsMP3.m3u</t>
  </si>
  <si>
    <t>http://icecast.thisisdax.com/HeartTorbayMP3.m3u</t>
  </si>
  <si>
    <t>http://icecast.thisisdax.com/HeartWiltshireMP3.m3u</t>
  </si>
  <si>
    <t>http://icecast.thisisdax.com/HeartWestMidsMP3.m3u</t>
  </si>
  <si>
    <t>http://icecast.thisisdax.com/HeartYorkshireMP3.m3u</t>
  </si>
  <si>
    <t>http://icecast.thisisdax.com/Heart70sMP3.m3u</t>
  </si>
  <si>
    <t>http://icecast.thisisdax.com/Heart80sMP3.m3u</t>
  </si>
  <si>
    <t>http://icecast.thisisdax.com/Heart90sMP3.m3u</t>
  </si>
  <si>
    <t>http://icecast.thisisdax.com/Heart00sMP3.m3u</t>
  </si>
  <si>
    <t>http://icecast.thisisdax.com/HeartDanceMP3.m3u</t>
  </si>
  <si>
    <t>http://media-ice.musicradio.com/HeartXmasMP3.m3u</t>
  </si>
  <si>
    <t>http://streaming.broadcastradio.com:8610/heartland.m3u</t>
  </si>
  <si>
    <t>http://streamer.radio.co/sa0f1967d5/listen.m3u</t>
  </si>
  <si>
    <t>http://www.radiofeeds.net/playlists/bauer.pls?station=heat-mp3</t>
  </si>
  <si>
    <t>http://streaming03.zfast.co.uk:8158/listen.pls?sid=1</t>
  </si>
  <si>
    <t>http://www.radiofeeds.net/playlists/bauer.pls?station=net1bristol-mp3</t>
  </si>
  <si>
    <t>http://www.radiofeeds.net/playlists/bauer.pls?station=net1london-mp3</t>
  </si>
  <si>
    <t>http://www.radiofeeds.net/playlists/bauer.pls?station=key-mp3</t>
  </si>
  <si>
    <t>http://www.radiofeeds.net/playlists/bauer.pls?station=net1northyorkshire-mp3</t>
  </si>
  <si>
    <t>http://www.radiofeeds.net/playlists/bauer.pls?station=net1bournemouth-mp3</t>
  </si>
  <si>
    <t>http://www.radiofeeds.net/playlists/bauer.pls?station=net1southcoast-mp3</t>
  </si>
  <si>
    <t>http://www.radiofeeds.net/playlists/bauer.pls?station=net1suffolk-mp3</t>
  </si>
  <si>
    <t>http://www.radiofeeds.net/playlists/bauer.pls?station=hits-mp3</t>
  </si>
  <si>
    <t>http://www.radiofeeds.net/playlists/bauerflash.pls?station=hitsradiopride-mp3</t>
  </si>
  <si>
    <t>http://radio2.hopefm.org.uk:12364/live-stream128.m3u</t>
  </si>
  <si>
    <t>http://hotgold.tune-in.co.uk/stream.m3u</t>
  </si>
  <si>
    <t>Hot Gold (Wiltshire)</t>
  </si>
  <si>
    <t>http://hgold-wilts.tune-in.co.uk/live.m3u</t>
  </si>
  <si>
    <t>http://stream1.tune-in.co.uk:7002/listen.pls?sid=1</t>
  </si>
  <si>
    <t>http://hot-wilts.tune-in.co.uk:8000/stream.m3u</t>
  </si>
  <si>
    <t>http://www2.housepartyradio.net/stream/mp3/httpsafe/play.m3u?from=radiofeeds</t>
  </si>
  <si>
    <t>http://curtis.hubradio.co.uk:8080/hub-hq.mp3.m3u</t>
  </si>
  <si>
    <t>http://idr-nlb-400b0b217a490f14.elb.eu-west-1.amazonaws.com:8001/in_demand_radio.m3u</t>
  </si>
  <si>
    <t>http://stream.rcs.revma.com/epatpyebanzuv.m3u</t>
  </si>
  <si>
    <t>http://s2.xrad.io:8198/listen.pls?sid=1</t>
  </si>
  <si>
    <t>http://www.hebrides.tv:8000/islesfm.m3u</t>
  </si>
  <si>
    <t>http://www.radiofeeds.net/playlists/sharptemp.pls?station=390_jack_fm_128_mp3</t>
  </si>
  <si>
    <t>http://www.radiofeeds.net/playlists/sharptemp.pls?station=390_jack_fm_320_mp3</t>
  </si>
  <si>
    <t>http://www.radiofeeds.net/playlists/sharptemp.pls?station=390_jack_2_128_mp3</t>
  </si>
  <si>
    <t>http://www.radiofeeds.net/playlists/sharptemp.pls?station=390_jack_2_320_mp3</t>
  </si>
  <si>
    <t>http://www.radiofeeds.net/playlists/sharptemp.pls?station=390_jack_3_128_mp3</t>
  </si>
  <si>
    <t>http://www.radiofeeds.net/playlists/sharptemp.pls?station=390_jack_3_320_mp3</t>
  </si>
  <si>
    <t>http://radio.canstream.co.uk:8129/live.mp3.m3u</t>
  </si>
  <si>
    <t>http://www.radiofeeds.net/playlists/bauer.pls?station=jazz-mp3</t>
  </si>
  <si>
    <t>http://uksouth.streaming.broadcast.radio:16020/jeodabstream.m3u</t>
  </si>
  <si>
    <t>http://streamstwo.anytek.co.uk:8027/listen.pls?sid=1</t>
  </si>
  <si>
    <t>http://www.radiofeeds.net/playlists/bauer.pls?station=kerrang-mp3</t>
  </si>
  <si>
    <t>http://www.radiofeeds.net/playlists/sharptemp.pls?station=kingdomfm-mp3</t>
  </si>
  <si>
    <t>http://www.radiofeeds.net/playlists/sharptemp.pls?station=kingdomdab-mp3</t>
  </si>
  <si>
    <t>http://www.radiofeeds.net/playlists/bauer.pls?station=kiss100-mp3</t>
  </si>
  <si>
    <t>http://www.radiofeeds.net/playlists/bauer.pls?station=kissnational-mp3</t>
  </si>
  <si>
    <t>http://www.radiofeeds.net/playlists/bauer.pls?station=kissfresh-mp3</t>
  </si>
  <si>
    <t>http://www.radiofeeds.net/playlists/bauer.pls?station=kisstory-mp3</t>
  </si>
  <si>
    <t>http://www.radiofeeds.net/playlists/sharptemp.pls?station=kmfmashford-mp3</t>
  </si>
  <si>
    <t>http://www.radiofeeds.net/playlists/sharptemp.pls?station=kmfmcanterbury-mp3</t>
  </si>
  <si>
    <t>http://www.radiofeeds.net/playlists/sharptemp.pls?station=kmfmmaidstone-mp3</t>
  </si>
  <si>
    <t>http://www.radiofeeds.net/playlists/sharptemp.pls?station=kmfmmedway-mp3</t>
  </si>
  <si>
    <t>http://www.radiofeeds.net/playlists/sharptemp.pls?station=kmfmdoverfolkestone-mp3</t>
  </si>
  <si>
    <t>http://www.radiofeeds.net/playlists/sharptemp.pls?station=kmfmthanet-mp3</t>
  </si>
  <si>
    <t>http://www.radiofeeds.net/playlists/sharptemp.pls?station=kmfmwestkent-mp3</t>
  </si>
  <si>
    <t>http://icecast.thisisdax.com/LBCLondonMP3Low.m3u</t>
  </si>
  <si>
    <t>http://icecast.thisisdax.com/LBCUKMP3Low.m3u</t>
  </si>
  <si>
    <t>http://icecast.thisisdax.com/LBCNewsLondonMP3.m3u</t>
  </si>
  <si>
    <t>http://icecast.thisisdax.com/LBCNewsUKMP3.m3u</t>
  </si>
  <si>
    <t>http://live3.istoikona.net:8203/stream.m3u</t>
  </si>
  <si>
    <t>http://liferadiostream.uk:8062/listen.pls?sid=1</t>
  </si>
  <si>
    <t>http://centauri.shoutca.st:8290/live.m3u</t>
  </si>
  <si>
    <t>http://www.radiofeeds.net/playlists/likeone.m3u</t>
  </si>
  <si>
    <t>http://www.radiofeeds.net/playlists/likepop.m3u</t>
  </si>
  <si>
    <t>http://www.radiofeeds.net/playlists/likeretro.m3u</t>
  </si>
  <si>
    <t>http://www.radiofeeds.net/playlists/bauer.pls?station=net1lincoln-mp3</t>
  </si>
  <si>
    <t>http://www.radiofeeds.net/playlists/lite.m3u</t>
  </si>
  <si>
    <t>http://playoutonestreaming.com:8048/listen.pls?sid=1</t>
  </si>
  <si>
    <t>http://playoutonestreaming.com:8086/listen.pls?sid=1</t>
  </si>
  <si>
    <t>http://www.radiofeeds.net/playlists/londonone.m3u</t>
  </si>
  <si>
    <t>http://playoutonestreaming.com:8062/listen.pls?sid=1</t>
  </si>
  <si>
    <t>http://stream1.themediasite.co.uk:8038/listen.pls?sid=1</t>
  </si>
  <si>
    <t>http://www.radiofeeds.net/playlists/sharptemp.pls?station=1035.mp3</t>
  </si>
  <si>
    <t>http://www.radiofeeds.net/playlists/sharptemp.pls?station=1458-mp3</t>
  </si>
  <si>
    <t>http://www.radiofeeds.net/playlists/bauer.pls?station=magic1054-mp3</t>
  </si>
  <si>
    <t>http://www.radiofeeds.net/playlists/bauer.pls?station=magicnational-mp3</t>
  </si>
  <si>
    <t>http://www.radiofeeds.net/playlists/bauer.pls?station=magicmusicals-mp3</t>
  </si>
  <si>
    <t>http://www.radiofeeds.net/playlists/bauer.pls?station=magicchilled-mp3</t>
  </si>
  <si>
    <t>http://www.radiofeeds.net/playlists/bauer.pls?station=magicsoul-mp3</t>
  </si>
  <si>
    <t>http://audiospace.stream/3748.m3u</t>
  </si>
  <si>
    <t>http://www.radiofeeds.net/playlists/sharptemp.pls?station=manxradioam-mp3</t>
  </si>
  <si>
    <t>http://www.radiofeeds.net/playlists/sharptemp.pls?station=manxradiofm-mp3</t>
  </si>
  <si>
    <t>http://philae.shoutca.st:8054/listen.pls?sid=1</t>
  </si>
  <si>
    <t>http://www.radiofeeds.net/playlists/bauer.pls?station=magicmellow-mp3</t>
  </si>
  <si>
    <t>http://stream.zeno.fm/bu7tz109x4zuv.m3u</t>
  </si>
  <si>
    <t>http://www.radiofeeds.net/playlists/bauer.pls?station=metro-mp3</t>
  </si>
  <si>
    <t>http://www.radiofeeds.net/playlists/bauer.pls?station=mfrfm-mp3</t>
  </si>
  <si>
    <t>http://www.radiofeeds.net/playlists/bauer.pls?station=mfram-mp3</t>
  </si>
  <si>
    <t>http://trappist.shoutca.st:8058/listen.pls?sid=1</t>
  </si>
  <si>
    <t>http://trappist.shoutca.st:8101/listen.pls?sid=1</t>
  </si>
  <si>
    <t>http://www.radiofeeds.net/playlists/sharptemp.pls?station=462_mi_soul_128_mp3</t>
  </si>
  <si>
    <t>http://www.radiofeeds.net/playlists/sharptemp.pls?station=462_mi_soul_320_mp3</t>
  </si>
  <si>
    <t>http://proxima.shoutca.st:8122/listen.pls?sid=1</t>
  </si>
  <si>
    <t>http://mkfmradioplayer.radioca.st:9648/listen.pls?sid=1</t>
  </si>
  <si>
    <t>http://stream.rcs.revma.com/6q7ksnnz6k0uv.m3u</t>
  </si>
  <si>
    <t>http://s2.xrad.io:8190/listen.pls?sid=1</t>
  </si>
  <si>
    <t>http://s2.xrad.io:8192/listen.pls?sid=1</t>
  </si>
  <si>
    <t>http://s2.xrad.io:8194/listen.pls?sid=1</t>
  </si>
  <si>
    <t>http://s2.xrad.io:8188/listen.pls?sid=1</t>
  </si>
  <si>
    <t>http://s2.xrad.io:8196/listen.pls?sid=1</t>
  </si>
  <si>
    <t>http://s2.xrad.io:8330/listen.pls?sid=1</t>
  </si>
  <si>
    <t>http://www.radiofeeds.net/playlists/sharptemp.pls?station=nation60s-mp3</t>
  </si>
  <si>
    <t>http://icy-e-01.sharp-stream.com/nation60sdab.mp3.m3u</t>
  </si>
  <si>
    <t>http://www.radiofeeds.net/playlists/sharptemp.pls?station=nationradio70s-mp3</t>
  </si>
  <si>
    <t>http://icy-e-01.sharp-stream.com/nationradio70s-dab.mp3.m3u</t>
  </si>
  <si>
    <t>http://www.radiofeeds.net/playlists/sharptemp.pls?station=nationradio80s-mp3</t>
  </si>
  <si>
    <t>http://icy-e-01.sharp-stream.com/nationradio80s-dab.mp3.m3u</t>
  </si>
  <si>
    <t>http://www.radiofeeds.net/playlists/sharptemp.pls?station=nationradio90s-mp3</t>
  </si>
  <si>
    <t>http://icy-e-01.sharp-stream.com/nationradio90s-dab.mp3.m3u</t>
  </si>
  <si>
    <t>http://www.radiofeeds.net/playlists/sharptemp.pls?station=nationradio00s-mp3</t>
  </si>
  <si>
    <t>http://www.radiofeeds.net/playlists/sharptemp.pls?station=nationradio00sdab-mp3</t>
  </si>
  <si>
    <t>http://www.radiofeeds.net/playlists/sharptemp.pls?station=clubnation-mp3</t>
  </si>
  <si>
    <t>http://icy-e-01.sharp-stream.com/clubnationdab.mp3.m3u</t>
  </si>
  <si>
    <t>http://www.radiofeeds.net/playlists/sharptemp.pls?station=nationhits-mp3</t>
  </si>
  <si>
    <t>http://icy-e-01.sharp-stream.com/nationhitsdab.mp3.m3u</t>
  </si>
  <si>
    <t>http://www.radiofeeds.net/playlists/sharptemp.pls?station=lovenation-mp3</t>
  </si>
  <si>
    <t>http://icy-e-01.sharp-stream.com/lovenationdab.mp3.m3u</t>
  </si>
  <si>
    <t>http://www.radiofeeds.net/playlists/sharptemp.pls?station=nationparty-mp3</t>
  </si>
  <si>
    <t>http://www.radiofeeds.net/playlists/sharptemp.pls?station=nationpartydab-mp3</t>
  </si>
  <si>
    <t>http://www.radiofeeds.net/playlists/sharptemp.pls?station=hull-mp3</t>
  </si>
  <si>
    <t>http://icy-e-01.sharp-stream.com/ghrhulldab.mp3.m3u</t>
  </si>
  <si>
    <t>http://www.radiofeeds.net/playlists/sharptemp.pls?station=yourradio-mp3</t>
  </si>
  <si>
    <t>http://icy-e-01.sharp-stream.com/yourradiodab.mp3.m3u</t>
  </si>
  <si>
    <t>http://www.radiofeeds.net/playlists/sharptemp.pls?station=nationscotland-mp3</t>
  </si>
  <si>
    <t>http://icy-e-01.sharp-stream.com/nationscotlanddab.mp3.m3u</t>
  </si>
  <si>
    <t>http://www.radiofeeds.net/playlists/sharptemp.pls?station=nationdorset-mp3</t>
  </si>
  <si>
    <t>http://www.radiofeeds.net/playlists/sharptemp.pls?station=nationdorsetdab-mp3</t>
  </si>
  <si>
    <t>http://www.radiofeeds.net/playlists/sharptemp.pls?station=nationhampshire-mp3</t>
  </si>
  <si>
    <t>http://www.radiofeeds.net/playlists/sharptemp.pls?station=nationhampshiredab-mp3</t>
  </si>
  <si>
    <t>http://www.radiofeeds.net/playlists/sharptemp.pls?station=nationsuffolk-mp3</t>
  </si>
  <si>
    <t>http://www.radiofeeds.net/playlists/sharptemp.pls?station=nationsuffolk-dab-mp3</t>
  </si>
  <si>
    <t>http://www.radiofeeds.net/playlists/sharptemp.pls?station=thamesradio-mp3</t>
  </si>
  <si>
    <t>http://icy-e-01.sharp-stream.com/nationukdab.mp3.m3u</t>
  </si>
  <si>
    <t>http://www.radiofeeds.net/playlists/sharptemp.pls?station=tcceredigion-mp3</t>
  </si>
  <si>
    <t>http://icy-e-01.sharp-stream.com/ceredigiondab.mp3.m3u</t>
  </si>
  <si>
    <t>http://www.radiofeeds.net/playlists/sharptemp.pls?station=tcnation-mp3</t>
  </si>
  <si>
    <t>http://icy-e-01.sharp-stream.com/nationwalesdab.mp3.m3u</t>
  </si>
  <si>
    <t>http://icy-e-01.sharp-stream.com/nationwestdab.mp3.m3u</t>
  </si>
  <si>
    <t>http://www.radiofeeds.net/playlists/sharptemp.pls?station=nationrocks-mp3</t>
  </si>
  <si>
    <t>http://icy-e-01.sharp-stream.com/nationrocksdab.mp3.m3u</t>
  </si>
  <si>
    <t>http://playoutonestreaming.com:8008/stream.m3u</t>
  </si>
  <si>
    <t>http://www.radiofeeds.net/playlists/sharptemp.pls?station=nme1-mp3</t>
  </si>
  <si>
    <t>http://www.radiofeeds.net/playlists/sharptemp.pls?station=nme1high-mp3</t>
  </si>
  <si>
    <t>http://www.radiofeeds.net/playlists/sharptemp.pls?station=nme2-mp3</t>
  </si>
  <si>
    <t>http://www.radiofeeds.net/playlists/sharptemp.pls?station=nme2high-mp3</t>
  </si>
  <si>
    <t>http://noodsradio.out.airtime.pro:8000/noodsradio_b.m3u</t>
  </si>
  <si>
    <t>http://noodsradio.out.airtime.pro:8000/noodsradio_a.m3u</t>
  </si>
  <si>
    <t>http://www.radiofeeds.net/playlists/bauer.pls?station=northsound1-mp3</t>
  </si>
  <si>
    <t>http://www.radiofeeds.net/playlists/bauer.pls?station=northsound2-mp3</t>
  </si>
  <si>
    <t>http://radio.canstream.co.uk:8143/live.mp3.m3u</t>
  </si>
  <si>
    <t>http://www.radiofeeds.net/playlists/oneworld.m3u</t>
  </si>
  <si>
    <t>http://www.radiofeeds.net/playlists/sharptemp.pls?station=original106-mp3</t>
  </si>
  <si>
    <t>http://live.streamlojik.com:11170/outreachdance.mp3.m3u</t>
  </si>
  <si>
    <t>http://live.streamlojik.com:11070/outreachradio.mp3.m3u</t>
  </si>
  <si>
    <t>http://streaming03.zfast.co.uk:8047/listen.mp3.m3u</t>
  </si>
  <si>
    <t>http://playoutonestreaming.com:8075/listen.pls?sid=1</t>
  </si>
  <si>
    <t>http://radio3.citrus3.com:8584/listen.pls?sid=1</t>
  </si>
  <si>
    <t>http://www.radiofeeds.net/playlists/passionhq.m3u</t>
  </si>
  <si>
    <t>http://streams.radio.co/sbaa068f97/listen.m3u</t>
  </si>
  <si>
    <t>http://www.radiofeeds.net/playlists/bauer.pls?station=net1cornwalleast-mp3</t>
  </si>
  <si>
    <t>http://www.radiofeeds.net/playlists/bauer.pls?station=net1cornwall-mp3</t>
  </si>
  <si>
    <t>http://www.radiofeeds.net/playlists/bauer.pls?station=planetrock-mp3</t>
  </si>
  <si>
    <t>http://playerservices.streamtheworld.com/pls/PODCAST_RADIO.pls</t>
  </si>
  <si>
    <t>http://www.radiofeeds.net/playlists/pointblank128.m3u</t>
  </si>
  <si>
    <t>http://www.radiofeeds.net/playlists/pointblank320.m3u</t>
  </si>
  <si>
    <t>http://s4.xrad.io:8008/listen.pls?sid=1</t>
  </si>
  <si>
    <t>http://69203abc-1923-4c7a-bbd3-1e4d391a8cd9.icecast.radiomast.io/RadioFeeds.m3u</t>
  </si>
  <si>
    <t>http://4d0743b5-b63a-43f1-9f7f-e8a04abe9367.icecast.radiomast.io/RadioFeeds.m3u</t>
  </si>
  <si>
    <t>http://31ecbab9-e64f-44a3-8afa-fe58745e82c8.icecast.radiomast.io/RadioFeeds.m3u</t>
  </si>
  <si>
    <t>http://bc0b65c9-472b-48b7-b9fc-3b3000ca5ac3.icecast.radiomast.io/RadioFeeds.m3u</t>
  </si>
  <si>
    <t>http://5c45ff7b-5925-46d7-bd1f-6682bbdf8e44.icecast.radiomast.io/RadioFeeds.m3u</t>
  </si>
  <si>
    <t>http://4f0fe096-7e2a-4bf0-957f-6c46a866d9ea.icecast.radiomast.io/RadioFeeds.m3u</t>
  </si>
  <si>
    <t>http://stream.rcs.revma.com/v61s40vqa78uv.m3u</t>
  </si>
  <si>
    <t>http://www.radiofeeds.net/playlists/bauer.pls?station=net1bradford-mp3</t>
  </si>
  <si>
    <t>http://icy-e-01.sharp-stream.com/pure_radio.mp3.m3u</t>
  </si>
  <si>
    <t>http://www.radiofeeds.net/playlists/sharptemp.pls?station=145_pure_radio_tayside_128_mp3</t>
  </si>
  <si>
    <t>http://icy-e-01.sharp-stream.com/qr1070mobile.mp3.m3u</t>
  </si>
  <si>
    <t>http://icy-e-01.sharp-stream.com/qr1070.mp3.m3u</t>
  </si>
  <si>
    <t>http://icy-e-01.sharp-stream.com/qr967mobile.mp3.m3u</t>
  </si>
  <si>
    <t>http://icy-e-01.sharp-stream.com/qr967.mp3.m3u</t>
  </si>
  <si>
    <t>http://icy-e-01.sharp-stream.com/qr972mobile.mp3.m3u</t>
  </si>
  <si>
    <t>http://icy-e-01.sharp-stream.com/qr972.mp3.m3u</t>
  </si>
  <si>
    <t>http://icy-e-01.sharp-stream.com/qr1029mobile.mp3.m3u</t>
  </si>
  <si>
    <t>http://icy-e-01.sharp-stream.com/qr1029.mp3.m3u</t>
  </si>
  <si>
    <t>http://icy-e-01.sharp-stream.com/qr1060mobile.mp3.m3u</t>
  </si>
  <si>
    <t>http://icy-e-01.sharp-stream.com/qr1060.mp3.m3u</t>
  </si>
  <si>
    <t>http://icy-e-01.sharp-stream.com/qr1005mobile.mp3.m3u</t>
  </si>
  <si>
    <t>http://icy-e-01.sharp-stream.com/qr1005.mp3.m3u</t>
  </si>
  <si>
    <t>http://icy-e-01.sharp-stream.com/qr1012mobile.mp3.m3u</t>
  </si>
  <si>
    <t>http://icy-e-01.sharp-stream.com/qr1012.mp3.m3u</t>
  </si>
  <si>
    <t>http://quayfm.ci-servers.gg:1071/live.m3u</t>
  </si>
  <si>
    <t>http://s39.myradiostream.com:8888/listen.pls?sid=1</t>
  </si>
  <si>
    <t>http://stream.zeno.fm/dzfh86qaya0uv.m3u</t>
  </si>
  <si>
    <t>http://stream1.hippynet.co.uk:8061/listen.pls?sid=1</t>
  </si>
  <si>
    <t>http://playoutonestreaming.com:8147/listen.pls?sid=1</t>
  </si>
  <si>
    <t>http://www.radiofeeds.net/playlists/bauer.pls?station=borders-mp3</t>
  </si>
  <si>
    <t>http://www.radiofeeds.net/playlists/sharptemp.pls?station=tccarmarthenshire-mp3</t>
  </si>
  <si>
    <t>http://icy-e-01.sharp-stream.com/nationcarmarthenshiredab.mp3.m3u</t>
  </si>
  <si>
    <t>http://sc2.radiocaroline.net:10568/listen.pls?sid=1</t>
  </si>
  <si>
    <t>http://sc2.radiocaroline.net:10558/listen.pls?sid=1</t>
  </si>
  <si>
    <t>http://philae.shoutca.st:8459/listen.pls?sid=1</t>
  </si>
  <si>
    <t>http://www.radiofeeds.net/playlists/bauer.pls?station=city-mp3</t>
  </si>
  <si>
    <t>http://usa19.fastcast4u.com:1120/listen.pls?sid=1</t>
  </si>
  <si>
    <t>http://playoutonestreaming.com:8012/listen.pls?sid=1</t>
  </si>
  <si>
    <t>http://streams.radio.co/sf2a4d9132/listen.m3u</t>
  </si>
  <si>
    <t>http://s4.radio.co/sd9ae042f5/listen.m3u</t>
  </si>
  <si>
    <t>http://media.radiojackie.com:22614/listen.pls</t>
  </si>
  <si>
    <t>http://media.radiojackie.com:12614/listen.pls</t>
  </si>
  <si>
    <t>http://icy-e-01.sharp-stream.com/khushkhabri.mp3.m3u</t>
  </si>
  <si>
    <t>http://213.159.214.57:8000/matryoshka.m3u</t>
  </si>
  <si>
    <t>http://uk3-vn.webcast-server.net:8192/listen.pls?sid=1</t>
  </si>
  <si>
    <t>http://www.radiofeeds.net/playlists/sharptemp.pls?station=tcpembrokeshire-mp3</t>
  </si>
  <si>
    <t>http://icy-e-01.sharp-stream.com/nationpembrokeshiredab.mp3.m3u</t>
  </si>
  <si>
    <t>http://proxima.shoutca.st:8500/listen.pls?sid=1</t>
  </si>
  <si>
    <t>http://comet.shoutca.st:8338/live.m3u</t>
  </si>
  <si>
    <t>http://streaming.broadcastradio.com:11450/radioup.m3u</t>
  </si>
  <si>
    <t>http://hyades.shoutca.st:8034/live.m3u</t>
  </si>
  <si>
    <t>http://icecast.thisisdax.com/RadioXLondonMP3.m3u</t>
  </si>
  <si>
    <t>http://icecast.thisisdax.com/RadioXManchesterMP3.m3u</t>
  </si>
  <si>
    <t>http://icecast.thisisdax.com/RadioXUKMP3.m3u</t>
  </si>
  <si>
    <t>http://sc18.strictlyhosting.co.uk:8000/listen.pls</t>
  </si>
  <si>
    <t>http://pollux.shoutca.st:8874/listen.pls?sid=1</t>
  </si>
  <si>
    <t>http://www.radiofeeds.net/playlists/rajoradio.m3u</t>
  </si>
  <si>
    <t>http://www.radiofeeds.net/playlists/rangoli.m3u</t>
  </si>
  <si>
    <t>http://stream1.themediasite.co.uk:8046/listen.pls?sid=1</t>
  </si>
  <si>
    <t>http://stream.releaseradio.net/stream.m3u</t>
  </si>
  <si>
    <t>http://stream.resonance.fm/resonance-extra-lo.m3u</t>
  </si>
  <si>
    <t>http://stream.resonance.fm/resonance-extra.m3u</t>
  </si>
  <si>
    <t>http://s4.radio.co/s2eaa194f6/listen.m3u</t>
  </si>
  <si>
    <t>http://stream2.hippynet.co.uk:8010/live.m3u</t>
  </si>
  <si>
    <t>http://www.radiofeeds.net/playlists/river.m3u</t>
  </si>
  <si>
    <t>http://radio.riversideradio.com:8216/listen.pls?sid=1</t>
  </si>
  <si>
    <t>http://www.radiofeeds.net/playlists/bauer.pls?station=rock-mp3</t>
  </si>
  <si>
    <t>http://freeuk3.listen2myradio.com:4464/listen.pls</t>
  </si>
  <si>
    <t>http://streaming03.zfast.co.uk:8130/listen.pls?sid=1</t>
  </si>
  <si>
    <t>http://streaming03.zfast.co.uk:8075/listen.pls?sid=1</t>
  </si>
  <si>
    <t>http://mp3streaming.planetwideradio.com:9125/ruach.m3u</t>
  </si>
  <si>
    <t>http://stream3.themediasite.co.uk:8036/listen.pls?sid=1</t>
  </si>
  <si>
    <t>http://radio.canstream.co.uk:8025/live.mp3.m3u</t>
  </si>
  <si>
    <t>http://s4.xrad.io:8086/listen.pls?sid=1</t>
  </si>
  <si>
    <t>http://s2.radio.co/s0dc6b5c9b/listen.m3u</t>
  </si>
  <si>
    <t>http://playoutonestreaming.com:8038/listen.pls?sid=1</t>
  </si>
  <si>
    <t>http://radio.canstream.co.uk:8024/live.mp3.m3u</t>
  </si>
  <si>
    <t>http://www.radiofeeds.net/playlists/bauer.pls?station=scala-mp3</t>
  </si>
  <si>
    <t>http://uksouth.streaming.broadcast.radio:16280/scratch.m3u</t>
  </si>
  <si>
    <t>http://s3.radio.co/sd4abfe69e/listen.m3u</t>
  </si>
  <si>
    <t>http://www.radiofeeds.net/playlists/SIBC128mp3.m3u</t>
  </si>
  <si>
    <t>http://www.radiofeeds.net/playlists/SIBC192mp3.m3u</t>
  </si>
  <si>
    <t>http://www.radiofeeds.net/playlists/bauer.pls?station=net1stoke-mp3</t>
  </si>
  <si>
    <t>http://icy-e-01.sharp-stream.com/tcsilki.mp3.m3u</t>
  </si>
  <si>
    <t>http://icy-e-01.sharp-stream.com/tcsilk.mp3.m3u</t>
  </si>
  <si>
    <t>http://uk2-pn.mixstream.net:8036/listen.pls?sid=1</t>
  </si>
  <si>
    <t>http://icy-e-01.sharp-stream.com/slackcity.mp3.m3u</t>
  </si>
  <si>
    <t>http://icecast.thisisdax.com/SmoothChillMP3.m3u</t>
  </si>
  <si>
    <t>http://icecast.thisisdax.com/SmoothCountryMP3.m3u</t>
  </si>
  <si>
    <t>http://icecast.thisisdax.com/SmoothBristolMP3.m3u</t>
  </si>
  <si>
    <t>http://icecast.thisisdax.com/SmoothDorsetMP3.m3u</t>
  </si>
  <si>
    <t>http://icecast.thisisdax.com/SmoothDerbyMP3.m3u</t>
  </si>
  <si>
    <t>http://icecast.thisisdax.com/SmoothEastMidsMP3.m3u</t>
  </si>
  <si>
    <t>http://icecast.thisisdax.com/SmoothNorthantsMP3.m3u</t>
  </si>
  <si>
    <t>http://icecast.thisisdax.com/SmoothEssexMP3.m3u</t>
  </si>
  <si>
    <t>http://icecast.thisisdax.com/SmoothGloucesterMP3.m3u</t>
  </si>
  <si>
    <t>http://icecast.thisisdax.com/SmoothHampshireMP3.m3u</t>
  </si>
  <si>
    <t>http://icecast.thisisdax.com/SmoothHertsMP3.m3u</t>
  </si>
  <si>
    <t>http://icecast.thisisdax.com/SmoothKentMP3.m3u</t>
  </si>
  <si>
    <t>http://icecast.thisisdax.com/SmoothLakeDistrictMP3.m3u</t>
  </si>
  <si>
    <t>http://icecast.thisisdax.com/SmoothLondonMP3.m3u</t>
  </si>
  <si>
    <t>http://icecast.thisisdax.com/SmoothNorfolkMP3.m3u</t>
  </si>
  <si>
    <t>http://icecast.thisisdax.com/SmoothNorthEastSMP3.m3u</t>
  </si>
  <si>
    <t>http://icecast.thisisdax.com/SmoothNorthEastNMP3.m3u</t>
  </si>
  <si>
    <t>http://icecast.thisisdax.com/SmoothNorthWalesMP3.m3u</t>
  </si>
  <si>
    <t>http://icecast.thisisdax.com/SmoothNorthWestMP3.m3u</t>
  </si>
  <si>
    <t>http://icecast.thisisdax.com/SmoothPlymouthMP3.m3u</t>
  </si>
  <si>
    <t>http://icecast.thisisdax.com/SmoothScotlandMP3.m3u</t>
  </si>
  <si>
    <t>http://icecast.thisisdax.com/SmoothSouthWalesMP3.m3u</t>
  </si>
  <si>
    <t>http://icecast.thisisdax.com/SmoothSuffolkMP3.m3u</t>
  </si>
  <si>
    <t>http://icecast.thisisdax.com/SmoothSussexMP3.m3u</t>
  </si>
  <si>
    <t>http://icecast.thisisdax.com/SmoothBerkshireMP3.m3u</t>
  </si>
  <si>
    <t>http://icecast.thisisdax.com/SmoothUKMP3.m3u</t>
  </si>
  <si>
    <t>http://icecast.thisisdax.com/SmoothWestMidsMP3.m3u</t>
  </si>
  <si>
    <t>http://icecast.thisisdax.com/SmoothWiltshireMP3.m3u</t>
  </si>
  <si>
    <t>http://playoutonestreaming.com:8175/listen.pls?sid=1</t>
  </si>
  <si>
    <t>http://svr1.msmn2.co:8324/listen.pls?sid=1</t>
  </si>
  <si>
    <t>http://82.163.73.123:8330/listen.pls?sid=1</t>
  </si>
  <si>
    <t>http://88.202.230.61:8330/listen.pls?sid=1</t>
  </si>
  <si>
    <t>http://stream.rcs.revma.com/e7c2n0nc508uv.m3u</t>
  </si>
  <si>
    <t>http://stream.rcs.revma.com/sa3ccwa9yy8uv.m3u</t>
  </si>
  <si>
    <t>http://centova.solidradio.co.uk:8000/listen.pls?sid=4</t>
  </si>
  <si>
    <t>http://centova.solidradio.co.uk:8000/listen.pls?sid=3</t>
  </si>
  <si>
    <t>http://icy-e-01.sharp-stream.com/spectrum4.mp3.m3u</t>
  </si>
  <si>
    <t>http://s3.radio.co/s59218e461/listen.m3u</t>
  </si>
  <si>
    <t>http://stream.rcs.revma.com/4bxr9kkgewzuv.m3u</t>
  </si>
  <si>
    <t>http://stream.rcs.revma.com/8rud7kqkdwzuv.m3u</t>
  </si>
  <si>
    <t>http://stream.rcs.revma.com/hyyz8327ptzuv.m3u</t>
  </si>
  <si>
    <t>http://stream2.hippynet.co.uk:8086/stream.mp3.m3u</t>
  </si>
  <si>
    <t>http://stream2.hippynet.co.uk:8084/stream.mp3.m3u</t>
  </si>
  <si>
    <t>http://www.radiofeeds.net/playlists/steel.m3u</t>
  </si>
  <si>
    <t>http://playoutonestreaming.com:8070/listen.pls?sid=1</t>
  </si>
  <si>
    <t>http://streaming.broadcastradio.com:10520/streetsdaac.m3u</t>
  </si>
  <si>
    <t>http://streaming.broadcastradio.com:10520/streetsd.m3u</t>
  </si>
  <si>
    <t>http://styleradio.radioca.st:8405/listen.pls?sid=1</t>
  </si>
  <si>
    <t>http://icy-e-01.sharp-stream.com/sukhsagar.mp3.m3u</t>
  </si>
  <si>
    <t>http://www.radiofeeds.net/playlists/sharptemp.pls?station=sunfm-mp3</t>
  </si>
  <si>
    <t>http://icy-e-01.sharp-stream.com/sunfmdab.mp3.m3u</t>
  </si>
  <si>
    <t>http://www.radiofeeds.net/playlists/sunoh.m3u</t>
  </si>
  <si>
    <t>http://www.radiofeeds.net/playlists/sharptemp.pls?station=sunriseradio-mp3</t>
  </si>
  <si>
    <t>http://www.radiofeeds.net/playlists/sharptemp.pls?station=sunriseradionat-mp3</t>
  </si>
  <si>
    <t>http://www.radiofeeds.net/playlists/sharptemp.pls?station=sunriseradioalexa-mp3</t>
  </si>
  <si>
    <t>http://stream1.themediasite.co.uk:8070/listen.pls?sid=29</t>
  </si>
  <si>
    <t>http://stream1.themediasite.co.uk:8070/listen.pls?sid=28</t>
  </si>
  <si>
    <t>http://stream1.themediasite.co.uk:8070/listen.pls?sid=27</t>
  </si>
  <si>
    <t>http://stream1.themediasite.co.uk:8070/listen.pls?sid=1</t>
  </si>
  <si>
    <t>http://streaming.radio.co/s6a51b5927/listen.m3u</t>
  </si>
  <si>
    <t>http://icecast.easystream.co.uk:8000/herefordFM.m3u</t>
  </si>
  <si>
    <t>http://icecast.easystream.co.uk:8000/monmouth.m3u</t>
  </si>
  <si>
    <t>http://icecast.easystream.co.uk:8000/sunshine855.m3u</t>
  </si>
  <si>
    <t>http://s2.xrad.io:8058/listen.pls?sid=1</t>
  </si>
  <si>
    <t>http://www.radiofeeds.net/playlists/wgtalkradio.m3u</t>
  </si>
  <si>
    <t>http://www.radiofeeds.net/playlists/talksportstream.m3u</t>
  </si>
  <si>
    <t>http://www.radiofeeds.net/playlists/talksport2.m3u</t>
  </si>
  <si>
    <t>http://www.radiofeeds.net/playlists/bauer.pls?station=tayfm-mp3</t>
  </si>
  <si>
    <t>http://www.radiofeeds.net/playlists/bauer.pls?station=tayam-mp3</t>
  </si>
  <si>
    <t>http://uk3.internet-radio.com:8154/live.m3u</t>
  </si>
  <si>
    <t>http://www.radiofeeds.net/playlists/bauer.pls?station=tfm-mp3</t>
  </si>
  <si>
    <t>http://www.radiofeeds.net/playlists/thegiant.m3u</t>
  </si>
  <si>
    <t>http://uk7.internet-radio.com:8352/listen.pls?sid=1</t>
  </si>
  <si>
    <t>http://therockservice.servebeer.com:8001/listen.pls</t>
  </si>
  <si>
    <t>http://therockservice.servebeer.com:7999/listen.pls</t>
  </si>
  <si>
    <t>http://therockservice.servebeer.com:7997/listen.pls</t>
  </si>
  <si>
    <t>http://therockservice.servebeer.com:7993/listen.pls</t>
  </si>
  <si>
    <t>http://icecast3.rosisystems.com:8000/thevoice.mp3.m3u</t>
  </si>
  <si>
    <t>http://icecast3.rosisystems.com:8000/thevoice_hq.m3u</t>
  </si>
  <si>
    <t>http://www.radiofeeds.net/playlists/bauer.pls?station=net1swansea-mp3</t>
  </si>
  <si>
    <t>http://streaming.broadcastradio.com:10760/thisisthecoast.m3u</t>
  </si>
  <si>
    <t>http://www.radiofeeds.net/playlists/sharptemp.pls?station=1075-mp3</t>
  </si>
  <si>
    <t>http://aries.streaming.zfast.co.uk:8024/listen.pls?sid=1</t>
  </si>
  <si>
    <t>http://www.radiofeeds.net/playlists/wgtimesradio.m3u</t>
  </si>
  <si>
    <t>http://s6.citrus3.com:8310/stream.m3u</t>
  </si>
  <si>
    <t>http://s3.voscast.com:9532/listen.pls?sid=1</t>
  </si>
  <si>
    <t>http://streaming02.zfast.co.uk:8020/stream.m3u</t>
  </si>
  <si>
    <t>http://icy-e-01.sharp-stream.com/twruk.mp3.m3u</t>
  </si>
  <si>
    <t>http://stream1.themediasite.co.uk:8008/listen.pls?sid=1</t>
  </si>
  <si>
    <t>http://www.radiofeeds.net/playlists/tibus.pls?station=U105LQ</t>
  </si>
  <si>
    <t>http://www.radiofeeds.net/playlists/tibus.pls?station=U105</t>
  </si>
  <si>
    <t>http://icy-e-01.sharp-stream.com/ucbuk.mp3.m3u</t>
  </si>
  <si>
    <t>http://icy-e-01.sharp-stream.com/ucbinspirational.mp3.m3u</t>
  </si>
  <si>
    <t>http://eclipse.galaxywebsolutions.com:7571/live.m3u</t>
  </si>
  <si>
    <t>http://icy-e-01.sharp-stream.com/urfonline.mp3.m3u</t>
  </si>
  <si>
    <t>http://live.canstream.co.uk:8000/ucaradio.mp3.m3u</t>
  </si>
  <si>
    <t>http://stream.v2radio.co.uk/V2RadioHQMP3.m3u</t>
  </si>
  <si>
    <t>http://stream.v2radio.co.uk/V2RadioDAB.m3u</t>
  </si>
  <si>
    <t>http://playoutonestreaming.com:8133/listen.pls?sid=1</t>
  </si>
  <si>
    <t>http://www.radiofeeds.net/playlists/bauer.pls?station=viking-mp3</t>
  </si>
  <si>
    <t>http://www.radiofeeds.net/playlists/wgvirginradio.m3u</t>
  </si>
  <si>
    <t>http://www.radiofeeds.net/playlists/wgvirginpride.m3u</t>
  </si>
  <si>
    <t>http://www.radiofeeds.net/playlists/wgvirginanthems.m3u</t>
  </si>
  <si>
    <t>http://www.radiofeeds.net/playlists/wgvirginchilled.m3u</t>
  </si>
  <si>
    <t>http://s6.voscast.com:9980/stream.m3u</t>
  </si>
  <si>
    <t>http://www.radiofeeds.net/playlists/bauer.pls?station=wave105-mp3</t>
  </si>
  <si>
    <t>http://webradio.radiomonitor.com/m3u/WavesRadio.m3u</t>
  </si>
  <si>
    <t>http://www.radiofeeds.net/playlists/bauer.pls?station=westfm-mp3</t>
  </si>
  <si>
    <t>http://www.radiofeeds.net/playlists/bauer.pls?station=westsound-mp3</t>
  </si>
  <si>
    <t>http://www.radiofeeds.net/playlists/bauer.pls?station=westsoundfm-mp3</t>
  </si>
  <si>
    <t>http://s2.stationplaylist.com:7012/listen.mp3.m3u</t>
  </si>
  <si>
    <t>http://uksouth.streaming.broadcast.radio:16190/wowblackpool.m3u</t>
  </si>
  <si>
    <t>http://streaming.edmradio.online:8025/WRN-E.m3u</t>
  </si>
  <si>
    <t>http://radio.canstream.co.uk:8039/live.mp3.m3u</t>
  </si>
  <si>
    <t>http://icy-e-01.sharp-stream.com/xrhythms.mp3.m3u</t>
  </si>
  <si>
    <t>http://icecast.thisisdax.com/RealXSManchesterMP3.m3u</t>
  </si>
  <si>
    <t>http://ec1.yesstreaming.net:1490/stream.m3u</t>
  </si>
  <si>
    <t>http://stream2.hippynet.co.uk:8020/mobile.m3u</t>
  </si>
  <si>
    <t>http://stream2.hippynet.co.uk:8020/streamb.m3u</t>
  </si>
  <si>
    <t>http://stream2.hippynet.co.uk:8021/stream.m3u</t>
  </si>
  <si>
    <t>http://streaming.broadcastradio.com:11040/yourharrogate.m3u</t>
  </si>
  <si>
    <t>http://vps.zestliverpool.com:8000/listen.pls?sid=4</t>
  </si>
  <si>
    <t>http://vps.zestliverpool.com:8000/listen.pls?sid=3</t>
  </si>
  <si>
    <t>RF-MP3</t>
  </si>
  <si>
    <t>http://stream.radioparadise.com/mp3-192</t>
  </si>
  <si>
    <t>Radio Paradise</t>
  </si>
  <si>
    <t>Radio Paradise.png</t>
  </si>
  <si>
    <t>http://media-the.musicradio.com:80/LBCUK</t>
  </si>
  <si>
    <t>moode-ACC</t>
  </si>
  <si>
    <t>http://media-the.musicradio.com:80/LBCNewsUK</t>
  </si>
  <si>
    <t>http://edge-bauerall-01-gos2.sharp-stream.com/rock.aac</t>
  </si>
  <si>
    <t>http://edge-bauerall-01-gos2.sharp-stream.com/rock.mp3</t>
  </si>
  <si>
    <t>ACC-bauerall</t>
  </si>
  <si>
    <t>http://edge-bauerall-01-gos2.sharp-stream.com/absoluteclassicrock.aac</t>
  </si>
  <si>
    <t>http://edge-bauerall-01-gos2.sharp-stream.com/absoluteradio.aac</t>
  </si>
  <si>
    <t>http://edge-bauerall-01-gos2.sharp-stream.com/absolute00s.aac</t>
  </si>
  <si>
    <t>http://edge-bauerall-01-gos2.sharp-stream.com/absolute10s.aac</t>
  </si>
  <si>
    <t>http://edge-bauerall-01-gos2.sharp-stream.com/absolute60s.aac</t>
  </si>
  <si>
    <t>http://edge-bauerall-01-gos2.sharp-stream.com/absolute70s.aac</t>
  </si>
  <si>
    <t>http://edge-bauerall-01-gos2.sharp-stream.com/absolute80s.aac</t>
  </si>
  <si>
    <t>http://edge-bauerall-01-gos2.sharp-stream.com/absolute90s.aac</t>
  </si>
  <si>
    <t>http://edge-bauerall-01-gos2.sharp-stream.com/scala.aac</t>
  </si>
  <si>
    <t>http://edge-bauerall-01-gos2.sharp-stream.com/magicmellow.aac</t>
  </si>
  <si>
    <t>http://edge-bauerall-01-gos2.sharp-stream.com/magicsoul.aac</t>
  </si>
  <si>
    <t>http://edge-bauerall-01-gos2.sharp-stream.com/magicchilled.aac</t>
  </si>
  <si>
    <t>http://edge-bauerall-01-gos2.sharp-stream.com/magic1054.aac</t>
  </si>
  <si>
    <t>http://edge-bauerall-01-gos2.sharp-stream.com/cfm.aac</t>
  </si>
  <si>
    <t>http://edge-bauerall-01-gos2.sharp-stream.com/clyde1.aac</t>
  </si>
  <si>
    <t>http://edge-bauerall-01-gos2.sharp-stream.com/clyde2.aac</t>
  </si>
  <si>
    <t>http://edge-bauerall-01-gos2.sharp-stream.com/coolfm.aac</t>
  </si>
  <si>
    <t>http://edge-bauerall-01-gos2.sharp-stream.com/downtowncountry.aac</t>
  </si>
  <si>
    <t>http://edge-bauerall-01-gos2.sharp-stream.com/downtown.aac</t>
  </si>
  <si>
    <t>http://edge-bauerall-01-gos2.sharp-stream.com/freebirmingham.aac</t>
  </si>
  <si>
    <t>http://edge-bauerall-01-gos2.sharp-stream.com/freeblackcountry.aac</t>
  </si>
  <si>
    <t>http://edge-bauerall-01-gos2.sharp-stream.com/freecoventry.aac</t>
  </si>
  <si>
    <t>http://edge-bauerall-01-gos2.sharp-stream.com/freehereford.aac</t>
  </si>
  <si>
    <t>http://edge-bauerall-01-gos2.sharp-stream.com/freeshropshire.aac</t>
  </si>
  <si>
    <t>http://edge-bauerall-01-gos2.sharp-stream.com/gem106.aac</t>
  </si>
  <si>
    <t>http://edge-bauerall-01-gos2.sharp-stream.com/hallam.aac</t>
  </si>
  <si>
    <t>http://edge-bauerall-01-gos2.sharp-stream.com/heat.aac</t>
  </si>
  <si>
    <t>http://edge-bauerall-01-gos2.sharp-stream.com/jazz.aac</t>
  </si>
  <si>
    <t>http://edge-bauerall-01-gos2.sharp-stream.com/kerrang.aac</t>
  </si>
  <si>
    <t>http://edge-bauerall-01-gos2.sharp-stream.com/webcast7.aac</t>
  </si>
  <si>
    <t>http://edge-bauerall-01-gos2.sharp-stream.com/webcast6.aac</t>
  </si>
  <si>
    <t>http://edge-bauerall-01-gos2.sharp-stream.com/kissfresh.aac</t>
  </si>
  <si>
    <t>http://edge-bauerall-01-gos2.sharp-stream.com/webcast5.aac</t>
  </si>
  <si>
    <t>http://edge-bauerall-01-gos2.sharp-stream.com/kisstory.aac</t>
  </si>
  <si>
    <t>http://edge-bauerall-01-gos2.sharp-stream.com/net1lincoln.aac</t>
  </si>
  <si>
    <t>http://edge-bauerall-01-gos2.sharp-stream.com/metro.aac</t>
  </si>
  <si>
    <t>http://edge-bauerall-01-gos2.sharp-stream.com/mfrfm.aac</t>
  </si>
  <si>
    <t>http://edge-bauerall-01-gos2.sharp-stream.com/mfram.aac</t>
  </si>
  <si>
    <t>http://edge-bauerall-01-gos2.sharp-stream.com/northsound1.aac</t>
  </si>
  <si>
    <t>http://edge-bauerall-01-gos2.sharp-stream.com/northsound2.aac</t>
  </si>
  <si>
    <t>http://edge-bauerall-01-gos2.sharp-stream.com/net1cornwalleast.aac</t>
  </si>
  <si>
    <t>http://edge-bauerall-01-gos2.sharp-stream.com/net1cornwall.aac</t>
  </si>
  <si>
    <t>http://edge-bauerall-01-gos2.sharp-stream.com/planetrock.aac</t>
  </si>
  <si>
    <t>http://edge-bauerall-01-gos2.sharp-stream.com/net1bradford.aac</t>
  </si>
  <si>
    <t>http://edge-bauerall-01-gos2.sharp-stream.com/borders.aac</t>
  </si>
  <si>
    <t>http://edge-bauerall-01-gos2.sharp-stream.com/city.aac</t>
  </si>
  <si>
    <t>http://edge-bauerall-01-gos2.sharp-stream.com/net1stoke.aac</t>
  </si>
  <si>
    <t>http://edge-bauerall-01-gos2.sharp-stream.com/tayam.aac</t>
  </si>
  <si>
    <t>http://edge-bauerall-01-gos2.sharp-stream.com/tayfm.aac</t>
  </si>
  <si>
    <t>http://edge-bauerall-01-gos2.sharp-stream.com/tfm.aac</t>
  </si>
  <si>
    <t>http://edge-bauerall-01-gos2.sharp-stream.com/net1swansea.aac</t>
  </si>
  <si>
    <t>http://edge-bauerall-01-gos2.sharp-stream.com/viking.aac</t>
  </si>
  <si>
    <t>http://edge-bauerall-01-gos2.sharp-stream.com/wave105.aac</t>
  </si>
  <si>
    <t>http://edge-bauerall-01-gos2.sharp-stream.com/westfm.aac</t>
  </si>
  <si>
    <t>http://edge-bauerall-01-gos2.sharp-stream.com/westsound.aac</t>
  </si>
  <si>
    <t>http://edge-bauerall-01-gos2.sharp-stream.com/westsoundfm.aac</t>
  </si>
  <si>
    <t>http://edge-bauerall-01-gos2.sharp-stream.com/kissnational.aac</t>
  </si>
  <si>
    <t>http://edge-bauerall-01-gos2.sharp-stream.com/kiss100.aac</t>
  </si>
  <si>
    <t>http://edge-bauerall-01-gos2.sharp-stream.com/key.aac</t>
  </si>
  <si>
    <t>http://edge-bauerall-01-gos2.sharp-stream.com/net2cumbria.aac</t>
  </si>
  <si>
    <t>http://edge-bauerall-01-gos2.sharp-stream.com/hits.aac</t>
  </si>
  <si>
    <t>http://edge-bauerall-01-gos2.sharp-stream.com/hitsradiopride.aac</t>
  </si>
  <si>
    <t>Magic (London).jpg</t>
  </si>
  <si>
    <t>http://edge-bauerall-01-gos2.sharp-stream.com/countryhits.aac</t>
  </si>
  <si>
    <t>CMD</t>
  </si>
  <si>
    <t>Station</t>
  </si>
  <si>
    <t>http://a.files.bbci.co.uk/media/live/manifesto/audio/simulcast/hls/uk/sbr_med/ak/bbc_1xtra.m3u8</t>
  </si>
  <si>
    <t>http://a.files.bbci.co.uk/media/live/manifesto/audio/simulcast/hls/uk/sbr_med/ak/bbc_6music.m3u8</t>
  </si>
  <si>
    <t>http://a.files.bbci.co.uk/media/live/manifesto/audio/simulcast/hls/uk/sbr_med/ak/bbc_asian_network.m3u8</t>
  </si>
  <si>
    <t>http://a.files.bbci.co.uk/media/live/manifesto/audio/simulcast/hls/uk/sbr_med/ak/bbc_london.m3u8</t>
  </si>
  <si>
    <t>http://a.files.bbci.co.uk/media/live/manifesto/audio/simulcast/hls/uk/sbr_med/ak/bbc_radio_berkshire.m3u8</t>
  </si>
  <si>
    <t>http://a.files.bbci.co.uk/media/live/manifesto/audio/simulcast/hls/uk/sbr_med/ak/bbc_radio_bristol.m3u8</t>
  </si>
  <si>
    <t>http://a.files.bbci.co.uk/media/live/manifesto/audio/simulcast/hls/uk/sbr_med/ak/bbc_radio_cambridge.m3u8</t>
  </si>
  <si>
    <t>http://a.files.bbci.co.uk/media/live/manifesto/audio/simulcast/hls/uk/sbr_med/ak/bbc_radio_cornwall.m3u8</t>
  </si>
  <si>
    <t>http://a.files.bbci.co.uk/media/live/manifesto/audio/simulcast/hls/uk/sbr_med/ak/bbc_radio_coventry_warwickshire.m3u8</t>
  </si>
  <si>
    <t>http://a.files.bbci.co.uk/media/live/manifesto/audio/simulcast/hls/uk/sbr_med/ak/bbc_radio_cumbria.m3u8</t>
  </si>
  <si>
    <t>http://a.files.bbci.co.uk/media/live/manifesto/audio/simulcast/hls/uk/sbr_med/ak/bbc_radio_cymru.m3u8</t>
  </si>
  <si>
    <t>http://a.files.bbci.co.uk/media/live/manifesto/audio/simulcast/hls/uk/sbr_med/ak/bbc_radio_cymru_2.m3u8</t>
  </si>
  <si>
    <t>http://a.files.bbci.co.uk/media/live/manifesto/audio/simulcast/hls/uk/sbr_med/ak/bbc_radio_derby.m3u8</t>
  </si>
  <si>
    <t>http://a.files.bbci.co.uk/media/live/manifesto/audio/simulcast/hls/uk/sbr_med/ak/bbc_radio_devon.m3u8</t>
  </si>
  <si>
    <t>http://a.files.bbci.co.uk/media/live/manifesto/audio/simulcast/hls/uk/sbr_med/ak/bbc_radio_essex.m3u8</t>
  </si>
  <si>
    <t>http://a.files.bbci.co.uk/media/live/manifesto/audio/simulcast/hls/uk/sbr_med/ak/bbc_radio_five_live.m3u8</t>
  </si>
  <si>
    <t>http://a.files.bbci.co.uk/media/live/manifesto/audio/simulcast/hls/uk/sbr_med/ak/bbc_radio_five_live_sports_extra.m3u8</t>
  </si>
  <si>
    <t>http://a.files.bbci.co.uk/media/live/manifesto/audio/simulcast/hls/uk/sbr_med/ak/bbc_radio_four_extra.m3u8</t>
  </si>
  <si>
    <t>http://a.files.bbci.co.uk/media/live/manifesto/audio/simulcast/hls/uk/sbr_med/ak/bbc_radio_fourfm.m3u8</t>
  </si>
  <si>
    <t>http://a.files.bbci.co.uk/media/live/manifesto/audio/simulcast/hls/uk/sbr_med/ak/bbc_radio_fourlw.m3u8</t>
  </si>
  <si>
    <t>http://a.files.bbci.co.uk/media/live/manifesto/audio/simulcast/hls/uk/sbr_med/ak/bbc_radio_foyle.m3u8</t>
  </si>
  <si>
    <t>http://a.files.bbci.co.uk/media/live/manifesto/audio/simulcast/hls/uk/sbr_med/ak/bbc_radio_gloucestershire.m3u8</t>
  </si>
  <si>
    <t>http://a.files.bbci.co.uk/media/live/manifesto/audio/simulcast/hls/uk/sbr_med/ak/bbc_radio_guernsey.m3u8</t>
  </si>
  <si>
    <t>http://a.files.bbci.co.uk/media/live/manifesto/audio/simulcast/hls/uk/sbr_med/ak/bbc_radio_hereford_worcester.m3u8</t>
  </si>
  <si>
    <t>http://a.files.bbci.co.uk/media/live/manifesto/audio/simulcast/hls/uk/sbr_med/ak/bbc_radio_humberside.m3u8</t>
  </si>
  <si>
    <t>http://a.files.bbci.co.uk/media/live/manifesto/audio/simulcast/hls/uk/sbr_med/ak/bbc_radio_jersey.m3u8</t>
  </si>
  <si>
    <t>http://a.files.bbci.co.uk/media/live/manifesto/audio/simulcast/hls/uk/sbr_med/ak/bbc_radio_kent.m3u8</t>
  </si>
  <si>
    <t>http://a.files.bbci.co.uk/media/live/manifesto/audio/simulcast/hls/uk/sbr_med/ak/bbc_radio_lancashire.m3u8</t>
  </si>
  <si>
    <t>http://a.files.bbci.co.uk/media/live/manifesto/audio/simulcast/hls/uk/sbr_med/ak/bbc_radio_leeds.m3u8</t>
  </si>
  <si>
    <t>http://a.files.bbci.co.uk/media/live/manifesto/audio/simulcast/hls/uk/sbr_med/ak/bbc_radio_leicester.m3u8</t>
  </si>
  <si>
    <t>http://a.files.bbci.co.uk/media/live/manifesto/audio/simulcast/hls/uk/sbr_med/ak/bbc_radio_lincolnshire.m3u8</t>
  </si>
  <si>
    <t>http://a.files.bbci.co.uk/media/live/manifesto/audio/simulcast/hls/uk/sbr_med/ak/bbc_radio_manchester.m3u8</t>
  </si>
  <si>
    <t>http://a.files.bbci.co.uk/media/live/manifesto/audio/simulcast/hls/uk/sbr_med/ak/bbc_radio_merseyside.m3u8</t>
  </si>
  <si>
    <t>http://a.files.bbci.co.uk/media/live/manifesto/audio/simulcast/hls/uk/sbr_med/ak/bbc_radio_nan_gaidheal.m3u8</t>
  </si>
  <si>
    <t>http://a.files.bbci.co.uk/media/live/manifesto/audio/simulcast/hls/uk/sbr_med/ak/bbc_radio_newcastle.m3u8</t>
  </si>
  <si>
    <t>http://a.files.bbci.co.uk/media/live/manifesto/audio/simulcast/hls/uk/sbr_med/ak/bbc_radio_norfolk.m3u8</t>
  </si>
  <si>
    <t>http://a.files.bbci.co.uk/media/live/manifesto/audio/simulcast/hls/uk/sbr_med/ak/bbc_radio_northampton.m3u8</t>
  </si>
  <si>
    <t>http://a.files.bbci.co.uk/media/live/manifesto/audio/simulcast/hls/uk/sbr_med/ak/bbc_radio_nottingham.m3u8</t>
  </si>
  <si>
    <t>http://a.files.bbci.co.uk/media/live/manifesto/audio/simulcast/hls/uk/sbr_med/ak/bbc_radio_one.m3u8</t>
  </si>
  <si>
    <t>http://a.files.bbci.co.uk/media/live/manifesto/audio/simulcast/hls/uk/sbr_med/ak/bbc_radio_one_dance.m3u8</t>
  </si>
  <si>
    <t>http://a.files.bbci.co.uk/media/live/manifesto/audio/simulcast/hls/uk/sbr_med/ak/bbc_radio_one_relax.m3u8</t>
  </si>
  <si>
    <t>http://a.files.bbci.co.uk/media/live/manifesto/audio/simulcast/hls/uk/sbr_med/ak/bbc_radio_orkney.m3u8</t>
  </si>
  <si>
    <t>http://a.files.bbci.co.uk/media/live/manifesto/audio/simulcast/hls/uk/sbr_med/ak/bbc_radio_oxford.m3u8</t>
  </si>
  <si>
    <t>http://a.files.bbci.co.uk/media/live/manifesto/audio/simulcast/hls/uk/sbr_med/ak/bbc_radio_scotland_fm.m3u8</t>
  </si>
  <si>
    <t>http://a.files.bbci.co.uk/media/live/manifesto/audio/simulcast/hls/uk/sbr_med/ak/bbc_radio_scotland_mw.m3u8</t>
  </si>
  <si>
    <t>http://a.files.bbci.co.uk/media/live/manifesto/audio/simulcast/hls/uk/sbr_med/ak/bbc_radio_sheffield.m3u8</t>
  </si>
  <si>
    <t>http://a.files.bbci.co.uk/media/live/manifesto/audio/simulcast/hls/uk/sbr_med/ak/bbc_radio_shropshire.m3u8</t>
  </si>
  <si>
    <t>http://a.files.bbci.co.uk/media/live/manifesto/audio/simulcast/hls/uk/sbr_med/ak/bbc_radio_solent.m3u8</t>
  </si>
  <si>
    <t>http://a.files.bbci.co.uk/media/live/manifesto/audio/simulcast/hls/uk/sbr_med/ak/bbc_radio_solent_west_dorset.m3u8</t>
  </si>
  <si>
    <t>http://a.files.bbci.co.uk/media/live/manifesto/audio/simulcast/hls/uk/sbr_med/ak/bbc_radio_somerset_sound.m3u8</t>
  </si>
  <si>
    <t>http://a.files.bbci.co.uk/media/live/manifesto/audio/simulcast/hls/uk/sbr_med/ak/bbc_radio_stoke.m3u8</t>
  </si>
  <si>
    <t>http://a.files.bbci.co.uk/media/live/manifesto/audio/simulcast/hls/uk/sbr_med/ak/bbc_radio_suffolk.m3u8</t>
  </si>
  <si>
    <t>http://a.files.bbci.co.uk/media/live/manifesto/audio/simulcast/hls/uk/sbr_med/ak/bbc_radio_surrey.m3u8</t>
  </si>
  <si>
    <t>http://a.files.bbci.co.uk/media/live/manifesto/audio/simulcast/hls/uk/sbr_med/ak/bbc_radio_sussex.m3u8</t>
  </si>
  <si>
    <t>http://a.files.bbci.co.uk/media/live/manifesto/audio/simulcast/hls/uk/sbr_med/ak/bbc_radio_three.m3u8</t>
  </si>
  <si>
    <t>http://a.files.bbci.co.uk/media/live/manifesto/audio/simulcast/hls/uk/sbr_med/ak/bbc_radio_two.m3u8</t>
  </si>
  <si>
    <t>http://a.files.bbci.co.uk/media/live/manifesto/audio/simulcast/hls/uk/sbr_med/ak/bbc_radio_ulster.m3u8</t>
  </si>
  <si>
    <t>http://a.files.bbci.co.uk/media/live/manifesto/audio/simulcast/hls/uk/sbr_med/ak/bbc_radio_wales_fm.m3u8</t>
  </si>
  <si>
    <t>http://a.files.bbci.co.uk/media/live/manifesto/audio/simulcast/hls/uk/sbr_med/ak/bbc_radio_wiltshire.m3u8</t>
  </si>
  <si>
    <t>http://a.files.bbci.co.uk/media/live/manifesto/audio/simulcast/hls/uk/sbr_med/ak/bbc_radio_york.m3u8</t>
  </si>
  <si>
    <t>http://a.files.bbci.co.uk/media/live/manifesto/audio/simulcast/hls/uk/sbr_med/ak/bbc_tees.m3u8</t>
  </si>
  <si>
    <t>http://a.files.bbci.co.uk/media/live/manifesto/audio/simulcast/hls/uk/sbr_med/ak/bbc_three_counties_radio.m3u8</t>
  </si>
  <si>
    <t>http://a.files.bbci.co.uk/media/live/manifesto/audio/simulcast/hls/uk/sbr_med/ak/bbc_wm.m3u8</t>
  </si>
  <si>
    <t>http://a.files.bbci.co.uk/media/live/manifesto/audio/simulcast/hls/uk/sbr_med/ak/bbc_world_service.m3u8</t>
  </si>
  <si>
    <t>BBC Radio 1 Dance</t>
  </si>
  <si>
    <t>BBC Radio 1 Relax</t>
  </si>
  <si>
    <t>BBCOTHER</t>
  </si>
  <si>
    <t>BBC Sounds</t>
  </si>
  <si>
    <t>BBC Radio 1 Dance.jpg</t>
  </si>
  <si>
    <t>BBC Radio 1 Relax.jpg</t>
  </si>
  <si>
    <t>Boom Radio.png</t>
  </si>
  <si>
    <t>Boom Light.png</t>
  </si>
  <si>
    <t>Pirate FM (West).jpg</t>
  </si>
  <si>
    <t>CFM (East).jpg</t>
  </si>
  <si>
    <t>West Sound (Ayrshire).jpg</t>
  </si>
  <si>
    <t>Lakeland Radio</t>
  </si>
  <si>
    <t>Lakeland Radio.png</t>
  </si>
  <si>
    <t>The Bay</t>
  </si>
  <si>
    <t>The Bay.jpg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</si>
</sst>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11">
    <xf numFmtId="0" fontId="0" fillId="0" borderId="0" xfId="0"/>
    <xf numFmtId="0" fontId="16" fillId="0" borderId="0" xfId="0" applyFont="1"/>
    <xf numFmtId="0" fontId="0" fillId="33" borderId="0" xfId="0" applyFill="1"/>
    <xf numFmtId="0" fontId="16" fillId="33" borderId="0" xfId="0" applyFont="1" applyFill="1"/>
    <xf numFmtId="0" fontId="16" fillId="34" borderId="0" xfId="0" applyFont="1" applyFill="1"/>
    <xf numFmtId="0" fontId="0" fillId="34" borderId="0" xfId="0" applyFill="1"/>
    <xf numFmtId="2" fontId="16" fillId="0" borderId="0" xfId="0" applyNumberFormat="1" applyFont="1"/>
    <xf numFmtId="2" fontId="0" fillId="0" borderId="0" xfId="0" applyNumberFormat="1"/>
    <xf numFmtId="1" fontId="16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20" fillId="0" borderId="0" xfId="42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464820</xdr:colOff>
          <xdr:row>2</xdr:row>
          <xdr:rowOff>148590</xdr:rowOff>
        </xdr:from>
        <xdr:to>
          <xdr:col>6</xdr:col>
          <xdr:colOff>323850</xdr:colOff>
          <xdr:row>11</xdr:row>
          <xdr:rowOff>53340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- station_data.csv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stream-ar.planetradio.co.uk/absoluteradiohigh.aac?aw_0_1st.skey=1666797541&amp;aw_0_1st.playerid=BMUK_Rpi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96DAB-356D-42E1-856B-519D44C19C6F}">
  <sheetPr codeName="Sheet5"/>
  <dimension ref="A1"/>
  <sheetViews>
    <sheetView workbookViewId="0">
      <selection activeCell="F20" sqref="F20"/>
    </sheetView>
  </sheetViews>
  <sheetFormatPr defaultRowHeight="14.4" x14ac:dyDescent="0.55000000000000004"/>
  <sheetData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WorksheetAndSaveAsCSV">
                <anchor moveWithCells="1" sizeWithCells="1">
                  <from>
                    <xdr:col>1</xdr:col>
                    <xdr:colOff>464820</xdr:colOff>
                    <xdr:row>2</xdr:row>
                    <xdr:rowOff>148590</xdr:rowOff>
                  </from>
                  <to>
                    <xdr:col>6</xdr:col>
                    <xdr:colOff>323850</xdr:colOff>
                    <xdr:row>11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U108"/>
  <sheetViews>
    <sheetView tabSelected="1" zoomScale="90" zoomScaleNormal="90" workbookViewId="0">
      <pane ySplit="1" topLeftCell="A3" activePane="bottomLeft" state="frozen"/>
      <selection pane="bottomLeft" activeCell="B3" sqref="B3:B76"/>
    </sheetView>
  </sheetViews>
  <sheetFormatPr defaultRowHeight="14.4" x14ac:dyDescent="0.55000000000000004"/>
  <cols>
    <col min="2" max="2" width="74.20703125" style="2" customWidth="1"/>
    <col min="3" max="3" width="31.20703125" style="5" customWidth="1"/>
    <col min="6" max="6" width="0" style="5" hidden="1" customWidth="1"/>
    <col min="7" max="7" width="12.9453125" style="2" customWidth="1"/>
    <col min="8" max="10" width="8.83984375" style="5"/>
    <col min="11" max="11" width="8.83984375" style="2"/>
    <col min="12" max="12" width="8.83984375" style="5"/>
    <col min="14" max="14" width="0" hidden="1" customWidth="1"/>
    <col min="16" max="16" width="10.41796875" style="2" bestFit="1" customWidth="1"/>
    <col min="17" max="18" width="26.3671875" style="2" bestFit="1" customWidth="1"/>
    <col min="19" max="20" width="8.83984375" style="5"/>
    <col min="21" max="21" width="24.1015625" customWidth="1"/>
  </cols>
  <sheetData>
    <row r="1" spans="1:21" x14ac:dyDescent="0.55000000000000004">
      <c r="A1" s="1" t="s">
        <v>0</v>
      </c>
      <c r="B1" s="3" t="s">
        <v>1</v>
      </c>
      <c r="C1" s="4" t="s">
        <v>2</v>
      </c>
      <c r="D1" s="1" t="s">
        <v>3</v>
      </c>
      <c r="E1" s="1" t="s">
        <v>4</v>
      </c>
      <c r="F1" s="4" t="s">
        <v>5</v>
      </c>
      <c r="G1" s="3" t="s">
        <v>6</v>
      </c>
      <c r="H1" s="4" t="s">
        <v>7</v>
      </c>
      <c r="I1" s="4" t="s">
        <v>8</v>
      </c>
      <c r="J1" s="4" t="s">
        <v>9</v>
      </c>
      <c r="K1" s="3" t="s">
        <v>10</v>
      </c>
      <c r="L1" s="4" t="s">
        <v>11</v>
      </c>
      <c r="M1" s="1" t="s">
        <v>12</v>
      </c>
      <c r="N1" s="1" t="s">
        <v>13</v>
      </c>
      <c r="O1" s="1" t="s">
        <v>14</v>
      </c>
      <c r="P1" s="3" t="s">
        <v>1658</v>
      </c>
      <c r="Q1" s="3" t="s">
        <v>1659</v>
      </c>
      <c r="R1" s="3" t="s">
        <v>2612</v>
      </c>
      <c r="S1" s="4" t="s">
        <v>2613</v>
      </c>
      <c r="T1" s="4" t="s">
        <v>2614</v>
      </c>
      <c r="U1" s="1" t="s">
        <v>2615</v>
      </c>
    </row>
    <row r="2" spans="1:21" hidden="1" x14ac:dyDescent="0.55000000000000004">
      <c r="A2">
        <v>500</v>
      </c>
      <c r="B2" s="2" t="str" cm="1">
        <f t="array" ref="B2">INDEX(stations!$C$1:$C$9974,MATCH(1,(stations!$A$1:$A$9974=master!$R2)*(stations!$E$1:$E$9974=master!$S2)*(stations!$B$1:$B$9974=master!$T2),0))</f>
        <v>http://hydra.shoutca.st:8064/stream2</v>
      </c>
      <c r="C2" s="5" t="s">
        <v>86</v>
      </c>
      <c r="D2" t="s">
        <v>17</v>
      </c>
      <c r="E2" t="s">
        <v>18</v>
      </c>
      <c r="G2" s="2" t="str">
        <f>_xlfn.IFNA(VLOOKUP($C2,logos!$A$2:$D$1025,4,FALSE),"")</f>
        <v xml:space="preserve"> </v>
      </c>
      <c r="H2" s="5" t="s">
        <v>19</v>
      </c>
      <c r="I2" s="5" t="s">
        <v>20</v>
      </c>
      <c r="J2" s="5" t="s">
        <v>21</v>
      </c>
      <c r="K2" s="2" t="str" cm="1">
        <f t="array" ref="K2">INDEX(stations!$B$1:$B$9974,MATCH(1,(stations!$A$1:$A$9974=master!$R2)*(stations!$E$1:$E$9974=master!$S2)*(stations!$B$1:$B$9974=master!$T2),0))</f>
        <v>48s</v>
      </c>
      <c r="L2" s="5" t="s">
        <v>23</v>
      </c>
      <c r="M2" t="s">
        <v>24</v>
      </c>
      <c r="O2" t="s">
        <v>25</v>
      </c>
      <c r="P2" s="2" t="b">
        <f>ISERROR(VLOOKUP($C2,logos!$A$2:$A$10003,1,FALSE))</f>
        <v>0</v>
      </c>
      <c r="Q2" s="2" t="str">
        <f>_xlfn.IFNA(VLOOKUP($C2,logos!$A$2:$B$10003,2,FALSE),"")</f>
        <v>Bay Trust Radio.jpg</v>
      </c>
      <c r="R2" s="2" t="str">
        <f t="shared" ref="R2:R33" si="0">C2</f>
        <v>Bay Trust Radio</v>
      </c>
      <c r="S2" s="5" t="s">
        <v>2609</v>
      </c>
      <c r="T2" s="5" t="s">
        <v>1662</v>
      </c>
      <c r="U2" t="str" cm="1">
        <f t="array" ref="U2">INDEX(stations!$A$1:$A$9974,MATCH(1,(stations!$A$1:$A$9974=master!$R2)*(stations!$E$1:$E$9974=master!$S2)*(stations!$B$1:$B$9974=master!$T2),0))</f>
        <v>Bay Trust Radio</v>
      </c>
    </row>
    <row r="3" spans="1:21" x14ac:dyDescent="0.55000000000000004">
      <c r="A3">
        <v>501</v>
      </c>
      <c r="B3" s="2" t="str" cm="1">
        <f t="array" ref="B3">INDEX(stations!$C$1:$C$9974,MATCH(1,(stations!$A$1:$A$9974=master!$R3)*(stations!$E$1:$E$9974=master!$S3)*(stations!$B$1:$B$9974=master!$T3),0))</f>
        <v>http://a.files.bbci.co.uk/media/live/manifesto/audio/simulcast/hls/uk/sbr_med/ak/bbc_radio_one.m3u8</v>
      </c>
      <c r="C3" s="5" t="s">
        <v>2843</v>
      </c>
      <c r="D3" t="s">
        <v>17</v>
      </c>
      <c r="E3" t="s">
        <v>18</v>
      </c>
      <c r="G3" s="2" t="str">
        <f>_xlfn.IFNA(VLOOKUP($C3,logos!$A$2:$D$1025,4,FALSE),"")</f>
        <v>BBC</v>
      </c>
      <c r="H3" s="5" t="s">
        <v>19</v>
      </c>
      <c r="I3" s="5" t="s">
        <v>20</v>
      </c>
      <c r="J3" s="5" t="s">
        <v>21</v>
      </c>
      <c r="K3" s="2" t="str" cm="1">
        <f t="array" ref="K3">INDEX(stations!$B$1:$B$9974,MATCH(1,(stations!$A$1:$A$9974=master!$R3)*(stations!$E$1:$E$9974=master!$S3)*(stations!$B$1:$B$9974=master!$T3),0))</f>
        <v>128s</v>
      </c>
      <c r="L3" s="5" t="s">
        <v>23</v>
      </c>
      <c r="M3" t="s">
        <v>24</v>
      </c>
      <c r="O3" t="s">
        <v>25</v>
      </c>
      <c r="P3" s="2" t="b">
        <f>ISERROR(VLOOKUP($C3,logos!$A$2:$A$10003,1,FALSE))</f>
        <v>0</v>
      </c>
      <c r="Q3" s="2" t="str">
        <f>_xlfn.IFNA(VLOOKUP($C3,logos!$A$2:$B$10003,2,FALSE),"")</f>
        <v>BBC Radio 1 (England).png</v>
      </c>
      <c r="R3" s="2" t="str">
        <f t="shared" si="0"/>
        <v>BBC Radio 1 (England)</v>
      </c>
      <c r="S3" s="5" t="s">
        <v>6202</v>
      </c>
      <c r="T3" s="5" t="s">
        <v>1663</v>
      </c>
      <c r="U3" t="str" cm="1">
        <f t="array" ref="U3">INDEX(stations!$A$1:$A$9974,MATCH(1,(stations!$A$1:$A$9974=master!$R3)*(stations!$E$1:$E$9974=master!$S3)*(stations!$B$1:$B$9974=master!$T3),0))</f>
        <v>BBC Radio 1 (England)</v>
      </c>
    </row>
    <row r="4" spans="1:21" x14ac:dyDescent="0.55000000000000004">
      <c r="A4">
        <v>502</v>
      </c>
      <c r="B4" s="2" t="str" cm="1">
        <f t="array" ref="B4">INDEX(stations!$C$1:$C$9974,MATCH(1,(stations!$A$1:$A$9974=master!$R4)*(stations!$E$1:$E$9974=master!$S4)*(stations!$B$1:$B$9974=master!$T4),0))</f>
        <v>http://a.files.bbci.co.uk/media/live/manifesto/audio/simulcast/hls/uk/sbr_med/ak/bbc_1xtra.m3u8</v>
      </c>
      <c r="C4" s="5" t="s">
        <v>101</v>
      </c>
      <c r="D4" t="s">
        <v>17</v>
      </c>
      <c r="E4" t="s">
        <v>18</v>
      </c>
      <c r="G4" s="2" t="str">
        <f>_xlfn.IFNA(VLOOKUP($C4,logos!$A$2:$D$1025,4,FALSE),"")</f>
        <v>BBC</v>
      </c>
      <c r="H4" s="5" t="s">
        <v>19</v>
      </c>
      <c r="I4" s="5" t="s">
        <v>20</v>
      </c>
      <c r="J4" s="5" t="s">
        <v>21</v>
      </c>
      <c r="K4" s="2" t="str" cm="1">
        <f t="array" ref="K4">INDEX(stations!$B$1:$B$9974,MATCH(1,(stations!$A$1:$A$9974=master!$R4)*(stations!$E$1:$E$9974=master!$S4)*(stations!$B$1:$B$9974=master!$T4),0))</f>
        <v>128s</v>
      </c>
      <c r="L4" s="5" t="s">
        <v>23</v>
      </c>
      <c r="M4" t="s">
        <v>24</v>
      </c>
      <c r="O4" t="s">
        <v>25</v>
      </c>
      <c r="P4" s="2" t="b">
        <f>ISERROR(VLOOKUP($C4,logos!$A$2:$A$10003,1,FALSE))</f>
        <v>0</v>
      </c>
      <c r="Q4" s="2" t="str">
        <f>_xlfn.IFNA(VLOOKUP($C4,logos!$A$2:$B$10003,2,FALSE),"")</f>
        <v>BBC Radio 1Xtra.png</v>
      </c>
      <c r="R4" s="2" t="str">
        <f t="shared" si="0"/>
        <v>BBC Radio 1Xtra</v>
      </c>
      <c r="S4" s="5" t="s">
        <v>6202</v>
      </c>
      <c r="T4" s="5" t="s">
        <v>1663</v>
      </c>
      <c r="U4" t="str" cm="1">
        <f t="array" ref="U4">INDEX(stations!$A$1:$A$9974,MATCH(1,(stations!$A$1:$A$9974=master!$R4)*(stations!$E$1:$E$9974=master!$S4)*(stations!$B$1:$B$9974=master!$T4),0))</f>
        <v>BBC Radio 1Xtra</v>
      </c>
    </row>
    <row r="5" spans="1:21" x14ac:dyDescent="0.55000000000000004">
      <c r="A5">
        <v>503</v>
      </c>
      <c r="B5" s="2" t="str" cm="1">
        <f t="array" ref="B5">INDEX(stations!$C$1:$C$9974,MATCH(1,(stations!$A$1:$A$9974=master!$R5)*(stations!$E$1:$E$9974=master!$S5)*(stations!$B$1:$B$9974=master!$T5),0))</f>
        <v>http://a.files.bbci.co.uk/media/live/manifesto/audio/simulcast/hls/uk/sbr_med/ak/bbc_radio_two.m3u8</v>
      </c>
      <c r="C5" s="5" t="s">
        <v>103</v>
      </c>
      <c r="D5" t="s">
        <v>17</v>
      </c>
      <c r="E5" t="s">
        <v>18</v>
      </c>
      <c r="G5" s="2" t="str">
        <f>_xlfn.IFNA(VLOOKUP($C5,logos!$A$2:$D$1025,4,FALSE),"")</f>
        <v>BBC</v>
      </c>
      <c r="H5" s="5" t="s">
        <v>19</v>
      </c>
      <c r="I5" s="5" t="s">
        <v>20</v>
      </c>
      <c r="J5" s="5" t="s">
        <v>21</v>
      </c>
      <c r="K5" s="2" t="str" cm="1">
        <f t="array" ref="K5">INDEX(stations!$B$1:$B$9974,MATCH(1,(stations!$A$1:$A$9974=master!$R5)*(stations!$E$1:$E$9974=master!$S5)*(stations!$B$1:$B$9974=master!$T5),0))</f>
        <v>128s</v>
      </c>
      <c r="L5" s="5" t="s">
        <v>23</v>
      </c>
      <c r="M5" t="s">
        <v>24</v>
      </c>
      <c r="O5" t="s">
        <v>25</v>
      </c>
      <c r="P5" s="2" t="b">
        <f>ISERROR(VLOOKUP($C5,logos!$A$2:$A$10003,1,FALSE))</f>
        <v>0</v>
      </c>
      <c r="Q5" s="2" t="str">
        <f>_xlfn.IFNA(VLOOKUP($C5,logos!$A$2:$B$10003,2,FALSE),"")</f>
        <v>BBC Radio 2.png</v>
      </c>
      <c r="R5" s="2" t="str">
        <f t="shared" si="0"/>
        <v>BBC Radio 2</v>
      </c>
      <c r="S5" s="5" t="s">
        <v>6202</v>
      </c>
      <c r="T5" s="5" t="s">
        <v>1663</v>
      </c>
      <c r="U5" t="str" cm="1">
        <f t="array" ref="U5">INDEX(stations!$A$1:$A$9974,MATCH(1,(stations!$A$1:$A$9974=master!$R5)*(stations!$E$1:$E$9974=master!$S5)*(stations!$B$1:$B$9974=master!$T5),0))</f>
        <v>BBC Radio 2</v>
      </c>
    </row>
    <row r="6" spans="1:21" x14ac:dyDescent="0.55000000000000004">
      <c r="A6">
        <v>504</v>
      </c>
      <c r="B6" s="2" t="str" cm="1">
        <f t="array" ref="B6">INDEX(stations!$C$1:$C$9974,MATCH(1,(stations!$A$1:$A$9974=master!$R6)*(stations!$E$1:$E$9974=master!$S6)*(stations!$B$1:$B$9974=master!$T6),0))</f>
        <v>http://a.files.bbci.co.uk/media/live/manifesto/audio/simulcast/hls/uk/sbr_med/ak/bbc_radio_three.m3u8</v>
      </c>
      <c r="C6" s="5" t="s">
        <v>105</v>
      </c>
      <c r="D6" t="s">
        <v>17</v>
      </c>
      <c r="E6" t="s">
        <v>18</v>
      </c>
      <c r="G6" s="2" t="str">
        <f>_xlfn.IFNA(VLOOKUP($C6,logos!$A$2:$D$1025,4,FALSE),"")</f>
        <v>BBC</v>
      </c>
      <c r="H6" s="5" t="s">
        <v>19</v>
      </c>
      <c r="I6" s="5" t="s">
        <v>20</v>
      </c>
      <c r="J6" s="5" t="s">
        <v>21</v>
      </c>
      <c r="K6" s="2" t="s">
        <v>1670</v>
      </c>
      <c r="L6" s="5" t="s">
        <v>23</v>
      </c>
      <c r="M6" t="s">
        <v>24</v>
      </c>
      <c r="O6" t="s">
        <v>25</v>
      </c>
      <c r="P6" s="2" t="b">
        <f>ISERROR(VLOOKUP($C6,logos!$A$2:$A$10003,1,FALSE))</f>
        <v>0</v>
      </c>
      <c r="Q6" s="2" t="str">
        <f>_xlfn.IFNA(VLOOKUP($C6,logos!$A$2:$B$10003,2,FALSE),"")</f>
        <v>BBC Radio 3.png</v>
      </c>
      <c r="R6" s="2" t="str">
        <f t="shared" si="0"/>
        <v>BBC Radio 3</v>
      </c>
      <c r="S6" s="5" t="s">
        <v>6202</v>
      </c>
      <c r="T6" s="5" t="s">
        <v>1663</v>
      </c>
      <c r="U6" t="str" cm="1">
        <f t="array" ref="U6">INDEX(stations!$A$1:$A$9974,MATCH(1,(stations!$A$1:$A$9974=master!$R6)*(stations!$E$1:$E$9974=master!$S6)*(stations!$B$1:$B$9974=master!$T6),0))</f>
        <v>BBC Radio 3</v>
      </c>
    </row>
    <row r="7" spans="1:21" x14ac:dyDescent="0.55000000000000004">
      <c r="A7">
        <v>505</v>
      </c>
      <c r="B7" s="2" t="str" cm="1">
        <f t="array" ref="B7">INDEX(stations!$C$1:$C$9974,MATCH(1,(stations!$A$1:$A$9974=master!$R7)*(stations!$E$1:$E$9974=master!$S7)*(stations!$B$1:$B$9974=master!$T7),0))</f>
        <v>http://a.files.bbci.co.uk/media/live/manifesto/audio/simulcast/hls/uk/sbr_med/ak/bbc_radio_fourfm.m3u8</v>
      </c>
      <c r="C7" s="5" t="s">
        <v>2844</v>
      </c>
      <c r="D7" t="s">
        <v>17</v>
      </c>
      <c r="E7" t="s">
        <v>18</v>
      </c>
      <c r="G7" s="2" t="str">
        <f>_xlfn.IFNA(VLOOKUP($C7,logos!$A$2:$D$1025,4,FALSE),"")</f>
        <v>BBC</v>
      </c>
      <c r="H7" s="5" t="s">
        <v>19</v>
      </c>
      <c r="I7" s="5" t="s">
        <v>20</v>
      </c>
      <c r="J7" s="5" t="s">
        <v>21</v>
      </c>
      <c r="K7" s="2" t="str" cm="1">
        <f t="array" ref="K7">INDEX(stations!$B$1:$B$9974,MATCH(1,(stations!$A$1:$A$9974=master!$R7)*(stations!$E$1:$E$9974=master!$S7)*(stations!$B$1:$B$9974=master!$T7),0))</f>
        <v>128s</v>
      </c>
      <c r="L7" s="5" t="s">
        <v>23</v>
      </c>
      <c r="M7" t="s">
        <v>24</v>
      </c>
      <c r="O7" t="s">
        <v>25</v>
      </c>
      <c r="P7" s="2" t="b">
        <f>ISERROR(VLOOKUP($C7,logos!$A$2:$A$10003,1,FALSE))</f>
        <v>0</v>
      </c>
      <c r="Q7" s="2" t="str">
        <f>_xlfn.IFNA(VLOOKUP($C7,logos!$A$2:$B$10003,2,FALSE),"")</f>
        <v>BBC Radio 4 (DAB).png</v>
      </c>
      <c r="R7" s="2" t="str">
        <f t="shared" si="0"/>
        <v>BBC Radio 4 (DAB)</v>
      </c>
      <c r="S7" s="5" t="s">
        <v>6202</v>
      </c>
      <c r="T7" s="5" t="s">
        <v>1663</v>
      </c>
      <c r="U7" t="str" cm="1">
        <f t="array" ref="U7">INDEX(stations!$A$1:$A$9974,MATCH(1,(stations!$A$1:$A$9974=master!$R7)*(stations!$E$1:$E$9974=master!$S7)*(stations!$B$1:$B$9974=master!$T7),0))</f>
        <v>BBC Radio 4 (DAB)</v>
      </c>
    </row>
    <row r="8" spans="1:21" x14ac:dyDescent="0.55000000000000004">
      <c r="A8">
        <v>506</v>
      </c>
      <c r="B8" s="2" t="str" cm="1">
        <f t="array" ref="B8">INDEX(stations!$C$1:$C$9974,MATCH(1,(stations!$A$1:$A$9974=master!$R8)*(stations!$E$1:$E$9974=master!$S8)*(stations!$B$1:$B$9974=master!$T8),0))</f>
        <v>http://a.files.bbci.co.uk/media/live/manifesto/audio/simulcast/hls/uk/sbr_med/ak/bbc_radio_fourlw.m3u8</v>
      </c>
      <c r="C8" s="5" t="s">
        <v>2845</v>
      </c>
      <c r="D8" t="s">
        <v>17</v>
      </c>
      <c r="E8" t="s">
        <v>18</v>
      </c>
      <c r="G8" s="2" t="str">
        <f>_xlfn.IFNA(VLOOKUP($C8,logos!$A$2:$D$1025,4,FALSE),"")</f>
        <v>BBC</v>
      </c>
      <c r="H8" s="5" t="s">
        <v>19</v>
      </c>
      <c r="I8" s="5" t="s">
        <v>20</v>
      </c>
      <c r="J8" s="5" t="s">
        <v>21</v>
      </c>
      <c r="K8" s="2" t="str" cm="1">
        <f t="array" ref="K8">INDEX(stations!$B$1:$B$9974,MATCH(1,(stations!$A$1:$A$9974=master!$R8)*(stations!$E$1:$E$9974=master!$S8)*(stations!$B$1:$B$9974=master!$T8),0))</f>
        <v>128s</v>
      </c>
      <c r="L8" s="5" t="s">
        <v>23</v>
      </c>
      <c r="M8" t="s">
        <v>24</v>
      </c>
      <c r="O8" t="s">
        <v>25</v>
      </c>
      <c r="P8" s="2" t="b">
        <f>ISERROR(VLOOKUP($C8,logos!$A$2:$A$10003,1,FALSE))</f>
        <v>0</v>
      </c>
      <c r="Q8" s="2" t="str">
        <f>_xlfn.IFNA(VLOOKUP($C8,logos!$A$2:$B$10003,2,FALSE),"")</f>
        <v>BBC Radio 4 (LW).png</v>
      </c>
      <c r="R8" s="2" t="str">
        <f t="shared" si="0"/>
        <v>BBC Radio 4 (LW)</v>
      </c>
      <c r="S8" s="5" t="s">
        <v>6202</v>
      </c>
      <c r="T8" s="5" t="s">
        <v>1663</v>
      </c>
      <c r="U8" t="str" cm="1">
        <f t="array" ref="U8">INDEX(stations!$A$1:$A$9974,MATCH(1,(stations!$A$1:$A$9974=master!$R8)*(stations!$E$1:$E$9974=master!$S8)*(stations!$B$1:$B$9974=master!$T8),0))</f>
        <v>BBC Radio 4 (LW)</v>
      </c>
    </row>
    <row r="9" spans="1:21" x14ac:dyDescent="0.55000000000000004">
      <c r="A9">
        <v>507</v>
      </c>
      <c r="B9" s="2" t="str" cm="1">
        <f t="array" ref="B9">INDEX(stations!$C$1:$C$9974,MATCH(1,(stations!$A$1:$A$9974=master!$R9)*(stations!$E$1:$E$9974=master!$S9)*(stations!$B$1:$B$9974=master!$T9),0))</f>
        <v>http://a.files.bbci.co.uk/media/live/manifesto/audio/simulcast/hls/uk/sbr_med/ak/bbc_radio_four_extra.m3u8</v>
      </c>
      <c r="C9" s="5" t="s">
        <v>111</v>
      </c>
      <c r="D9" t="s">
        <v>17</v>
      </c>
      <c r="E9" t="s">
        <v>18</v>
      </c>
      <c r="G9" s="2" t="str">
        <f>_xlfn.IFNA(VLOOKUP($C9,logos!$A$2:$D$1025,4,FALSE),"")</f>
        <v>BBC</v>
      </c>
      <c r="H9" s="5" t="s">
        <v>19</v>
      </c>
      <c r="I9" s="5" t="s">
        <v>20</v>
      </c>
      <c r="J9" s="5" t="s">
        <v>21</v>
      </c>
      <c r="K9" s="2" t="str" cm="1">
        <f t="array" ref="K9">INDEX(stations!$B$1:$B$9974,MATCH(1,(stations!$A$1:$A$9974=master!$R9)*(stations!$E$1:$E$9974=master!$S9)*(stations!$B$1:$B$9974=master!$T9),0))</f>
        <v>128s</v>
      </c>
      <c r="L9" s="5" t="s">
        <v>23</v>
      </c>
      <c r="M9" t="s">
        <v>24</v>
      </c>
      <c r="O9" t="s">
        <v>25</v>
      </c>
      <c r="P9" s="2" t="b">
        <f>ISERROR(VLOOKUP($C9,logos!$A$2:$A$10003,1,FALSE))</f>
        <v>0</v>
      </c>
      <c r="Q9" s="2" t="str">
        <f>_xlfn.IFNA(VLOOKUP($C9,logos!$A$2:$B$10003,2,FALSE),"")</f>
        <v>BBC Radio 4 Extra.png</v>
      </c>
      <c r="R9" s="2" t="str">
        <f t="shared" si="0"/>
        <v>BBC Radio 4 Extra</v>
      </c>
      <c r="S9" s="5" t="s">
        <v>6202</v>
      </c>
      <c r="T9" s="5" t="s">
        <v>1663</v>
      </c>
      <c r="U9" t="str" cm="1">
        <f t="array" ref="U9">INDEX(stations!$A$1:$A$9974,MATCH(1,(stations!$A$1:$A$9974=master!$R9)*(stations!$E$1:$E$9974=master!$S9)*(stations!$B$1:$B$9974=master!$T9),0))</f>
        <v>BBC Radio 4 Extra</v>
      </c>
    </row>
    <row r="10" spans="1:21" x14ac:dyDescent="0.55000000000000004">
      <c r="A10">
        <v>508</v>
      </c>
      <c r="B10" s="2" t="str" cm="1">
        <f t="array" ref="B10">INDEX(stations!$C$1:$C$9974,MATCH(1,(stations!$A$1:$A$9974=master!$R10)*(stations!$E$1:$E$9974=master!$S10)*(stations!$B$1:$B$9974=master!$T10),0))</f>
        <v>http://a.files.bbci.co.uk/media/live/manifesto/audio/simulcast/hls/uk/sbr_med/ak/bbc_radio_five_live.m3u8</v>
      </c>
      <c r="C10" s="5" t="s">
        <v>113</v>
      </c>
      <c r="D10" t="s">
        <v>17</v>
      </c>
      <c r="E10" t="s">
        <v>18</v>
      </c>
      <c r="G10" s="2" t="str">
        <f>_xlfn.IFNA(VLOOKUP($C10,logos!$A$2:$D$1025,4,FALSE),"")</f>
        <v>BBC</v>
      </c>
      <c r="H10" s="5" t="s">
        <v>19</v>
      </c>
      <c r="I10" s="5" t="s">
        <v>20</v>
      </c>
      <c r="J10" s="5" t="s">
        <v>21</v>
      </c>
      <c r="K10" s="2" t="str" cm="1">
        <f t="array" ref="K10">INDEX(stations!$B$1:$B$9974,MATCH(1,(stations!$A$1:$A$9974=master!$R10)*(stations!$E$1:$E$9974=master!$S10)*(stations!$B$1:$B$9974=master!$T10),0))</f>
        <v>128s</v>
      </c>
      <c r="L10" s="5" t="s">
        <v>23</v>
      </c>
      <c r="M10" t="s">
        <v>24</v>
      </c>
      <c r="O10" t="s">
        <v>25</v>
      </c>
      <c r="P10" s="2" t="b">
        <f>ISERROR(VLOOKUP($C10,logos!$A$2:$A$10003,1,FALSE))</f>
        <v>0</v>
      </c>
      <c r="Q10" s="2" t="str">
        <f>_xlfn.IFNA(VLOOKUP($C10,logos!$A$2:$B$10003,2,FALSE),"")</f>
        <v>BBC Radio 5 Live.png</v>
      </c>
      <c r="R10" s="2" t="str">
        <f t="shared" si="0"/>
        <v>BBC Radio 5 Live</v>
      </c>
      <c r="S10" s="5" t="s">
        <v>6202</v>
      </c>
      <c r="T10" s="5" t="s">
        <v>1663</v>
      </c>
      <c r="U10" t="str" cm="1">
        <f t="array" ref="U10">INDEX(stations!$A$1:$A$9974,MATCH(1,(stations!$A$1:$A$9974=master!$R10)*(stations!$E$1:$E$9974=master!$S10)*(stations!$B$1:$B$9974=master!$T10),0))</f>
        <v>BBC Radio 5 Live</v>
      </c>
    </row>
    <row r="11" spans="1:21" x14ac:dyDescent="0.55000000000000004">
      <c r="A11">
        <v>509</v>
      </c>
      <c r="B11" s="2" t="str" cm="1">
        <f t="array" ref="B11">INDEX(stations!$C$1:$C$9974,MATCH(1,(stations!$A$1:$A$9974=master!$R11)*(stations!$E$1:$E$9974=master!$S11)*(stations!$B$1:$B$9974=master!$T11),0))</f>
        <v>http://a.files.bbci.co.uk/media/live/manifesto/audio/simulcast/hls/uk/sbr_med/ak/bbc_radio_five_live_sports_extra.m3u8</v>
      </c>
      <c r="C11" s="5" t="s">
        <v>116</v>
      </c>
      <c r="D11" t="s">
        <v>17</v>
      </c>
      <c r="E11" t="s">
        <v>18</v>
      </c>
      <c r="G11" s="2" t="str">
        <f>_xlfn.IFNA(VLOOKUP($C11,logos!$A$2:$D$1025,4,FALSE),"")</f>
        <v>BBC</v>
      </c>
      <c r="H11" s="5" t="s">
        <v>19</v>
      </c>
      <c r="I11" s="5" t="s">
        <v>20</v>
      </c>
      <c r="J11" s="5" t="s">
        <v>21</v>
      </c>
      <c r="K11" s="2" t="str" cm="1">
        <f t="array" ref="K11">INDEX(stations!$B$1:$B$9974,MATCH(1,(stations!$A$1:$A$9974=master!$R11)*(stations!$E$1:$E$9974=master!$S11)*(stations!$B$1:$B$9974=master!$T11),0))</f>
        <v>128s</v>
      </c>
      <c r="L11" s="5" t="s">
        <v>23</v>
      </c>
      <c r="M11" t="s">
        <v>24</v>
      </c>
      <c r="O11" t="s">
        <v>25</v>
      </c>
      <c r="P11" s="2" t="b">
        <f>ISERROR(VLOOKUP($C11,logos!$A$2:$A$10003,1,FALSE))</f>
        <v>0</v>
      </c>
      <c r="Q11" s="2" t="str">
        <f>_xlfn.IFNA(VLOOKUP($C11,logos!$A$2:$B$10003,2,FALSE),"")</f>
        <v>BBC Radio 5 Sports Extra.png</v>
      </c>
      <c r="R11" s="2" t="str">
        <f t="shared" si="0"/>
        <v>BBC Radio 5 Sports Extra</v>
      </c>
      <c r="S11" s="5" t="s">
        <v>6202</v>
      </c>
      <c r="T11" s="5" t="s">
        <v>1663</v>
      </c>
      <c r="U11" t="str" cm="1">
        <f t="array" ref="U11">INDEX(stations!$A$1:$A$9974,MATCH(1,(stations!$A$1:$A$9974=master!$R11)*(stations!$E$1:$E$9974=master!$S11)*(stations!$B$1:$B$9974=master!$T11),0))</f>
        <v>BBC Radio 5 Sports Extra</v>
      </c>
    </row>
    <row r="12" spans="1:21" x14ac:dyDescent="0.55000000000000004">
      <c r="A12">
        <v>510</v>
      </c>
      <c r="B12" s="2" t="str" cm="1">
        <f t="array" ref="B12">INDEX(stations!$C$1:$C$9974,MATCH(1,(stations!$A$1:$A$9974=master!$R12)*(stations!$E$1:$E$9974=master!$S12)*(stations!$B$1:$B$9974=master!$T12),0))</f>
        <v>http://a.files.bbci.co.uk/media/live/manifesto/audio/simulcast/hls/uk/sbr_med/ak/bbc_6music.m3u8</v>
      </c>
      <c r="C12" s="5" t="s">
        <v>118</v>
      </c>
      <c r="D12" t="s">
        <v>17</v>
      </c>
      <c r="E12" t="s">
        <v>18</v>
      </c>
      <c r="G12" s="2" t="str">
        <f>_xlfn.IFNA(VLOOKUP($C12,logos!$A$2:$D$1025,4,FALSE),"")</f>
        <v>BBC</v>
      </c>
      <c r="H12" s="5" t="s">
        <v>19</v>
      </c>
      <c r="I12" s="5" t="s">
        <v>20</v>
      </c>
      <c r="J12" s="5" t="s">
        <v>21</v>
      </c>
      <c r="K12" s="2" t="str" cm="1">
        <f t="array" ref="K12">INDEX(stations!$B$1:$B$9974,MATCH(1,(stations!$A$1:$A$9974=master!$R12)*(stations!$E$1:$E$9974=master!$S12)*(stations!$B$1:$B$9974=master!$T12),0))</f>
        <v>128s</v>
      </c>
      <c r="L12" s="5" t="s">
        <v>23</v>
      </c>
      <c r="M12" t="s">
        <v>24</v>
      </c>
      <c r="O12" t="s">
        <v>25</v>
      </c>
      <c r="P12" s="2" t="b">
        <f>ISERROR(VLOOKUP($C12,logos!$A$2:$A$10003,1,FALSE))</f>
        <v>0</v>
      </c>
      <c r="Q12" s="2" t="str">
        <f>_xlfn.IFNA(VLOOKUP($C12,logos!$A$2:$B$10003,2,FALSE),"")</f>
        <v>BBC Radio 6 Music.png</v>
      </c>
      <c r="R12" s="2" t="str">
        <f t="shared" si="0"/>
        <v>BBC Radio 6 Music</v>
      </c>
      <c r="S12" s="5" t="s">
        <v>6202</v>
      </c>
      <c r="T12" s="5" t="s">
        <v>1663</v>
      </c>
      <c r="U12" t="str" cm="1">
        <f t="array" ref="U12">INDEX(stations!$A$1:$A$9974,MATCH(1,(stations!$A$1:$A$9974=master!$R12)*(stations!$E$1:$E$9974=master!$S12)*(stations!$B$1:$B$9974=master!$T12),0))</f>
        <v>BBC Radio 6 Music</v>
      </c>
    </row>
    <row r="13" spans="1:21" x14ac:dyDescent="0.55000000000000004">
      <c r="A13">
        <v>511</v>
      </c>
      <c r="B13" s="2" t="str" cm="1">
        <f t="array" ref="B13">INDEX(stations!$C$1:$C$9974,MATCH(1,(stations!$A$1:$A$9974=master!$R13)*(stations!$E$1:$E$9974=master!$S13)*(stations!$B$1:$B$9974=master!$T13),0))</f>
        <v>http://a.files.bbci.co.uk/media/live/manifesto/audio/simulcast/hls/uk/sbr_med/ak/bbc_radio_cumbria.m3u8</v>
      </c>
      <c r="C13" s="5" t="s">
        <v>2847</v>
      </c>
      <c r="D13" t="s">
        <v>17</v>
      </c>
      <c r="E13" t="s">
        <v>18</v>
      </c>
      <c r="G13" s="2" t="str">
        <f>_xlfn.IFNA(VLOOKUP($C13,logos!$A$2:$D$1025,4,FALSE),"")</f>
        <v>BBC</v>
      </c>
      <c r="H13" s="5" t="s">
        <v>19</v>
      </c>
      <c r="I13" s="5" t="s">
        <v>20</v>
      </c>
      <c r="J13" s="5" t="s">
        <v>21</v>
      </c>
      <c r="K13" s="2" t="str" cm="1">
        <f t="array" ref="K13">INDEX(stations!$B$1:$B$9974,MATCH(1,(stations!$A$1:$A$9974=master!$R13)*(stations!$E$1:$E$9974=master!$S13)*(stations!$B$1:$B$9974=master!$T13),0))</f>
        <v>128s</v>
      </c>
      <c r="L13" s="5" t="s">
        <v>23</v>
      </c>
      <c r="M13" t="s">
        <v>24</v>
      </c>
      <c r="O13" t="s">
        <v>25</v>
      </c>
      <c r="P13" s="2" t="b">
        <f>ISERROR(VLOOKUP($C13,logos!$A$2:$A$10003,1,FALSE))</f>
        <v>0</v>
      </c>
      <c r="Q13" s="2" t="str">
        <f>_xlfn.IFNA(VLOOKUP($C13,logos!$A$2:$B$10003,2,FALSE),"")</f>
        <v>BBC Radio Cumbria (FM).png</v>
      </c>
      <c r="R13" s="2" t="str">
        <f t="shared" si="0"/>
        <v>BBC Radio Cumbria (FM)</v>
      </c>
      <c r="S13" s="5" t="s">
        <v>6202</v>
      </c>
      <c r="T13" s="5" t="s">
        <v>1663</v>
      </c>
      <c r="U13" t="str" cm="1">
        <f t="array" ref="U13">INDEX(stations!$A$1:$A$9974,MATCH(1,(stations!$A$1:$A$9974=master!$R13)*(stations!$E$1:$E$9974=master!$S13)*(stations!$B$1:$B$9974=master!$T13),0))</f>
        <v>BBC Radio Cumbria (FM)</v>
      </c>
    </row>
    <row r="14" spans="1:21" x14ac:dyDescent="0.55000000000000004">
      <c r="A14">
        <v>512</v>
      </c>
      <c r="B14" s="2" t="str" cm="1">
        <f t="array" ref="B14">INDEX(stations!$C$1:$C$9974,MATCH(1,(stations!$A$1:$A$9974=master!$R14)*(stations!$E$1:$E$9974=master!$S14)*(stations!$B$1:$B$9974=master!$T14),0))</f>
        <v>http://a.files.bbci.co.uk/media/live/manifesto/audio/simulcast/hls/uk/sbr_med/ak/bbc_radio_lancashire.m3u8</v>
      </c>
      <c r="C14" s="5" t="s">
        <v>150</v>
      </c>
      <c r="D14" t="s">
        <v>17</v>
      </c>
      <c r="E14" t="s">
        <v>18</v>
      </c>
      <c r="G14" s="2" t="str">
        <f>_xlfn.IFNA(VLOOKUP($C14,logos!$A$2:$D$1025,4,FALSE),"")</f>
        <v>BBC</v>
      </c>
      <c r="H14" s="5" t="s">
        <v>19</v>
      </c>
      <c r="I14" s="5" t="s">
        <v>20</v>
      </c>
      <c r="J14" s="5" t="s">
        <v>21</v>
      </c>
      <c r="K14" s="2" t="str" cm="1">
        <f t="array" ref="K14">INDEX(stations!$B$1:$B$9974,MATCH(1,(stations!$A$1:$A$9974=master!$R14)*(stations!$E$1:$E$9974=master!$S14)*(stations!$B$1:$B$9974=master!$T14),0))</f>
        <v>128s</v>
      </c>
      <c r="L14" s="5" t="s">
        <v>23</v>
      </c>
      <c r="M14" t="s">
        <v>24</v>
      </c>
      <c r="O14" t="s">
        <v>25</v>
      </c>
      <c r="P14" s="2" t="b">
        <f>ISERROR(VLOOKUP($C14,logos!$A$2:$A$10003,1,FALSE))</f>
        <v>0</v>
      </c>
      <c r="Q14" s="2" t="str">
        <f>_xlfn.IFNA(VLOOKUP($C14,logos!$A$2:$B$10003,2,FALSE),"")</f>
        <v>BBC Radio Lancashire.png</v>
      </c>
      <c r="R14" s="2" t="str">
        <f t="shared" si="0"/>
        <v>BBC Radio Lancashire</v>
      </c>
      <c r="S14" s="5" t="s">
        <v>6202</v>
      </c>
      <c r="T14" s="5" t="s">
        <v>1663</v>
      </c>
      <c r="U14" t="str" cm="1">
        <f t="array" ref="U14">INDEX(stations!$A$1:$A$9974,MATCH(1,(stations!$A$1:$A$9974=master!$R14)*(stations!$E$1:$E$9974=master!$S14)*(stations!$B$1:$B$9974=master!$T14),0))</f>
        <v>BBC Radio Lancashire</v>
      </c>
    </row>
    <row r="15" spans="1:21" x14ac:dyDescent="0.55000000000000004">
      <c r="A15">
        <v>513</v>
      </c>
      <c r="B15" s="2" t="str" cm="1">
        <f t="array" ref="B15">INDEX(stations!$C$1:$C$9974,MATCH(1,(stations!$A$1:$A$9974=master!$R15)*(stations!$E$1:$E$9974=master!$S15)*(stations!$B$1:$B$9974=master!$T15),0))</f>
        <v>http://a.files.bbci.co.uk/media/live/manifesto/audio/simulcast/hls/uk/sbr_med/ak/bbc_london.m3u8</v>
      </c>
      <c r="C15" s="5" t="s">
        <v>2854</v>
      </c>
      <c r="D15" t="s">
        <v>17</v>
      </c>
      <c r="E15" t="s">
        <v>18</v>
      </c>
      <c r="G15" s="2" t="str">
        <f>_xlfn.IFNA(VLOOKUP($C15,logos!$A$2:$D$1025,4,FALSE),"")</f>
        <v>BBC</v>
      </c>
      <c r="H15" s="5" t="s">
        <v>19</v>
      </c>
      <c r="I15" s="5" t="s">
        <v>20</v>
      </c>
      <c r="J15" s="5" t="s">
        <v>21</v>
      </c>
      <c r="K15" s="2" t="str" cm="1">
        <f t="array" ref="K15">INDEX(stations!$B$1:$B$9974,MATCH(1,(stations!$A$1:$A$9974=master!$R15)*(stations!$E$1:$E$9974=master!$S15)*(stations!$B$1:$B$9974=master!$T15),0))</f>
        <v>128s</v>
      </c>
      <c r="L15" s="5" t="s">
        <v>23</v>
      </c>
      <c r="M15" t="s">
        <v>24</v>
      </c>
      <c r="O15" t="s">
        <v>25</v>
      </c>
      <c r="P15" s="2" t="b">
        <f>ISERROR(VLOOKUP($C15,logos!$A$2:$A$10003,1,FALSE))</f>
        <v>0</v>
      </c>
      <c r="Q15" s="2" t="str">
        <f>_xlfn.IFNA(VLOOKUP($C15,logos!$A$2:$B$10003,2,FALSE),"")</f>
        <v>BBC Radio London (FM).png</v>
      </c>
      <c r="R15" s="2" t="str">
        <f t="shared" si="0"/>
        <v>BBC Radio London (FM)</v>
      </c>
      <c r="S15" s="5" t="s">
        <v>6202</v>
      </c>
      <c r="T15" s="5" t="s">
        <v>1663</v>
      </c>
      <c r="U15" t="str" cm="1">
        <f t="array" ref="U15">INDEX(stations!$A$1:$A$9974,MATCH(1,(stations!$A$1:$A$9974=master!$R15)*(stations!$E$1:$E$9974=master!$S15)*(stations!$B$1:$B$9974=master!$T15),0))</f>
        <v>BBC Radio London (FM)</v>
      </c>
    </row>
    <row r="16" spans="1:21" x14ac:dyDescent="0.55000000000000004">
      <c r="A16">
        <v>514</v>
      </c>
      <c r="B16" s="2" t="str" cm="1">
        <f t="array" ref="B16">INDEX(stations!$C$1:$C$9974,MATCH(1,(stations!$A$1:$A$9974=master!$R16)*(stations!$E$1:$E$9974=master!$S16)*(stations!$B$1:$B$9974=master!$T16),0))</f>
        <v>http://a.files.bbci.co.uk/media/live/manifesto/audio/simulcast/hls/uk/sbr_med/ak/bbc_radio_manchester.m3u8</v>
      </c>
      <c r="C16" s="5" t="s">
        <v>2855</v>
      </c>
      <c r="D16" t="s">
        <v>17</v>
      </c>
      <c r="E16" t="s">
        <v>18</v>
      </c>
      <c r="G16" s="2" t="str">
        <f>_xlfn.IFNA(VLOOKUP($C16,logos!$A$2:$D$1025,4,FALSE),"")</f>
        <v>BBC</v>
      </c>
      <c r="H16" s="5" t="s">
        <v>19</v>
      </c>
      <c r="I16" s="5" t="s">
        <v>20</v>
      </c>
      <c r="J16" s="5" t="s">
        <v>21</v>
      </c>
      <c r="K16" s="2" t="str" cm="1">
        <f t="array" ref="K16">INDEX(stations!$B$1:$B$9974,MATCH(1,(stations!$A$1:$A$9974=master!$R16)*(stations!$E$1:$E$9974=master!$S16)*(stations!$B$1:$B$9974=master!$T16),0))</f>
        <v>128s</v>
      </c>
      <c r="L16" s="5" t="s">
        <v>23</v>
      </c>
      <c r="M16" t="s">
        <v>24</v>
      </c>
      <c r="O16" t="s">
        <v>25</v>
      </c>
      <c r="P16" s="2" t="b">
        <f>ISERROR(VLOOKUP($C16,logos!$A$2:$A$10003,1,FALSE))</f>
        <v>0</v>
      </c>
      <c r="Q16" s="2" t="str">
        <f>_xlfn.IFNA(VLOOKUP($C16,logos!$A$2:$B$10003,2,FALSE),"")</f>
        <v>BBC Radio Manchester (DAB).png</v>
      </c>
      <c r="R16" s="2" t="str">
        <f t="shared" si="0"/>
        <v>BBC Radio Manchester (DAB)</v>
      </c>
      <c r="S16" s="5" t="s">
        <v>6202</v>
      </c>
      <c r="T16" s="5" t="s">
        <v>1663</v>
      </c>
      <c r="U16" t="str" cm="1">
        <f t="array" ref="U16">INDEX(stations!$A$1:$A$9974,MATCH(1,(stations!$A$1:$A$9974=master!$R16)*(stations!$E$1:$E$9974=master!$S16)*(stations!$B$1:$B$9974=master!$T16),0))</f>
        <v>BBC Radio Manchester (DAB)</v>
      </c>
    </row>
    <row r="17" spans="1:21" hidden="1" x14ac:dyDescent="0.55000000000000004">
      <c r="A17">
        <v>515</v>
      </c>
      <c r="B17" s="2" t="str" cm="1">
        <f t="array" ref="B17">INDEX(stations!$C$1:$C$9974,MATCH(1,(stations!$A$1:$A$9974=master!$R17)*(stations!$E$1:$E$9974=master!$S17)*(stations!$B$1:$B$9974=master!$T17),0))</f>
        <v>http://149.255.59.162:8128/stream</v>
      </c>
      <c r="C17" s="5" t="s">
        <v>1673</v>
      </c>
      <c r="D17" t="s">
        <v>17</v>
      </c>
      <c r="E17" t="s">
        <v>18</v>
      </c>
      <c r="G17" s="2" t="str">
        <f>_xlfn.IFNA(VLOOKUP($C17,logos!$A$2:$D$1025,4,FALSE),"")</f>
        <v xml:space="preserve"> </v>
      </c>
      <c r="H17" s="5" t="s">
        <v>19</v>
      </c>
      <c r="I17" s="5" t="s">
        <v>20</v>
      </c>
      <c r="J17" s="5" t="s">
        <v>21</v>
      </c>
      <c r="K17" s="2" t="str" cm="1">
        <f t="array" ref="K17">INDEX(stations!$B$1:$B$9974,MATCH(1,(stations!$A$1:$A$9974=master!$R17)*(stations!$E$1:$E$9974=master!$S17)*(stations!$B$1:$B$9974=master!$T17),0))</f>
        <v>48s</v>
      </c>
      <c r="L17" s="5" t="s">
        <v>23</v>
      </c>
      <c r="M17" t="s">
        <v>24</v>
      </c>
      <c r="O17" t="s">
        <v>25</v>
      </c>
      <c r="P17" s="2" t="b">
        <f>ISERROR(VLOOKUP($C17,logos!$A$2:$A$10003,1,FALSE))</f>
        <v>0</v>
      </c>
      <c r="Q17" s="2" t="str">
        <f>_xlfn.IFNA(VLOOKUP($C17,logos!$A$2:$B$10003,2,FALSE),"")</f>
        <v>CandoFM.jpg</v>
      </c>
      <c r="R17" s="2" t="str">
        <f t="shared" si="0"/>
        <v>CandoFM</v>
      </c>
      <c r="S17" s="5" t="s">
        <v>2609</v>
      </c>
      <c r="T17" s="5" t="s">
        <v>1662</v>
      </c>
      <c r="U17" t="str" cm="1">
        <f t="array" ref="U17">INDEX(stations!$A$1:$A$9974,MATCH(1,(stations!$A$1:$A$9974=master!$R17)*(stations!$E$1:$E$9974=master!$S17)*(stations!$B$1:$B$9974=master!$T17),0))</f>
        <v>CandoFM</v>
      </c>
    </row>
    <row r="18" spans="1:21" hidden="1" x14ac:dyDescent="0.55000000000000004">
      <c r="A18">
        <v>516</v>
      </c>
      <c r="B18" s="2" t="str" cm="1">
        <f t="array" ref="B18">INDEX(stations!$C$1:$C$9974,MATCH(1,(stations!$A$1:$A$9974=master!$R18)*(stations!$E$1:$E$9974=master!$S18)*(stations!$B$1:$B$9974=master!$T18),0))</f>
        <v>http://icecast.thisisdax.com/CapitalUK</v>
      </c>
      <c r="C18" s="5" t="s">
        <v>2645</v>
      </c>
      <c r="D18" t="s">
        <v>17</v>
      </c>
      <c r="E18" t="s">
        <v>18</v>
      </c>
      <c r="G18" s="2" t="str">
        <f>_xlfn.IFNA(VLOOKUP($C18,logos!$A$2:$D$1025,4,FALSE),"")</f>
        <v>Global</v>
      </c>
      <c r="H18" s="5" t="s">
        <v>19</v>
      </c>
      <c r="I18" s="5" t="s">
        <v>20</v>
      </c>
      <c r="J18" s="5" t="s">
        <v>21</v>
      </c>
      <c r="K18" s="2" t="str" cm="1">
        <f t="array" ref="K18">INDEX(stations!$B$1:$B$9974,MATCH(1,(stations!$A$1:$A$9974=master!$R18)*(stations!$E$1:$E$9974=master!$S18)*(stations!$B$1:$B$9974=master!$T18),0))</f>
        <v>48s</v>
      </c>
      <c r="L18" s="5" t="s">
        <v>23</v>
      </c>
      <c r="M18" t="s">
        <v>24</v>
      </c>
      <c r="O18" t="s">
        <v>25</v>
      </c>
      <c r="P18" s="2" t="b">
        <f>ISERROR(VLOOKUP($C18,logos!$A$2:$A$10003,1,FALSE))</f>
        <v>0</v>
      </c>
      <c r="Q18" s="2" t="str">
        <f>_xlfn.IFNA(VLOOKUP($C18,logos!$A$2:$B$10003,2,FALSE),"")</f>
        <v>Capital (UK).jpg</v>
      </c>
      <c r="R18" s="2" t="str">
        <f t="shared" si="0"/>
        <v>Capital (UK)</v>
      </c>
      <c r="S18" s="5" t="s">
        <v>2609</v>
      </c>
      <c r="T18" s="5" t="s">
        <v>1662</v>
      </c>
      <c r="U18" t="str" cm="1">
        <f t="array" ref="U18">INDEX(stations!$A$1:$A$9974,MATCH(1,(stations!$A$1:$A$9974=master!$R18)*(stations!$E$1:$E$9974=master!$S18)*(stations!$B$1:$B$9974=master!$T18),0))</f>
        <v>Capital (UK)</v>
      </c>
    </row>
    <row r="19" spans="1:21" hidden="1" x14ac:dyDescent="0.55000000000000004">
      <c r="A19">
        <v>517</v>
      </c>
      <c r="B19" s="2" t="str" cm="1">
        <f t="array" ref="B19">INDEX(stations!$C$1:$C$9974,MATCH(1,(stations!$A$1:$A$9974=master!$R19)*(stations!$E$1:$E$9974=master!$S19)*(stations!$B$1:$B$9974=master!$T19),0))</f>
        <v>http://icecast.thisisdax.com/CapitalDance</v>
      </c>
      <c r="C19" s="5" t="s">
        <v>314</v>
      </c>
      <c r="D19" t="s">
        <v>17</v>
      </c>
      <c r="E19" t="s">
        <v>18</v>
      </c>
      <c r="G19" s="2" t="str">
        <f>_xlfn.IFNA(VLOOKUP($C19,logos!$A$2:$D$1025,4,FALSE),"")</f>
        <v>Global</v>
      </c>
      <c r="H19" s="5" t="s">
        <v>19</v>
      </c>
      <c r="I19" s="5" t="s">
        <v>20</v>
      </c>
      <c r="J19" s="5" t="s">
        <v>21</v>
      </c>
      <c r="K19" s="2" t="str" cm="1">
        <f t="array" ref="K19">INDEX(stations!$B$1:$B$9974,MATCH(1,(stations!$A$1:$A$9974=master!$R19)*(stations!$E$1:$E$9974=master!$S19)*(stations!$B$1:$B$9974=master!$T19),0))</f>
        <v>48s</v>
      </c>
      <c r="L19" s="5" t="s">
        <v>23</v>
      </c>
      <c r="M19" t="s">
        <v>24</v>
      </c>
      <c r="O19" t="s">
        <v>25</v>
      </c>
      <c r="P19" s="2" t="b">
        <f>ISERROR(VLOOKUP($C19,logos!$A$2:$A$10003,1,FALSE))</f>
        <v>0</v>
      </c>
      <c r="Q19" s="2" t="str">
        <f>_xlfn.IFNA(VLOOKUP($C19,logos!$A$2:$B$10003,2,FALSE),"")</f>
        <v>Capital Dance.jpg</v>
      </c>
      <c r="R19" s="2" t="str">
        <f t="shared" si="0"/>
        <v>Capital Dance</v>
      </c>
      <c r="S19" s="5" t="s">
        <v>2609</v>
      </c>
      <c r="T19" s="5" t="s">
        <v>1662</v>
      </c>
      <c r="U19" t="str" cm="1">
        <f t="array" ref="U19">INDEX(stations!$A$1:$A$9974,MATCH(1,(stations!$A$1:$A$9974=master!$R19)*(stations!$E$1:$E$9974=master!$S19)*(stations!$B$1:$B$9974=master!$T19),0))</f>
        <v>Capital Dance</v>
      </c>
    </row>
    <row r="20" spans="1:21" hidden="1" x14ac:dyDescent="0.55000000000000004">
      <c r="A20">
        <v>518</v>
      </c>
      <c r="B20" s="2" t="str" cm="1">
        <f t="array" ref="B20">INDEX(stations!$C$1:$C$9974,MATCH(1,(stations!$A$1:$A$9974=master!$R20)*(stations!$E$1:$E$9974=master!$S20)*(stations!$B$1:$B$9974=master!$T20),0))</f>
        <v>http://icecast.thisisdax.com/CapitalXTRANational</v>
      </c>
      <c r="C20" s="5" t="s">
        <v>2649</v>
      </c>
      <c r="D20" t="s">
        <v>17</v>
      </c>
      <c r="E20" t="s">
        <v>18</v>
      </c>
      <c r="G20" s="2" t="str">
        <f>_xlfn.IFNA(VLOOKUP($C20,logos!$A$2:$D$1025,4,FALSE),"")</f>
        <v>Global</v>
      </c>
      <c r="H20" s="5" t="s">
        <v>19</v>
      </c>
      <c r="I20" s="5" t="s">
        <v>20</v>
      </c>
      <c r="J20" s="5" t="s">
        <v>21</v>
      </c>
      <c r="K20" s="2" t="str" cm="1">
        <f t="array" ref="K20">INDEX(stations!$B$1:$B$9974,MATCH(1,(stations!$A$1:$A$9974=master!$R20)*(stations!$E$1:$E$9974=master!$S20)*(stations!$B$1:$B$9974=master!$T20),0))</f>
        <v>48s</v>
      </c>
      <c r="L20" s="5" t="s">
        <v>23</v>
      </c>
      <c r="M20" t="s">
        <v>24</v>
      </c>
      <c r="O20" t="s">
        <v>25</v>
      </c>
      <c r="P20" s="2" t="b">
        <f>ISERROR(VLOOKUP($C20,logos!$A$2:$A$10003,1,FALSE))</f>
        <v>0</v>
      </c>
      <c r="Q20" s="2" t="str">
        <f>_xlfn.IFNA(VLOOKUP($C20,logos!$A$2:$B$10003,2,FALSE),"")</f>
        <v>Capital XTRA (UK).jpg</v>
      </c>
      <c r="R20" s="2" t="str">
        <f t="shared" si="0"/>
        <v>Capital XTRA (UK)</v>
      </c>
      <c r="S20" s="5" t="s">
        <v>2609</v>
      </c>
      <c r="T20" s="5" t="s">
        <v>1662</v>
      </c>
      <c r="U20" t="str" cm="1">
        <f t="array" ref="U20">INDEX(stations!$A$1:$A$9974,MATCH(1,(stations!$A$1:$A$9974=master!$R20)*(stations!$E$1:$E$9974=master!$S20)*(stations!$B$1:$B$9974=master!$T20),0))</f>
        <v>Capital XTRA (UK)</v>
      </c>
    </row>
    <row r="21" spans="1:21" hidden="1" x14ac:dyDescent="0.55000000000000004">
      <c r="A21">
        <v>519</v>
      </c>
      <c r="B21" s="2" t="str" cm="1">
        <f t="array" ref="B21">INDEX(stations!$C$1:$C$9974,MATCH(1,(stations!$A$1:$A$9974=master!$R21)*(stations!$E$1:$E$9974=master!$S21)*(stations!$B$1:$B$9974=master!$T21),0))</f>
        <v>http://icecast.thisisdax.com/CapitalXTRAReloaded</v>
      </c>
      <c r="C21" s="5" t="s">
        <v>320</v>
      </c>
      <c r="D21" t="s">
        <v>17</v>
      </c>
      <c r="E21" t="s">
        <v>18</v>
      </c>
      <c r="G21" s="2" t="str">
        <f>_xlfn.IFNA(VLOOKUP($C21,logos!$A$2:$D$1025,4,FALSE),"")</f>
        <v>Global</v>
      </c>
      <c r="H21" s="5" t="s">
        <v>19</v>
      </c>
      <c r="I21" s="5" t="s">
        <v>20</v>
      </c>
      <c r="J21" s="5" t="s">
        <v>21</v>
      </c>
      <c r="K21" s="2" t="str" cm="1">
        <f t="array" ref="K21">INDEX(stations!$B$1:$B$9974,MATCH(1,(stations!$A$1:$A$9974=master!$R21)*(stations!$E$1:$E$9974=master!$S21)*(stations!$B$1:$B$9974=master!$T21),0))</f>
        <v>48s</v>
      </c>
      <c r="L21" s="5" t="s">
        <v>23</v>
      </c>
      <c r="M21" t="s">
        <v>24</v>
      </c>
      <c r="O21" t="s">
        <v>25</v>
      </c>
      <c r="P21" s="2" t="b">
        <f>ISERROR(VLOOKUP($C21,logos!$A$2:$A$10003,1,FALSE))</f>
        <v>0</v>
      </c>
      <c r="Q21" s="2" t="str">
        <f>_xlfn.IFNA(VLOOKUP($C21,logos!$A$2:$B$10003,2,FALSE),"")</f>
        <v>Capital XTRA Reloaded.jpg</v>
      </c>
      <c r="R21" s="2" t="str">
        <f t="shared" si="0"/>
        <v>Capital XTRA Reloaded</v>
      </c>
      <c r="S21" s="5" t="s">
        <v>2609</v>
      </c>
      <c r="T21" s="5" t="s">
        <v>1662</v>
      </c>
      <c r="U21" t="str" cm="1">
        <f t="array" ref="U21">INDEX(stations!$A$1:$A$9974,MATCH(1,(stations!$A$1:$A$9974=master!$R21)*(stations!$E$1:$E$9974=master!$S21)*(stations!$B$1:$B$9974=master!$T21),0))</f>
        <v>Capital XTRA Reloaded</v>
      </c>
    </row>
    <row r="22" spans="1:21" hidden="1" x14ac:dyDescent="0.55000000000000004">
      <c r="A22">
        <v>520</v>
      </c>
      <c r="B22" s="2" t="str" cm="1">
        <f t="array" ref="B22">INDEX(stations!$C$1:$C$9974,MATCH(1,(stations!$A$1:$A$9974=master!$R22)*(stations!$E$1:$E$9974=master!$S22)*(stations!$B$1:$B$9974=master!$T22),0))</f>
        <v>http://icecast.thisisdax.com/ClassicFM</v>
      </c>
      <c r="C22" s="5" t="s">
        <v>2652</v>
      </c>
      <c r="D22" t="s">
        <v>17</v>
      </c>
      <c r="E22" t="s">
        <v>18</v>
      </c>
      <c r="G22" s="2" t="str">
        <f>_xlfn.IFNA(VLOOKUP($C22,logos!$A$2:$D$1025,4,FALSE),"")</f>
        <v>Global</v>
      </c>
      <c r="H22" s="5" t="s">
        <v>19</v>
      </c>
      <c r="I22" s="5" t="s">
        <v>20</v>
      </c>
      <c r="J22" s="5" t="s">
        <v>21</v>
      </c>
      <c r="K22" s="2" t="str" cm="1">
        <f t="array" ref="K22">INDEX(stations!$B$1:$B$9974,MATCH(1,(stations!$A$1:$A$9974=master!$R22)*(stations!$E$1:$E$9974=master!$S22)*(stations!$B$1:$B$9974=master!$T22),0))</f>
        <v>48s</v>
      </c>
      <c r="L22" s="5" t="s">
        <v>23</v>
      </c>
      <c r="M22" t="s">
        <v>24</v>
      </c>
      <c r="O22" t="s">
        <v>25</v>
      </c>
      <c r="P22" s="2" t="b">
        <f>ISERROR(VLOOKUP($C22,logos!$A$2:$A$10003,1,FALSE))</f>
        <v>0</v>
      </c>
      <c r="Q22" s="2" t="str">
        <f>_xlfn.IFNA(VLOOKUP($C22,logos!$A$2:$B$10003,2,FALSE),"")</f>
        <v>Classic FM (UK).jpg</v>
      </c>
      <c r="R22" s="2" t="str">
        <f t="shared" si="0"/>
        <v>Classic FM (UK)</v>
      </c>
      <c r="S22" s="5" t="s">
        <v>2609</v>
      </c>
      <c r="T22" s="5" t="s">
        <v>1662</v>
      </c>
      <c r="U22" t="str" cm="1">
        <f t="array" ref="U22">INDEX(stations!$A$1:$A$9974,MATCH(1,(stations!$A$1:$A$9974=master!$R22)*(stations!$E$1:$E$9974=master!$S22)*(stations!$B$1:$B$9974=master!$T22),0))</f>
        <v>Classic FM (UK)</v>
      </c>
    </row>
    <row r="23" spans="1:21" hidden="1" x14ac:dyDescent="0.55000000000000004">
      <c r="A23">
        <v>521</v>
      </c>
      <c r="B23" s="2" t="str" cm="1">
        <f t="array" ref="B23">INDEX(stations!$C$1:$C$9974,MATCH(1,(stations!$A$1:$A$9974=master!$R23)*(stations!$E$1:$E$9974=master!$S23)*(stations!$B$1:$B$9974=master!$T23),0))</f>
        <v>http://edge-bauerall-01-gos2.sharp-stream.com/forth1.mp3</v>
      </c>
      <c r="C23" s="5" t="s">
        <v>414</v>
      </c>
      <c r="D23" t="s">
        <v>17</v>
      </c>
      <c r="E23" t="s">
        <v>18</v>
      </c>
      <c r="G23" s="2" t="str">
        <f>_xlfn.IFNA(VLOOKUP($C23,logos!$A$2:$D$1025,4,FALSE),"")</f>
        <v>Bauer Media</v>
      </c>
      <c r="H23" s="5" t="s">
        <v>19</v>
      </c>
      <c r="I23" s="5" t="s">
        <v>20</v>
      </c>
      <c r="J23" s="5" t="s">
        <v>21</v>
      </c>
      <c r="K23" s="2" t="str" cm="1">
        <f t="array" ref="K23">INDEX(stations!$B$1:$B$9974,MATCH(1,(stations!$A$1:$A$9974=master!$R23)*(stations!$E$1:$E$9974=master!$S23)*(stations!$B$1:$B$9974=master!$T23),0))</f>
        <v>112s</v>
      </c>
      <c r="L23" s="5" t="s">
        <v>23</v>
      </c>
      <c r="M23" t="s">
        <v>24</v>
      </c>
      <c r="O23" t="s">
        <v>25</v>
      </c>
      <c r="P23" s="2" t="b">
        <f>ISERROR(VLOOKUP($C23,logos!$A$2:$A$10003,1,FALSE))</f>
        <v>0</v>
      </c>
      <c r="Q23" s="2" t="str">
        <f>_xlfn.IFNA(VLOOKUP($C23,logos!$A$2:$B$10003,2,FALSE),"")</f>
        <v>Forth 1.jpg</v>
      </c>
      <c r="R23" s="2" t="str">
        <f t="shared" si="0"/>
        <v>Forth 1</v>
      </c>
      <c r="S23" s="5" t="s">
        <v>23</v>
      </c>
      <c r="T23" s="5" t="s">
        <v>1692</v>
      </c>
      <c r="U23" t="str" cm="1">
        <f t="array" ref="U23">INDEX(stations!$A$1:$A$9974,MATCH(1,(stations!$A$1:$A$9974=master!$R23)*(stations!$E$1:$E$9974=master!$S23)*(stations!$B$1:$B$9974=master!$T23),0))</f>
        <v>Forth 1</v>
      </c>
    </row>
    <row r="24" spans="1:21" hidden="1" x14ac:dyDescent="0.55000000000000004">
      <c r="A24">
        <v>522</v>
      </c>
      <c r="B24" s="2" t="str" cm="1">
        <f t="array" ref="B24">INDEX(stations!$C$1:$C$9974,MATCH(1,(stations!$A$1:$A$9974=master!$R24)*(stations!$E$1:$E$9974=master!$S24)*(stations!$B$1:$B$9974=master!$T24),0))</f>
        <v>http://edge-bauerall-01-gos2.sharp-stream.com/forth2.mp3</v>
      </c>
      <c r="C24" s="5" t="s">
        <v>416</v>
      </c>
      <c r="D24" t="s">
        <v>17</v>
      </c>
      <c r="E24" t="s">
        <v>18</v>
      </c>
      <c r="G24" s="2" t="str">
        <f>_xlfn.IFNA(VLOOKUP($C24,logos!$A$2:$D$1025,4,FALSE),"")</f>
        <v>Bauer Media</v>
      </c>
      <c r="H24" s="5" t="s">
        <v>19</v>
      </c>
      <c r="I24" s="5" t="s">
        <v>20</v>
      </c>
      <c r="J24" s="5" t="s">
        <v>21</v>
      </c>
      <c r="K24" s="2" t="str" cm="1">
        <f t="array" ref="K24">INDEX(stations!$B$1:$B$9974,MATCH(1,(stations!$A$1:$A$9974=master!$R24)*(stations!$E$1:$E$9974=master!$S24)*(stations!$B$1:$B$9974=master!$T24),0))</f>
        <v>112s</v>
      </c>
      <c r="L24" s="5" t="s">
        <v>23</v>
      </c>
      <c r="M24" t="s">
        <v>24</v>
      </c>
      <c r="O24" t="s">
        <v>25</v>
      </c>
      <c r="P24" s="2" t="b">
        <f>ISERROR(VLOOKUP($C24,logos!$A$2:$A$10003,1,FALSE))</f>
        <v>0</v>
      </c>
      <c r="Q24" s="2" t="str">
        <f>_xlfn.IFNA(VLOOKUP($C24,logos!$A$2:$B$10003,2,FALSE),"")</f>
        <v>Forth 2.jpg</v>
      </c>
      <c r="R24" s="2" t="str">
        <f t="shared" si="0"/>
        <v>Forth 2</v>
      </c>
      <c r="S24" s="5" t="s">
        <v>23</v>
      </c>
      <c r="T24" s="5" t="s">
        <v>1692</v>
      </c>
      <c r="U24" t="str" cm="1">
        <f t="array" ref="U24">INDEX(stations!$A$1:$A$9974,MATCH(1,(stations!$A$1:$A$9974=master!$R24)*(stations!$E$1:$E$9974=master!$S24)*(stations!$B$1:$B$9974=master!$T24),0))</f>
        <v>Forth 2</v>
      </c>
    </row>
    <row r="25" spans="1:21" hidden="1" x14ac:dyDescent="0.55000000000000004">
      <c r="A25">
        <v>523</v>
      </c>
      <c r="B25" s="2" t="str" cm="1">
        <f t="array" ref="B25">INDEX(stations!$C$1:$C$9974,MATCH(1,(stations!$A$1:$A$9974=master!$R25)*(stations!$E$1:$E$9974=master!$S25)*(stations!$B$1:$B$9974=master!$T25),0))</f>
        <v>http://icecast.thisisdax.com/Gold</v>
      </c>
      <c r="C25" s="5" t="s">
        <v>459</v>
      </c>
      <c r="D25" t="s">
        <v>17</v>
      </c>
      <c r="E25" t="s">
        <v>18</v>
      </c>
      <c r="G25" s="2" t="str">
        <f>_xlfn.IFNA(VLOOKUP($C25,logos!$A$2:$D$1025,4,FALSE),"")</f>
        <v>Global</v>
      </c>
      <c r="H25" s="5" t="s">
        <v>19</v>
      </c>
      <c r="I25" s="5" t="s">
        <v>20</v>
      </c>
      <c r="J25" s="5" t="s">
        <v>21</v>
      </c>
      <c r="K25" s="2" t="str" cm="1">
        <f t="array" ref="K25">INDEX(stations!$B$1:$B$9974,MATCH(1,(stations!$A$1:$A$9974=master!$R25)*(stations!$E$1:$E$9974=master!$S25)*(stations!$B$1:$B$9974=master!$T25),0))</f>
        <v>48s</v>
      </c>
      <c r="L25" s="5" t="s">
        <v>23</v>
      </c>
      <c r="M25" t="s">
        <v>24</v>
      </c>
      <c r="O25" t="s">
        <v>25</v>
      </c>
      <c r="P25" s="2" t="b">
        <f>ISERROR(VLOOKUP($C25,logos!$A$2:$A$10003,1,FALSE))</f>
        <v>0</v>
      </c>
      <c r="Q25" s="2" t="str">
        <f>_xlfn.IFNA(VLOOKUP($C25,logos!$A$2:$B$10003,2,FALSE),"")</f>
        <v>Gold.jpg</v>
      </c>
      <c r="R25" s="2" t="str">
        <f t="shared" si="0"/>
        <v>Gold</v>
      </c>
      <c r="S25" s="5" t="s">
        <v>2609</v>
      </c>
      <c r="T25" s="5" t="s">
        <v>1662</v>
      </c>
      <c r="U25" t="str" cm="1">
        <f t="array" ref="U25">INDEX(stations!$A$1:$A$9974,MATCH(1,(stations!$A$1:$A$9974=master!$R25)*(stations!$E$1:$E$9974=master!$S25)*(stations!$B$1:$B$9974=master!$T25),0))</f>
        <v>Gold</v>
      </c>
    </row>
    <row r="26" spans="1:21" hidden="1" x14ac:dyDescent="0.55000000000000004">
      <c r="A26">
        <v>524</v>
      </c>
      <c r="B26" s="2" t="str" cm="1">
        <f t="array" ref="B26">INDEX(stations!$C$1:$C$9974,MATCH(1,(stations!$A$1:$A$9974=master!$R26)*(stations!$E$1:$E$9974=master!$S26)*(stations!$B$1:$B$9974=master!$T26),0))</f>
        <v>http://icecast.thisisdax.com/HeartNorthLancsCumbria</v>
      </c>
      <c r="C26" s="5" t="s">
        <v>2729</v>
      </c>
      <c r="D26" t="s">
        <v>17</v>
      </c>
      <c r="E26" t="s">
        <v>18</v>
      </c>
      <c r="G26" s="2" t="str">
        <f>_xlfn.IFNA(VLOOKUP($C26,logos!$A$2:$D$1025,4,FALSE),"")</f>
        <v>Global</v>
      </c>
      <c r="H26" s="5" t="s">
        <v>19</v>
      </c>
      <c r="I26" s="5" t="s">
        <v>20</v>
      </c>
      <c r="J26" s="5" t="s">
        <v>21</v>
      </c>
      <c r="K26" s="2" t="str" cm="1">
        <f t="array" ref="K26">INDEX(stations!$B$1:$B$9974,MATCH(1,(stations!$A$1:$A$9974=master!$R26)*(stations!$E$1:$E$9974=master!$S26)*(stations!$B$1:$B$9974=master!$T26),0))</f>
        <v>48s</v>
      </c>
      <c r="L26" s="5" t="s">
        <v>23</v>
      </c>
      <c r="M26" t="s">
        <v>24</v>
      </c>
      <c r="O26" t="s">
        <v>25</v>
      </c>
      <c r="P26" s="2" t="b">
        <f>ISERROR(VLOOKUP($C26,logos!$A$2:$A$10003,1,FALSE))</f>
        <v>0</v>
      </c>
      <c r="Q26" s="2" t="str">
        <f>_xlfn.IFNA(VLOOKUP($C26,logos!$A$2:$B$10003,2,FALSE),"")</f>
        <v>Heart (North West England) (North Lancashire &amp; Cumbria).jpg</v>
      </c>
      <c r="R26" s="2" t="str">
        <f t="shared" si="0"/>
        <v>Heart (North West England) (North Lancashire &amp; Cumbria)</v>
      </c>
      <c r="S26" s="5" t="s">
        <v>2609</v>
      </c>
      <c r="T26" s="5" t="s">
        <v>1662</v>
      </c>
      <c r="U26" t="str" cm="1">
        <f t="array" ref="U26">INDEX(stations!$A$1:$A$9974,MATCH(1,(stations!$A$1:$A$9974=master!$R26)*(stations!$E$1:$E$9974=master!$S26)*(stations!$B$1:$B$9974=master!$T26),0))</f>
        <v>Heart (North West England) (North Lancashire &amp; Cumbria)</v>
      </c>
    </row>
    <row r="27" spans="1:21" hidden="1" x14ac:dyDescent="0.55000000000000004">
      <c r="A27">
        <v>525</v>
      </c>
      <c r="B27" s="2" t="str" cm="1">
        <f t="array" ref="B27">INDEX(stations!$C$1:$C$9974,MATCH(1,(stations!$A$1:$A$9974=master!$R27)*(stations!$E$1:$E$9974=master!$S27)*(stations!$B$1:$B$9974=master!$T27),0))</f>
        <v>http://icecast.thisisdax.com/HeartUK</v>
      </c>
      <c r="C27" s="5" t="s">
        <v>2742</v>
      </c>
      <c r="D27" t="s">
        <v>17</v>
      </c>
      <c r="E27" t="s">
        <v>18</v>
      </c>
      <c r="G27" s="2" t="str">
        <f>_xlfn.IFNA(VLOOKUP($C27,logos!$A$2:$D$1025,4,FALSE),"")</f>
        <v>Global</v>
      </c>
      <c r="H27" s="5" t="s">
        <v>19</v>
      </c>
      <c r="I27" s="5" t="s">
        <v>20</v>
      </c>
      <c r="J27" s="5" t="s">
        <v>21</v>
      </c>
      <c r="K27" s="2" t="str" cm="1">
        <f t="array" ref="K27">INDEX(stations!$B$1:$B$9974,MATCH(1,(stations!$A$1:$A$9974=master!$R27)*(stations!$E$1:$E$9974=master!$S27)*(stations!$B$1:$B$9974=master!$T27),0))</f>
        <v>48s</v>
      </c>
      <c r="L27" s="5" t="s">
        <v>23</v>
      </c>
      <c r="M27" t="s">
        <v>24</v>
      </c>
      <c r="O27" t="s">
        <v>25</v>
      </c>
      <c r="P27" s="2" t="b">
        <f>ISERROR(VLOOKUP($C27,logos!$A$2:$A$10003,1,FALSE))</f>
        <v>0</v>
      </c>
      <c r="Q27" s="2" t="str">
        <f>_xlfn.IFNA(VLOOKUP($C27,logos!$A$2:$B$10003,2,FALSE),"")</f>
        <v>Heart (UK).jpg</v>
      </c>
      <c r="R27" s="2" t="str">
        <f t="shared" si="0"/>
        <v>Heart (UK)</v>
      </c>
      <c r="S27" s="5" t="s">
        <v>2609</v>
      </c>
      <c r="T27" s="5" t="s">
        <v>1662</v>
      </c>
      <c r="U27" t="str" cm="1">
        <f t="array" ref="U27">INDEX(stations!$A$1:$A$9974,MATCH(1,(stations!$A$1:$A$9974=master!$R27)*(stations!$E$1:$E$9974=master!$S27)*(stations!$B$1:$B$9974=master!$T27),0))</f>
        <v>Heart (UK)</v>
      </c>
    </row>
    <row r="28" spans="1:21" hidden="1" x14ac:dyDescent="0.55000000000000004">
      <c r="A28">
        <v>526</v>
      </c>
      <c r="B28" s="2" t="str" cm="1">
        <f t="array" ref="B28">INDEX(stations!$C$1:$C$9974,MATCH(1,(stations!$A$1:$A$9974=master!$R28)*(stations!$E$1:$E$9974=master!$S28)*(stations!$B$1:$B$9974=master!$T28),0))</f>
        <v>http://icecast.thisisdax.com/Heart00s</v>
      </c>
      <c r="C28" s="5" t="s">
        <v>671</v>
      </c>
      <c r="D28" t="s">
        <v>17</v>
      </c>
      <c r="E28" t="s">
        <v>18</v>
      </c>
      <c r="G28" s="2" t="str">
        <f>_xlfn.IFNA(VLOOKUP($C28,logos!$A$2:$D$1025,4,FALSE),"")</f>
        <v>Global</v>
      </c>
      <c r="H28" s="5" t="s">
        <v>19</v>
      </c>
      <c r="I28" s="5" t="s">
        <v>20</v>
      </c>
      <c r="J28" s="5" t="s">
        <v>21</v>
      </c>
      <c r="K28" s="2" t="str" cm="1">
        <f t="array" ref="K28">INDEX(stations!$B$1:$B$9974,MATCH(1,(stations!$A$1:$A$9974=master!$R28)*(stations!$E$1:$E$9974=master!$S28)*(stations!$B$1:$B$9974=master!$T28),0))</f>
        <v>48s</v>
      </c>
      <c r="L28" s="5" t="s">
        <v>23</v>
      </c>
      <c r="M28" t="s">
        <v>24</v>
      </c>
      <c r="O28" t="s">
        <v>25</v>
      </c>
      <c r="P28" s="2" t="b">
        <f>ISERROR(VLOOKUP($C28,logos!$A$2:$A$10003,1,FALSE))</f>
        <v>0</v>
      </c>
      <c r="Q28" s="2" t="str">
        <f>_xlfn.IFNA(VLOOKUP($C28,logos!$A$2:$B$10003,2,FALSE),"")</f>
        <v>Heart 00s.jpg</v>
      </c>
      <c r="R28" s="2" t="str">
        <f t="shared" si="0"/>
        <v>Heart 00s</v>
      </c>
      <c r="S28" s="5" t="s">
        <v>2609</v>
      </c>
      <c r="T28" s="5" t="s">
        <v>1662</v>
      </c>
      <c r="U28" t="str" cm="1">
        <f t="array" ref="U28">INDEX(stations!$A$1:$A$9974,MATCH(1,(stations!$A$1:$A$9974=master!$R28)*(stations!$E$1:$E$9974=master!$S28)*(stations!$B$1:$B$9974=master!$T28),0))</f>
        <v>Heart 00s</v>
      </c>
    </row>
    <row r="29" spans="1:21" hidden="1" x14ac:dyDescent="0.55000000000000004">
      <c r="A29">
        <v>527</v>
      </c>
      <c r="B29" s="2" t="str" cm="1">
        <f t="array" ref="B29">INDEX(stations!$C$1:$C$9974,MATCH(1,(stations!$A$1:$A$9974=master!$R29)*(stations!$E$1:$E$9974=master!$S29)*(stations!$B$1:$B$9974=master!$T29),0))</f>
        <v>http://icecast.thisisdax.com/Heart70s</v>
      </c>
      <c r="C29" s="5" t="s">
        <v>665</v>
      </c>
      <c r="D29" t="s">
        <v>17</v>
      </c>
      <c r="E29" t="s">
        <v>18</v>
      </c>
      <c r="G29" s="2" t="str">
        <f>_xlfn.IFNA(VLOOKUP($C29,logos!$A$2:$D$1025,4,FALSE),"")</f>
        <v>Global</v>
      </c>
      <c r="H29" s="5" t="s">
        <v>19</v>
      </c>
      <c r="I29" s="5" t="s">
        <v>20</v>
      </c>
      <c r="J29" s="5" t="s">
        <v>21</v>
      </c>
      <c r="K29" s="2" t="str" cm="1">
        <f t="array" ref="K29">INDEX(stations!$B$1:$B$9974,MATCH(1,(stations!$A$1:$A$9974=master!$R29)*(stations!$E$1:$E$9974=master!$S29)*(stations!$B$1:$B$9974=master!$T29),0))</f>
        <v>48s</v>
      </c>
      <c r="L29" s="5" t="s">
        <v>23</v>
      </c>
      <c r="M29" t="s">
        <v>24</v>
      </c>
      <c r="O29" t="s">
        <v>25</v>
      </c>
      <c r="P29" s="2" t="b">
        <f>ISERROR(VLOOKUP($C29,logos!$A$2:$A$10003,1,FALSE))</f>
        <v>0</v>
      </c>
      <c r="Q29" s="2" t="str">
        <f>_xlfn.IFNA(VLOOKUP($C29,logos!$A$2:$B$10003,2,FALSE),"")</f>
        <v>Heart 70s.jpg</v>
      </c>
      <c r="R29" s="2" t="str">
        <f t="shared" si="0"/>
        <v>Heart 70s</v>
      </c>
      <c r="S29" s="5" t="s">
        <v>2609</v>
      </c>
      <c r="T29" s="5" t="s">
        <v>1662</v>
      </c>
      <c r="U29" t="str" cm="1">
        <f t="array" ref="U29">INDEX(stations!$A$1:$A$9974,MATCH(1,(stations!$A$1:$A$9974=master!$R29)*(stations!$E$1:$E$9974=master!$S29)*(stations!$B$1:$B$9974=master!$T29),0))</f>
        <v>Heart 70s</v>
      </c>
    </row>
    <row r="30" spans="1:21" hidden="1" x14ac:dyDescent="0.55000000000000004">
      <c r="A30">
        <v>528</v>
      </c>
      <c r="B30" s="2" t="str" cm="1">
        <f t="array" ref="B30">INDEX(stations!$C$1:$C$9974,MATCH(1,(stations!$A$1:$A$9974=master!$R30)*(stations!$E$1:$E$9974=master!$S30)*(stations!$B$1:$B$9974=master!$T30),0))</f>
        <v>http://icecast.thisisdax.com/Heart80s</v>
      </c>
      <c r="C30" s="5" t="s">
        <v>667</v>
      </c>
      <c r="D30" t="s">
        <v>17</v>
      </c>
      <c r="E30" t="s">
        <v>18</v>
      </c>
      <c r="G30" s="2" t="str">
        <f>_xlfn.IFNA(VLOOKUP($C30,logos!$A$2:$D$1025,4,FALSE),"")</f>
        <v>Global</v>
      </c>
      <c r="H30" s="5" t="s">
        <v>19</v>
      </c>
      <c r="I30" s="5" t="s">
        <v>20</v>
      </c>
      <c r="J30" s="5" t="s">
        <v>21</v>
      </c>
      <c r="K30" s="2" t="str" cm="1">
        <f t="array" ref="K30">INDEX(stations!$B$1:$B$9974,MATCH(1,(stations!$A$1:$A$9974=master!$R30)*(stations!$E$1:$E$9974=master!$S30)*(stations!$B$1:$B$9974=master!$T30),0))</f>
        <v>48s</v>
      </c>
      <c r="L30" s="5" t="s">
        <v>23</v>
      </c>
      <c r="M30" t="s">
        <v>24</v>
      </c>
      <c r="O30" t="s">
        <v>25</v>
      </c>
      <c r="P30" s="2" t="b">
        <f>ISERROR(VLOOKUP($C30,logos!$A$2:$A$10003,1,FALSE))</f>
        <v>0</v>
      </c>
      <c r="Q30" s="2" t="str">
        <f>_xlfn.IFNA(VLOOKUP($C30,logos!$A$2:$B$10003,2,FALSE),"")</f>
        <v>Heart 80s.jpg</v>
      </c>
      <c r="R30" s="2" t="str">
        <f t="shared" si="0"/>
        <v>Heart 80s</v>
      </c>
      <c r="S30" s="5" t="s">
        <v>2609</v>
      </c>
      <c r="T30" s="5" t="s">
        <v>1662</v>
      </c>
      <c r="U30" t="str" cm="1">
        <f t="array" ref="U30">INDEX(stations!$A$1:$A$9974,MATCH(1,(stations!$A$1:$A$9974=master!$R30)*(stations!$E$1:$E$9974=master!$S30)*(stations!$B$1:$B$9974=master!$T30),0))</f>
        <v>Heart 80s</v>
      </c>
    </row>
    <row r="31" spans="1:21" hidden="1" x14ac:dyDescent="0.55000000000000004">
      <c r="A31">
        <v>529</v>
      </c>
      <c r="B31" s="2" t="str" cm="1">
        <f t="array" ref="B31">INDEX(stations!$C$1:$C$9974,MATCH(1,(stations!$A$1:$A$9974=master!$R31)*(stations!$E$1:$E$9974=master!$S31)*(stations!$B$1:$B$9974=master!$T31),0))</f>
        <v>http://icecast.thisisdax.com/Heart90s</v>
      </c>
      <c r="C31" s="5" t="s">
        <v>669</v>
      </c>
      <c r="D31" t="s">
        <v>17</v>
      </c>
      <c r="E31" t="s">
        <v>18</v>
      </c>
      <c r="G31" s="2" t="str">
        <f>_xlfn.IFNA(VLOOKUP($C31,logos!$A$2:$D$1025,4,FALSE),"")</f>
        <v>Global</v>
      </c>
      <c r="H31" s="5" t="s">
        <v>19</v>
      </c>
      <c r="I31" s="5" t="s">
        <v>20</v>
      </c>
      <c r="J31" s="5" t="s">
        <v>21</v>
      </c>
      <c r="K31" s="2" t="str" cm="1">
        <f t="array" ref="K31">INDEX(stations!$B$1:$B$9974,MATCH(1,(stations!$A$1:$A$9974=master!$R31)*(stations!$E$1:$E$9974=master!$S31)*(stations!$B$1:$B$9974=master!$T31),0))</f>
        <v>48s</v>
      </c>
      <c r="L31" s="5" t="s">
        <v>23</v>
      </c>
      <c r="M31" t="s">
        <v>24</v>
      </c>
      <c r="O31" t="s">
        <v>25</v>
      </c>
      <c r="P31" s="2" t="b">
        <f>ISERROR(VLOOKUP($C31,logos!$A$2:$A$10003,1,FALSE))</f>
        <v>0</v>
      </c>
      <c r="Q31" s="2" t="str">
        <f>_xlfn.IFNA(VLOOKUP($C31,logos!$A$2:$B$10003,2,FALSE),"")</f>
        <v>Heart 90s.jpg</v>
      </c>
      <c r="R31" s="2" t="str">
        <f t="shared" si="0"/>
        <v>Heart 90s</v>
      </c>
      <c r="S31" s="5" t="s">
        <v>2609</v>
      </c>
      <c r="T31" s="5" t="s">
        <v>1662</v>
      </c>
      <c r="U31" t="str" cm="1">
        <f t="array" ref="U31">INDEX(stations!$A$1:$A$9974,MATCH(1,(stations!$A$1:$A$9974=master!$R31)*(stations!$E$1:$E$9974=master!$S31)*(stations!$B$1:$B$9974=master!$T31),0))</f>
        <v>Heart 90s</v>
      </c>
    </row>
    <row r="32" spans="1:21" hidden="1" x14ac:dyDescent="0.55000000000000004">
      <c r="A32">
        <v>530</v>
      </c>
      <c r="B32" s="2" t="str" cm="1">
        <f t="array" ref="B32">INDEX(stations!$C$1:$C$9974,MATCH(1,(stations!$A$1:$A$9974=master!$R32)*(stations!$E$1:$E$9974=master!$S32)*(stations!$B$1:$B$9974=master!$T32),0))</f>
        <v>http://icecast.thisisdax.com/HeartDance</v>
      </c>
      <c r="C32" s="5" t="s">
        <v>673</v>
      </c>
      <c r="D32" t="s">
        <v>17</v>
      </c>
      <c r="E32" t="s">
        <v>18</v>
      </c>
      <c r="G32" s="2" t="str">
        <f>_xlfn.IFNA(VLOOKUP($C32,logos!$A$2:$D$1025,4,FALSE),"")</f>
        <v>Global</v>
      </c>
      <c r="H32" s="5" t="s">
        <v>19</v>
      </c>
      <c r="I32" s="5" t="s">
        <v>20</v>
      </c>
      <c r="J32" s="5" t="s">
        <v>21</v>
      </c>
      <c r="K32" s="2" t="str" cm="1">
        <f t="array" ref="K32">INDEX(stations!$B$1:$B$9974,MATCH(1,(stations!$A$1:$A$9974=master!$R32)*(stations!$E$1:$E$9974=master!$S32)*(stations!$B$1:$B$9974=master!$T32),0))</f>
        <v>48s</v>
      </c>
      <c r="L32" s="5" t="s">
        <v>23</v>
      </c>
      <c r="M32" t="s">
        <v>24</v>
      </c>
      <c r="O32" t="s">
        <v>25</v>
      </c>
      <c r="P32" s="2" t="b">
        <f>ISERROR(VLOOKUP($C32,logos!$A$2:$A$10003,1,FALSE))</f>
        <v>0</v>
      </c>
      <c r="Q32" s="2" t="str">
        <f>_xlfn.IFNA(VLOOKUP($C32,logos!$A$2:$B$10003,2,FALSE),"")</f>
        <v>Heart Dance.jpg</v>
      </c>
      <c r="R32" s="2" t="str">
        <f t="shared" si="0"/>
        <v>Heart Dance</v>
      </c>
      <c r="S32" s="5" t="s">
        <v>2609</v>
      </c>
      <c r="T32" s="5" t="s">
        <v>1662</v>
      </c>
      <c r="U32" t="str" cm="1">
        <f t="array" ref="U32">INDEX(stations!$A$1:$A$9974,MATCH(1,(stations!$A$1:$A$9974=master!$R32)*(stations!$E$1:$E$9974=master!$S32)*(stations!$B$1:$B$9974=master!$T32),0))</f>
        <v>Heart Dance</v>
      </c>
    </row>
    <row r="33" spans="1:21" hidden="1" x14ac:dyDescent="0.55000000000000004">
      <c r="A33">
        <v>531</v>
      </c>
      <c r="B33" s="2" t="str" cm="1">
        <f t="array" ref="B33">INDEX(stations!$C$1:$C$9974,MATCH(1,(stations!$A$1:$A$9974=master!$R33)*(stations!$E$1:$E$9974=master!$S33)*(stations!$B$1:$B$9974=master!$T33),0))</f>
        <v>http://icecast.thisisdax.com/HeartXmas</v>
      </c>
      <c r="C33" s="5" t="s">
        <v>675</v>
      </c>
      <c r="D33" t="s">
        <v>17</v>
      </c>
      <c r="E33" t="s">
        <v>18</v>
      </c>
      <c r="G33" s="2" t="str">
        <f>_xlfn.IFNA(VLOOKUP($C33,logos!$A$2:$D$1025,4,FALSE),"")</f>
        <v>Global</v>
      </c>
      <c r="H33" s="5" t="s">
        <v>19</v>
      </c>
      <c r="I33" s="5" t="s">
        <v>20</v>
      </c>
      <c r="J33" s="5" t="s">
        <v>21</v>
      </c>
      <c r="K33" s="2" t="str" cm="1">
        <f t="array" ref="K33">INDEX(stations!$B$1:$B$9974,MATCH(1,(stations!$A$1:$A$9974=master!$R33)*(stations!$E$1:$E$9974=master!$S33)*(stations!$B$1:$B$9974=master!$T33),0))</f>
        <v>48s</v>
      </c>
      <c r="L33" s="5" t="s">
        <v>23</v>
      </c>
      <c r="M33" t="s">
        <v>24</v>
      </c>
      <c r="O33" t="s">
        <v>25</v>
      </c>
      <c r="P33" s="2" t="b">
        <f>ISERROR(VLOOKUP($C33,logos!$A$2:$A$10003,1,FALSE))</f>
        <v>0</v>
      </c>
      <c r="Q33" s="2" t="str">
        <f>_xlfn.IFNA(VLOOKUP($C33,logos!$A$2:$B$10003,2,FALSE),"")</f>
        <v>Heart Xmas.png</v>
      </c>
      <c r="R33" s="2" t="str">
        <f t="shared" si="0"/>
        <v>Heart Xmas</v>
      </c>
      <c r="S33" s="5" t="s">
        <v>2609</v>
      </c>
      <c r="T33" s="5" t="s">
        <v>1662</v>
      </c>
      <c r="U33" t="str" cm="1">
        <f t="array" ref="U33">INDEX(stations!$A$1:$A$9974,MATCH(1,(stations!$A$1:$A$9974=master!$R33)*(stations!$E$1:$E$9974=master!$S33)*(stations!$B$1:$B$9974=master!$T33),0))</f>
        <v>Heart Xmas</v>
      </c>
    </row>
    <row r="34" spans="1:21" hidden="1" x14ac:dyDescent="0.55000000000000004">
      <c r="A34">
        <v>532</v>
      </c>
      <c r="B34" s="2" t="str" cm="1">
        <f t="array" ref="B34">INDEX(stations!$C$1:$C$9974,MATCH(1,(stations!$A$1:$A$9974=master!$R34)*(stations!$E$1:$E$9974=master!$S34)*(stations!$B$1:$B$9974=master!$T34),0))</f>
        <v>https://streamer.radio.co:80/sf97bc756a/listen</v>
      </c>
      <c r="C34" s="5" t="s">
        <v>2924</v>
      </c>
      <c r="D34" t="s">
        <v>17</v>
      </c>
      <c r="E34" t="s">
        <v>18</v>
      </c>
      <c r="G34" s="2" t="str">
        <f>_xlfn.IFNA(VLOOKUP($C34,logos!$A$2:$D$1025,4,FALSE),"")</f>
        <v xml:space="preserve"> </v>
      </c>
      <c r="H34" s="5" t="s">
        <v>19</v>
      </c>
      <c r="I34" s="5" t="s">
        <v>20</v>
      </c>
      <c r="J34" s="5" t="s">
        <v>21</v>
      </c>
      <c r="K34" s="2" t="str" cm="1">
        <f t="array" ref="K34">INDEX(stations!$B$1:$B$9974,MATCH(1,(stations!$A$1:$A$9974=master!$R34)*(stations!$E$1:$E$9974=master!$S34)*(stations!$B$1:$B$9974=master!$T34),0))</f>
        <v>48s</v>
      </c>
      <c r="L34" s="5" t="s">
        <v>23</v>
      </c>
      <c r="M34" t="s">
        <v>24</v>
      </c>
      <c r="O34" t="s">
        <v>25</v>
      </c>
      <c r="P34" s="2" t="b">
        <f>ISERROR(VLOOKUP($C34,logos!$A$2:$A$10003,1,FALSE))</f>
        <v>0</v>
      </c>
      <c r="Q34" s="2" t="str">
        <f>_xlfn.IFNA(VLOOKUP($C34,logos!$A$2:$B$10003,2,FALSE),"")</f>
        <v>Lake District Radio.jpg</v>
      </c>
      <c r="R34" s="2" t="str">
        <f t="shared" ref="R34:R50" si="1">C34</f>
        <v>Lake District Radio</v>
      </c>
      <c r="S34" s="5" t="s">
        <v>2609</v>
      </c>
      <c r="T34" s="5" t="s">
        <v>1662</v>
      </c>
      <c r="U34" t="str" cm="1">
        <f t="array" ref="U34">INDEX(stations!$A$1:$A$9974,MATCH(1,(stations!$A$1:$A$9974=master!$R34)*(stations!$E$1:$E$9974=master!$S34)*(stations!$B$1:$B$9974=master!$T34),0))</f>
        <v>Lake District Radio</v>
      </c>
    </row>
    <row r="35" spans="1:21" hidden="1" x14ac:dyDescent="0.55000000000000004">
      <c r="A35">
        <v>533</v>
      </c>
      <c r="B35" s="2" t="str" cm="1">
        <f t="array" ref="B35">INDEX(stations!$C$1:$C$9974,MATCH(1,(stations!$A$1:$A$9974=master!$R35)*(stations!$E$1:$E$9974=master!$S35)*(stations!$B$1:$B$9974=master!$T35),0))</f>
        <v>http://media-the.musicradio.com:80/LBCUK</v>
      </c>
      <c r="C35" s="5" t="s">
        <v>2765</v>
      </c>
      <c r="D35" t="s">
        <v>17</v>
      </c>
      <c r="E35" t="s">
        <v>18</v>
      </c>
      <c r="G35" s="2" t="str">
        <f>_xlfn.IFNA(VLOOKUP($C35,logos!$A$2:$D$1025,4,FALSE),"")</f>
        <v>Global</v>
      </c>
      <c r="H35" s="5" t="s">
        <v>19</v>
      </c>
      <c r="I35" s="5" t="s">
        <v>20</v>
      </c>
      <c r="J35" s="5" t="s">
        <v>21</v>
      </c>
      <c r="K35" s="2" t="str" cm="1">
        <f t="array" ref="K35">INDEX(stations!$B$1:$B$9974,MATCH(1,(stations!$A$1:$A$9974=master!$R35)*(stations!$E$1:$E$9974=master!$S35)*(stations!$B$1:$B$9974=master!$T35),0))</f>
        <v>48s</v>
      </c>
      <c r="L35" s="5" t="s">
        <v>23</v>
      </c>
      <c r="M35" t="s">
        <v>24</v>
      </c>
      <c r="O35" t="s">
        <v>25</v>
      </c>
      <c r="P35" s="2" t="b">
        <f>ISERROR(VLOOKUP($C35,logos!$A$2:$A$10003,1,FALSE))</f>
        <v>0</v>
      </c>
      <c r="Q35" s="2" t="str">
        <f>_xlfn.IFNA(VLOOKUP($C35,logos!$A$2:$B$10003,2,FALSE),"")</f>
        <v>LBC (UK).jpg</v>
      </c>
      <c r="R35" s="2" t="str">
        <f t="shared" si="1"/>
        <v>LBC (UK)</v>
      </c>
      <c r="S35" s="5" t="s">
        <v>6065</v>
      </c>
      <c r="T35" s="5" t="s">
        <v>1662</v>
      </c>
      <c r="U35" t="str" cm="1">
        <f t="array" ref="U35">INDEX(stations!$A$1:$A$9974,MATCH(1,(stations!$A$1:$A$9974=master!$R35)*(stations!$E$1:$E$9974=master!$S35)*(stations!$B$1:$B$9974=master!$T35),0))</f>
        <v>LBC (UK)</v>
      </c>
    </row>
    <row r="36" spans="1:21" hidden="1" x14ac:dyDescent="0.55000000000000004">
      <c r="A36">
        <v>534</v>
      </c>
      <c r="B36" s="2" t="str" cm="1">
        <f t="array" ref="B36">INDEX(stations!$C$1:$C$9974,MATCH(1,(stations!$A$1:$A$9974=master!$R36)*(stations!$E$1:$E$9974=master!$S36)*(stations!$B$1:$B$9974=master!$T36),0))</f>
        <v>http://media-the.musicradio.com:80/LBCNewsUK</v>
      </c>
      <c r="C36" s="5" t="s">
        <v>2767</v>
      </c>
      <c r="D36" t="s">
        <v>17</v>
      </c>
      <c r="E36" t="s">
        <v>18</v>
      </c>
      <c r="G36" s="2" t="str">
        <f>_xlfn.IFNA(VLOOKUP($C36,logos!$A$2:$D$1025,4,FALSE),"")</f>
        <v>Global</v>
      </c>
      <c r="H36" s="5" t="s">
        <v>19</v>
      </c>
      <c r="I36" s="5" t="s">
        <v>20</v>
      </c>
      <c r="J36" s="5" t="s">
        <v>21</v>
      </c>
      <c r="K36" s="2" t="str" cm="1">
        <f t="array" ref="K36">INDEX(stations!$B$1:$B$9974,MATCH(1,(stations!$A$1:$A$9974=master!$R36)*(stations!$E$1:$E$9974=master!$S36)*(stations!$B$1:$B$9974=master!$T36),0))</f>
        <v>48s</v>
      </c>
      <c r="L36" s="5" t="s">
        <v>23</v>
      </c>
      <c r="M36" t="s">
        <v>24</v>
      </c>
      <c r="O36" t="s">
        <v>25</v>
      </c>
      <c r="P36" s="2" t="b">
        <f>ISERROR(VLOOKUP($C36,logos!$A$2:$A$10003,1,FALSE))</f>
        <v>0</v>
      </c>
      <c r="Q36" s="2" t="str">
        <f>_xlfn.IFNA(VLOOKUP($C36,logos!$A$2:$B$10003,2,FALSE),"")</f>
        <v>LBC News (UK).jpg</v>
      </c>
      <c r="R36" s="2" t="str">
        <f t="shared" si="1"/>
        <v>LBC News (UK)</v>
      </c>
      <c r="S36" s="5" t="s">
        <v>6065</v>
      </c>
      <c r="T36" s="5" t="s">
        <v>1662</v>
      </c>
      <c r="U36" t="str" cm="1">
        <f t="array" ref="U36">INDEX(stations!$A$1:$A$9974,MATCH(1,(stations!$A$1:$A$9974=master!$R36)*(stations!$E$1:$E$9974=master!$S36)*(stations!$B$1:$B$9974=master!$T36),0))</f>
        <v>LBC News (UK)</v>
      </c>
    </row>
    <row r="37" spans="1:21" hidden="1" x14ac:dyDescent="0.55000000000000004">
      <c r="A37">
        <v>535</v>
      </c>
      <c r="B37" s="2" t="str" cm="1">
        <f t="array" ref="B37">INDEX(stations!$C$1:$C$9974,MATCH(1,(stations!$A$1:$A$9974=master!$R37)*(stations!$E$1:$E$9974=master!$S37)*(stations!$B$1:$B$9974=master!$T37),0))</f>
        <v>http://stream.radioparadise.com/mp3-192</v>
      </c>
      <c r="C37" s="5" t="s">
        <v>6062</v>
      </c>
      <c r="D37" t="s">
        <v>17</v>
      </c>
      <c r="E37" t="s">
        <v>18</v>
      </c>
      <c r="G37" s="2" t="str">
        <f>_xlfn.IFNA(VLOOKUP($C37,logos!$A$2:$D$1025,4,FALSE),"")</f>
        <v xml:space="preserve"> </v>
      </c>
      <c r="H37" s="5" t="s">
        <v>19</v>
      </c>
      <c r="I37" s="5" t="s">
        <v>20</v>
      </c>
      <c r="J37" s="5" t="s">
        <v>21</v>
      </c>
      <c r="K37" s="2" t="str" cm="1">
        <f t="array" ref="K37">INDEX(stations!$B$1:$B$9974,MATCH(1,(stations!$A$1:$A$9974=master!$R37)*(stations!$E$1:$E$9974=master!$S37)*(stations!$B$1:$B$9974=master!$T37),0))</f>
        <v>192s</v>
      </c>
      <c r="L37" s="5" t="s">
        <v>23</v>
      </c>
      <c r="M37" t="s">
        <v>24</v>
      </c>
      <c r="O37" t="s">
        <v>25</v>
      </c>
      <c r="P37" s="2" t="b">
        <f>ISERROR(VLOOKUP($C37,logos!$A$2:$A$10003,1,FALSE))</f>
        <v>0</v>
      </c>
      <c r="Q37" s="2" t="str">
        <f>_xlfn.IFNA(VLOOKUP($C37,logos!$A$2:$B$10003,2,FALSE),"")</f>
        <v>Radio Paradise.png</v>
      </c>
      <c r="R37" s="2" t="str">
        <f t="shared" si="1"/>
        <v>Radio Paradise</v>
      </c>
      <c r="S37" s="5" t="s">
        <v>23</v>
      </c>
      <c r="T37" s="5" t="s">
        <v>1669</v>
      </c>
      <c r="U37" t="str" cm="1">
        <f t="array" ref="U37">INDEX(stations!$A$1:$A$9974,MATCH(1,(stations!$A$1:$A$9974=master!$R37)*(stations!$E$1:$E$9974=master!$S37)*(stations!$B$1:$B$9974=master!$T37),0))</f>
        <v>Radio Paradise</v>
      </c>
    </row>
    <row r="38" spans="1:21" hidden="1" x14ac:dyDescent="0.55000000000000004">
      <c r="A38">
        <v>536</v>
      </c>
      <c r="B38" s="2" t="str" cm="1">
        <f t="array" ref="B38">INDEX(stations!$C$1:$C$9974,MATCH(1,(stations!$A$1:$A$9974=master!$R38)*(stations!$E$1:$E$9974=master!$S38)*(stations!$B$1:$B$9974=master!$T38),0))</f>
        <v>http://icecast.thisisdax.com/RadioXUK</v>
      </c>
      <c r="C38" s="5" t="s">
        <v>2802</v>
      </c>
      <c r="D38" t="s">
        <v>17</v>
      </c>
      <c r="E38" t="s">
        <v>18</v>
      </c>
      <c r="G38" s="2" t="str">
        <f>_xlfn.IFNA(VLOOKUP($C38,logos!$A$2:$D$1025,4,FALSE),"")</f>
        <v>Global</v>
      </c>
      <c r="H38" s="5" t="s">
        <v>19</v>
      </c>
      <c r="I38" s="5" t="s">
        <v>20</v>
      </c>
      <c r="J38" s="5" t="s">
        <v>21</v>
      </c>
      <c r="K38" s="2" t="str" cm="1">
        <f t="array" ref="K38">INDEX(stations!$B$1:$B$9974,MATCH(1,(stations!$A$1:$A$9974=master!$R38)*(stations!$E$1:$E$9974=master!$S38)*(stations!$B$1:$B$9974=master!$T38),0))</f>
        <v>48s</v>
      </c>
      <c r="L38" s="5" t="s">
        <v>23</v>
      </c>
      <c r="M38" t="s">
        <v>24</v>
      </c>
      <c r="O38" t="s">
        <v>25</v>
      </c>
      <c r="P38" s="2" t="b">
        <f>ISERROR(VLOOKUP($C38,logos!$A$2:$A$10003,1,FALSE))</f>
        <v>0</v>
      </c>
      <c r="Q38" s="2" t="str">
        <f>_xlfn.IFNA(VLOOKUP($C38,logos!$A$2:$B$10003,2,FALSE),"")</f>
        <v>Radio X (UK).jpg</v>
      </c>
      <c r="R38" s="2" t="str">
        <f t="shared" si="1"/>
        <v>Radio X (UK)</v>
      </c>
      <c r="S38" s="5" t="s">
        <v>2609</v>
      </c>
      <c r="T38" s="5" t="s">
        <v>1662</v>
      </c>
      <c r="U38" t="str" cm="1">
        <f t="array" ref="U38">INDEX(stations!$A$1:$A$9974,MATCH(1,(stations!$A$1:$A$9974=master!$R38)*(stations!$E$1:$E$9974=master!$S38)*(stations!$B$1:$B$9974=master!$T38),0))</f>
        <v>Radio X (UK)</v>
      </c>
    </row>
    <row r="39" spans="1:21" hidden="1" x14ac:dyDescent="0.55000000000000004">
      <c r="A39">
        <v>537</v>
      </c>
      <c r="B39" s="2" t="str" cm="1">
        <f t="array" ref="B39">INDEX(stations!$C$1:$C$9974,MATCH(1,(stations!$A$1:$A$9974=master!$R39)*(stations!$E$1:$E$9974=master!$S39)*(stations!$B$1:$B$9974=master!$T39),0))</f>
        <v>http://edge-bauerall-01-gos2.sharp-stream.com/rock.mp3</v>
      </c>
      <c r="C39" s="5" t="s">
        <v>1082</v>
      </c>
      <c r="D39" t="s">
        <v>17</v>
      </c>
      <c r="E39" t="s">
        <v>18</v>
      </c>
      <c r="G39" s="2" t="str">
        <f>_xlfn.IFNA(VLOOKUP($C39,logos!$A$2:$D$1025,4,FALSE),"")</f>
        <v>Bauer Media</v>
      </c>
      <c r="H39" s="5" t="s">
        <v>19</v>
      </c>
      <c r="I39" s="5" t="s">
        <v>20</v>
      </c>
      <c r="J39" s="5" t="s">
        <v>21</v>
      </c>
      <c r="K39" s="2" t="str" cm="1">
        <f t="array" ref="K39">INDEX(stations!$B$1:$B$9974,MATCH(1,(stations!$A$1:$A$9974=master!$R39)*(stations!$E$1:$E$9974=master!$S39)*(stations!$B$1:$B$9974=master!$T39),0))</f>
        <v>112s</v>
      </c>
      <c r="L39" s="5" t="s">
        <v>23</v>
      </c>
      <c r="M39" t="s">
        <v>24</v>
      </c>
      <c r="O39" t="s">
        <v>25</v>
      </c>
      <c r="P39" s="2" t="b">
        <f>ISERROR(VLOOKUP($C39,logos!$A$2:$A$10003,1,FALSE))</f>
        <v>0</v>
      </c>
      <c r="Q39" s="2" t="str">
        <f>_xlfn.IFNA(VLOOKUP($C39,logos!$A$2:$B$10003,2,FALSE),"")</f>
        <v>Rock FM.jpg</v>
      </c>
      <c r="R39" s="2" t="str">
        <f t="shared" si="1"/>
        <v>Rock FM</v>
      </c>
      <c r="S39" s="5" t="s">
        <v>23</v>
      </c>
      <c r="T39" s="5" t="s">
        <v>1692</v>
      </c>
      <c r="U39" t="str" cm="1">
        <f t="array" ref="U39">INDEX(stations!$A$1:$A$9974,MATCH(1,(stations!$A$1:$A$9974=master!$R39)*(stations!$E$1:$E$9974=master!$S39)*(stations!$B$1:$B$9974=master!$T39),0))</f>
        <v>Rock FM</v>
      </c>
    </row>
    <row r="40" spans="1:21" hidden="1" x14ac:dyDescent="0.55000000000000004">
      <c r="A40">
        <v>538</v>
      </c>
      <c r="B40" s="2" t="str" cm="1">
        <f t="array" ref="B40">INDEX(stations!$C$1:$C$9974,MATCH(1,(stations!$A$1:$A$9974=master!$R40)*(stations!$E$1:$E$9974=master!$S40)*(stations!$B$1:$B$9974=master!$T40),0))</f>
        <v>http://icecast.thisisdax.com/SmoothChill</v>
      </c>
      <c r="C40" s="5" t="s">
        <v>1122</v>
      </c>
      <c r="D40" t="s">
        <v>17</v>
      </c>
      <c r="E40" t="s">
        <v>18</v>
      </c>
      <c r="G40" s="2" t="str">
        <f>_xlfn.IFNA(VLOOKUP($C40,logos!$A$2:$D$1025,4,FALSE),"")</f>
        <v>Global</v>
      </c>
      <c r="H40" s="5" t="s">
        <v>19</v>
      </c>
      <c r="I40" s="5" t="s">
        <v>20</v>
      </c>
      <c r="J40" s="5" t="s">
        <v>21</v>
      </c>
      <c r="K40" s="2" t="str" cm="1">
        <f t="array" ref="K40">INDEX(stations!$B$1:$B$9974,MATCH(1,(stations!$A$1:$A$9974=master!$R40)*(stations!$E$1:$E$9974=master!$S40)*(stations!$B$1:$B$9974=master!$T40),0))</f>
        <v>48s</v>
      </c>
      <c r="L40" s="5" t="s">
        <v>23</v>
      </c>
      <c r="M40" t="s">
        <v>24</v>
      </c>
      <c r="O40" t="s">
        <v>25</v>
      </c>
      <c r="P40" s="2" t="b">
        <f>ISERROR(VLOOKUP($C40,logos!$A$2:$A$10003,1,FALSE))</f>
        <v>0</v>
      </c>
      <c r="Q40" s="2" t="str">
        <f>_xlfn.IFNA(VLOOKUP($C40,logos!$A$2:$B$10003,2,FALSE),"")</f>
        <v>Smooth Chill.jpg</v>
      </c>
      <c r="R40" s="2" t="str">
        <f t="shared" si="1"/>
        <v>Smooth Chill</v>
      </c>
      <c r="S40" s="5" t="s">
        <v>2609</v>
      </c>
      <c r="T40" s="5" t="s">
        <v>1662</v>
      </c>
      <c r="U40" t="str" cm="1">
        <f t="array" ref="U40">INDEX(stations!$A$1:$A$9974,MATCH(1,(stations!$A$1:$A$9974=master!$R40)*(stations!$E$1:$E$9974=master!$S40)*(stations!$B$1:$B$9974=master!$T40),0))</f>
        <v>Smooth Chill</v>
      </c>
    </row>
    <row r="41" spans="1:21" hidden="1" x14ac:dyDescent="0.55000000000000004">
      <c r="A41">
        <v>539</v>
      </c>
      <c r="B41" s="2" t="str" cm="1">
        <f t="array" ref="B41">INDEX(stations!$C$1:$C$9974,MATCH(1,(stations!$A$1:$A$9974=master!$R41)*(stations!$E$1:$E$9974=master!$S41)*(stations!$B$1:$B$9974=master!$T41),0))</f>
        <v>http://icecast.thisisdax.com/SmoothCountry</v>
      </c>
      <c r="C41" s="5" t="s">
        <v>1125</v>
      </c>
      <c r="D41" t="s">
        <v>17</v>
      </c>
      <c r="E41" t="s">
        <v>18</v>
      </c>
      <c r="G41" s="2" t="str">
        <f>_xlfn.IFNA(VLOOKUP($C41,logos!$A$2:$D$1025,4,FALSE),"")</f>
        <v>Global</v>
      </c>
      <c r="H41" s="5" t="s">
        <v>19</v>
      </c>
      <c r="I41" s="5" t="s">
        <v>20</v>
      </c>
      <c r="J41" s="5" t="s">
        <v>21</v>
      </c>
      <c r="K41" s="2" t="str" cm="1">
        <f t="array" ref="K41">INDEX(stations!$B$1:$B$9974,MATCH(1,(stations!$A$1:$A$9974=master!$R41)*(stations!$E$1:$E$9974=master!$S41)*(stations!$B$1:$B$9974=master!$T41),0))</f>
        <v>48s</v>
      </c>
      <c r="L41" s="5" t="s">
        <v>23</v>
      </c>
      <c r="M41" t="s">
        <v>24</v>
      </c>
      <c r="O41" t="s">
        <v>25</v>
      </c>
      <c r="P41" s="2" t="b">
        <f>ISERROR(VLOOKUP($C41,logos!$A$2:$A$10003,1,FALSE))</f>
        <v>0</v>
      </c>
      <c r="Q41" s="2" t="str">
        <f>_xlfn.IFNA(VLOOKUP($C41,logos!$A$2:$B$10003,2,FALSE),"")</f>
        <v>Smooth Country.jpg</v>
      </c>
      <c r="R41" s="2" t="str">
        <f t="shared" si="1"/>
        <v>Smooth Country</v>
      </c>
      <c r="S41" s="5" t="s">
        <v>2609</v>
      </c>
      <c r="T41" s="5" t="s">
        <v>1662</v>
      </c>
      <c r="U41" t="str" cm="1">
        <f t="array" ref="U41">INDEX(stations!$A$1:$A$9974,MATCH(1,(stations!$A$1:$A$9974=master!$R41)*(stations!$E$1:$E$9974=master!$S41)*(stations!$B$1:$B$9974=master!$T41),0))</f>
        <v>Smooth Country</v>
      </c>
    </row>
    <row r="42" spans="1:21" hidden="1" x14ac:dyDescent="0.55000000000000004">
      <c r="A42">
        <v>540</v>
      </c>
      <c r="B42" s="2" t="str" cm="1">
        <f t="array" ref="B42">INDEX(stations!$C$1:$C$9974,MATCH(1,(stations!$A$1:$A$9974=master!$R42)*(stations!$E$1:$E$9974=master!$S42)*(stations!$B$1:$B$9974=master!$T42),0))</f>
        <v>http://icecast.thisisdax.com/SmoothLakeDistrict</v>
      </c>
      <c r="C42" s="5" t="s">
        <v>2813</v>
      </c>
      <c r="D42" t="s">
        <v>17</v>
      </c>
      <c r="E42" t="s">
        <v>18</v>
      </c>
      <c r="G42" s="2" t="str">
        <f>_xlfn.IFNA(VLOOKUP($C42,logos!$A$2:$D$1025,4,FALSE),"")</f>
        <v>Global</v>
      </c>
      <c r="H42" s="5" t="s">
        <v>19</v>
      </c>
      <c r="I42" s="5" t="s">
        <v>20</v>
      </c>
      <c r="J42" s="5" t="s">
        <v>21</v>
      </c>
      <c r="K42" s="2" t="str" cm="1">
        <f t="array" ref="K42">INDEX(stations!$B$1:$B$9974,MATCH(1,(stations!$A$1:$A$9974=master!$R42)*(stations!$E$1:$E$9974=master!$S42)*(stations!$B$1:$B$9974=master!$T42),0))</f>
        <v>48s</v>
      </c>
      <c r="L42" s="5" t="s">
        <v>23</v>
      </c>
      <c r="M42" t="s">
        <v>24</v>
      </c>
      <c r="O42" t="s">
        <v>25</v>
      </c>
      <c r="P42" s="2" t="b">
        <f>ISERROR(VLOOKUP($C42,logos!$A$2:$A$10003,1,FALSE))</f>
        <v>0</v>
      </c>
      <c r="Q42" s="2" t="str">
        <f>_xlfn.IFNA(VLOOKUP($C42,logos!$A$2:$B$10003,2,FALSE),"")</f>
        <v>Smooth Radio (Lake District).jpg</v>
      </c>
      <c r="R42" s="2" t="str">
        <f t="shared" si="1"/>
        <v>Smooth Radio (Lake District)</v>
      </c>
      <c r="S42" s="5" t="s">
        <v>2609</v>
      </c>
      <c r="T42" s="5" t="s">
        <v>1662</v>
      </c>
      <c r="U42" t="str" cm="1">
        <f t="array" ref="U42">INDEX(stations!$A$1:$A$9974,MATCH(1,(stations!$A$1:$A$9974=master!$R42)*(stations!$E$1:$E$9974=master!$S42)*(stations!$B$1:$B$9974=master!$T42),0))</f>
        <v>Smooth Radio (Lake District)</v>
      </c>
    </row>
    <row r="43" spans="1:21" hidden="1" x14ac:dyDescent="0.55000000000000004">
      <c r="A43">
        <v>541</v>
      </c>
      <c r="B43" s="2" t="str" cm="1">
        <f t="array" ref="B43">INDEX(stations!$C$1:$C$9974,MATCH(1,(stations!$A$1:$A$9974=master!$R43)*(stations!$E$1:$E$9974=master!$S43)*(stations!$B$1:$B$9974=master!$T43),0))</f>
        <v>http://icecast.thisisdax.com/SmoothUK</v>
      </c>
      <c r="C43" s="5" t="s">
        <v>2826</v>
      </c>
      <c r="D43" t="s">
        <v>17</v>
      </c>
      <c r="E43" t="s">
        <v>18</v>
      </c>
      <c r="G43" s="2" t="str">
        <f>_xlfn.IFNA(VLOOKUP($C43,logos!$A$2:$D$1025,4,FALSE),"")</f>
        <v>Global</v>
      </c>
      <c r="H43" s="5" t="s">
        <v>19</v>
      </c>
      <c r="I43" s="5" t="s">
        <v>20</v>
      </c>
      <c r="J43" s="5" t="s">
        <v>21</v>
      </c>
      <c r="K43" s="2" t="str" cm="1">
        <f t="array" ref="K43">INDEX(stations!$B$1:$B$9974,MATCH(1,(stations!$A$1:$A$9974=master!$R43)*(stations!$E$1:$E$9974=master!$S43)*(stations!$B$1:$B$9974=master!$T43),0))</f>
        <v>48s</v>
      </c>
      <c r="L43" s="5" t="s">
        <v>23</v>
      </c>
      <c r="M43" t="s">
        <v>24</v>
      </c>
      <c r="O43" t="s">
        <v>25</v>
      </c>
      <c r="P43" s="2" t="b">
        <f>ISERROR(VLOOKUP($C43,logos!$A$2:$A$10003,1,FALSE))</f>
        <v>0</v>
      </c>
      <c r="Q43" s="2" t="str">
        <f>_xlfn.IFNA(VLOOKUP($C43,logos!$A$2:$B$10003,2,FALSE),"")</f>
        <v>Smooth Radio (UK).jpg</v>
      </c>
      <c r="R43" s="2" t="str">
        <f t="shared" si="1"/>
        <v>Smooth Radio (UK)</v>
      </c>
      <c r="S43" s="5" t="s">
        <v>2609</v>
      </c>
      <c r="T43" s="5" t="s">
        <v>1662</v>
      </c>
      <c r="U43" t="str" cm="1">
        <f t="array" ref="U43">INDEX(stations!$A$1:$A$9974,MATCH(1,(stations!$A$1:$A$9974=master!$R43)*(stations!$E$1:$E$9974=master!$S43)*(stations!$B$1:$B$9974=master!$T43),0))</f>
        <v>Smooth Radio (UK)</v>
      </c>
    </row>
    <row r="44" spans="1:21" hidden="1" x14ac:dyDescent="0.55000000000000004">
      <c r="A44">
        <v>542</v>
      </c>
      <c r="B44" s="2" t="str" cm="1">
        <f t="array" ref="B44">INDEX(stations!$C$1:$C$9974,MATCH(1,(stations!$A$1:$A$9974=master!$R44)*(stations!$E$1:$E$9974=master!$S44)*(stations!$B$1:$B$9974=master!$T44),0))</f>
        <v>http://radio.talkradio.co.uk/stream-mobile?ref=rf</v>
      </c>
      <c r="C44" s="5" t="s">
        <v>1239</v>
      </c>
      <c r="D44" t="s">
        <v>17</v>
      </c>
      <c r="E44" t="s">
        <v>18</v>
      </c>
      <c r="G44" s="2" t="str">
        <f>_xlfn.IFNA(VLOOKUP($C44,logos!$A$2:$D$1025,4,FALSE),"")</f>
        <v>Wireless</v>
      </c>
      <c r="H44" s="5" t="s">
        <v>19</v>
      </c>
      <c r="I44" s="5" t="s">
        <v>20</v>
      </c>
      <c r="J44" s="5" t="s">
        <v>21</v>
      </c>
      <c r="K44" s="2" t="str" cm="1">
        <f t="array" ref="K44">INDEX(stations!$B$1:$B$9974,MATCH(1,(stations!$A$1:$A$9974=master!$R44)*(stations!$E$1:$E$9974=master!$S44)*(stations!$B$1:$B$9974=master!$T44),0))</f>
        <v>32m</v>
      </c>
      <c r="L44" s="5" t="s">
        <v>23</v>
      </c>
      <c r="M44" t="s">
        <v>24</v>
      </c>
      <c r="O44" t="s">
        <v>25</v>
      </c>
      <c r="P44" s="2" t="b">
        <f>ISERROR(VLOOKUP($C44,logos!$A$2:$A$10003,1,FALSE))</f>
        <v>0</v>
      </c>
      <c r="Q44" s="2" t="str">
        <f>_xlfn.IFNA(VLOOKUP($C44,logos!$A$2:$B$10003,2,FALSE),"")</f>
        <v>TalkRadio.png</v>
      </c>
      <c r="R44" s="2" t="str">
        <f t="shared" si="1"/>
        <v>TalkRadio</v>
      </c>
      <c r="S44" s="5" t="s">
        <v>2609</v>
      </c>
      <c r="T44" s="5" t="s">
        <v>1687</v>
      </c>
      <c r="U44" t="str" cm="1">
        <f t="array" ref="U44">INDEX(stations!$A$1:$A$9974,MATCH(1,(stations!$A$1:$A$9974=master!$R44)*(stations!$E$1:$E$9974=master!$S44)*(stations!$B$1:$B$9974=master!$T44),0))</f>
        <v>TalkRadio</v>
      </c>
    </row>
    <row r="45" spans="1:21" hidden="1" x14ac:dyDescent="0.55000000000000004">
      <c r="A45">
        <v>543</v>
      </c>
      <c r="B45" s="2" t="str" cm="1">
        <f t="array" ref="B45">INDEX(stations!$C$1:$C$9974,MATCH(1,(stations!$A$1:$A$9974=master!$R45)*(stations!$E$1:$E$9974=master!$S45)*(stations!$B$1:$B$9974=master!$T45),0))</f>
        <v>http://radio.talksport.com/stream-mobile?ref=rf</v>
      </c>
      <c r="C45" s="5" t="s">
        <v>2830</v>
      </c>
      <c r="D45" t="s">
        <v>17</v>
      </c>
      <c r="E45" t="s">
        <v>18</v>
      </c>
      <c r="G45" s="2" t="str">
        <f>_xlfn.IFNA(VLOOKUP($C45,logos!$A$2:$D$1025,4,FALSE),"")</f>
        <v>Wireless</v>
      </c>
      <c r="H45" s="5" t="s">
        <v>19</v>
      </c>
      <c r="I45" s="5" t="s">
        <v>20</v>
      </c>
      <c r="J45" s="5" t="s">
        <v>21</v>
      </c>
      <c r="K45" s="2" t="str" cm="1">
        <f t="array" ref="K45">INDEX(stations!$B$1:$B$9974,MATCH(1,(stations!$A$1:$A$9974=master!$R45)*(stations!$E$1:$E$9974=master!$S45)*(stations!$B$1:$B$9974=master!$T45),0))</f>
        <v>32m</v>
      </c>
      <c r="L45" s="5" t="s">
        <v>23</v>
      </c>
      <c r="M45" t="s">
        <v>24</v>
      </c>
      <c r="O45" t="s">
        <v>25</v>
      </c>
      <c r="P45" s="2" t="b">
        <f>ISERROR(VLOOKUP($C45,logos!$A$2:$A$10003,1,FALSE))</f>
        <v>0</v>
      </c>
      <c r="Q45" s="2" t="str">
        <f>_xlfn.IFNA(VLOOKUP($C45,logos!$A$2:$B$10003,2,FALSE),"")</f>
        <v>talkSPORT (UK).png</v>
      </c>
      <c r="R45" s="2" t="str">
        <f t="shared" si="1"/>
        <v>talkSPORT (UK)</v>
      </c>
      <c r="S45" s="5" t="s">
        <v>2609</v>
      </c>
      <c r="T45" s="5" t="s">
        <v>1687</v>
      </c>
      <c r="U45" t="str" cm="1">
        <f t="array" ref="U45">INDEX(stations!$A$1:$A$9974,MATCH(1,(stations!$A$1:$A$9974=master!$R45)*(stations!$E$1:$E$9974=master!$S45)*(stations!$B$1:$B$9974=master!$T45),0))</f>
        <v>talkSPORT (UK)</v>
      </c>
    </row>
    <row r="46" spans="1:21" hidden="1" x14ac:dyDescent="0.55000000000000004">
      <c r="A46">
        <v>544</v>
      </c>
      <c r="B46" s="2" t="str" cm="1">
        <f t="array" ref="B46">INDEX(stations!$C$1:$C$9974,MATCH(1,(stations!$A$1:$A$9974=master!$R46)*(stations!$E$1:$E$9974=master!$S46)*(stations!$B$1:$B$9974=master!$T46),0))</f>
        <v>http://radio.talksport.com/stream2?ref=rf</v>
      </c>
      <c r="C46" s="5" t="s">
        <v>1243</v>
      </c>
      <c r="D46" t="s">
        <v>17</v>
      </c>
      <c r="E46" t="s">
        <v>18</v>
      </c>
      <c r="G46" s="2" t="str">
        <f>_xlfn.IFNA(VLOOKUP($C46,logos!$A$2:$D$1025,4,FALSE),"")</f>
        <v>Wireless</v>
      </c>
      <c r="H46" s="5" t="s">
        <v>19</v>
      </c>
      <c r="I46" s="5" t="s">
        <v>20</v>
      </c>
      <c r="J46" s="5" t="s">
        <v>21</v>
      </c>
      <c r="K46" s="2" t="str" cm="1">
        <f t="array" ref="K46">INDEX(stations!$B$1:$B$9974,MATCH(1,(stations!$A$1:$A$9974=master!$R46)*(stations!$E$1:$E$9974=master!$S46)*(stations!$B$1:$B$9974=master!$T46),0))</f>
        <v>128s</v>
      </c>
      <c r="L46" s="5" t="s">
        <v>23</v>
      </c>
      <c r="M46" t="s">
        <v>24</v>
      </c>
      <c r="O46" t="s">
        <v>25</v>
      </c>
      <c r="P46" s="2" t="b">
        <f>ISERROR(VLOOKUP($C46,logos!$A$2:$A$10003,1,FALSE))</f>
        <v>0</v>
      </c>
      <c r="Q46" s="2" t="str">
        <f>_xlfn.IFNA(VLOOKUP($C46,logos!$A$2:$B$10003,2,FALSE),"")</f>
        <v>talkSPORT 2.png</v>
      </c>
      <c r="R46" s="2" t="str">
        <f t="shared" si="1"/>
        <v>talkSPORT 2</v>
      </c>
      <c r="S46" s="5" t="s">
        <v>23</v>
      </c>
      <c r="T46" s="5" t="s">
        <v>1663</v>
      </c>
      <c r="U46" t="str" cm="1">
        <f t="array" ref="U46">INDEX(stations!$A$1:$A$9974,MATCH(1,(stations!$A$1:$A$9974=master!$R46)*(stations!$E$1:$E$9974=master!$S46)*(stations!$B$1:$B$9974=master!$T46),0))</f>
        <v>talkSPORT 2</v>
      </c>
    </row>
    <row r="47" spans="1:21" hidden="1" x14ac:dyDescent="0.55000000000000004">
      <c r="A47">
        <v>545</v>
      </c>
      <c r="B47" s="2" t="str" cm="1">
        <f t="array" ref="B47">INDEX(stations!$C$1:$C$9974,MATCH(1,(stations!$A$1:$A$9974=master!$R47)*(stations!$E$1:$E$9974=master!$S47)*(stations!$B$1:$B$9974=master!$T47),0))</f>
        <v>http://radio.virginradio.co.uk/stream?ref=rf</v>
      </c>
      <c r="C47" s="5" t="s">
        <v>1305</v>
      </c>
      <c r="D47" t="s">
        <v>17</v>
      </c>
      <c r="E47" t="s">
        <v>18</v>
      </c>
      <c r="G47" s="2" t="str">
        <f>_xlfn.IFNA(VLOOKUP($C47,logos!$A$2:$D$1025,4,FALSE),"")</f>
        <v>Wireless</v>
      </c>
      <c r="H47" s="5" t="s">
        <v>19</v>
      </c>
      <c r="I47" s="5" t="s">
        <v>20</v>
      </c>
      <c r="J47" s="5" t="s">
        <v>21</v>
      </c>
      <c r="K47" s="2" t="str" cm="1">
        <f t="array" ref="K47">INDEX(stations!$B$1:$B$9974,MATCH(1,(stations!$A$1:$A$9974=master!$R47)*(stations!$E$1:$E$9974=master!$S47)*(stations!$B$1:$B$9974=master!$T47),0))</f>
        <v>128s</v>
      </c>
      <c r="L47" s="5" t="s">
        <v>23</v>
      </c>
      <c r="M47" t="s">
        <v>24</v>
      </c>
      <c r="O47" t="s">
        <v>25</v>
      </c>
      <c r="P47" s="2" t="b">
        <f>ISERROR(VLOOKUP($C47,logos!$A$2:$A$10003,1,FALSE))</f>
        <v>0</v>
      </c>
      <c r="Q47" s="2" t="str">
        <f>_xlfn.IFNA(VLOOKUP($C47,logos!$A$2:$B$10003,2,FALSE),"")</f>
        <v>Virgin Radio.png</v>
      </c>
      <c r="R47" s="2" t="str">
        <f t="shared" si="1"/>
        <v>Virgin Radio</v>
      </c>
      <c r="S47" s="5" t="s">
        <v>23</v>
      </c>
      <c r="T47" s="5" t="s">
        <v>1663</v>
      </c>
      <c r="U47" t="str" cm="1">
        <f t="array" ref="U47">INDEX(stations!$A$1:$A$9974,MATCH(1,(stations!$A$1:$A$9974=master!$R47)*(stations!$E$1:$E$9974=master!$S47)*(stations!$B$1:$B$9974=master!$T47),0))</f>
        <v>Virgin Radio</v>
      </c>
    </row>
    <row r="48" spans="1:21" hidden="1" x14ac:dyDescent="0.55000000000000004">
      <c r="A48">
        <v>546</v>
      </c>
      <c r="B48" s="2" t="str" cm="1">
        <f t="array" ref="B48">INDEX(stations!$C$1:$C$9974,MATCH(1,(stations!$A$1:$A$9974=master!$R48)*(stations!$E$1:$E$9974=master!$S48)*(stations!$B$1:$B$9974=master!$T48),0))</f>
        <v>http://radio.virginradio.co.uk/stream-pride?ref=rf</v>
      </c>
      <c r="C48" s="5" t="s">
        <v>1308</v>
      </c>
      <c r="D48" t="s">
        <v>17</v>
      </c>
      <c r="E48" t="s">
        <v>18</v>
      </c>
      <c r="G48" s="2" t="str">
        <f>_xlfn.IFNA(VLOOKUP($C48,logos!$A$2:$D$1025,4,FALSE),"")</f>
        <v>Wireless</v>
      </c>
      <c r="H48" s="5" t="s">
        <v>19</v>
      </c>
      <c r="I48" s="5" t="s">
        <v>20</v>
      </c>
      <c r="J48" s="5" t="s">
        <v>21</v>
      </c>
      <c r="K48" s="2" t="str" cm="1">
        <f t="array" ref="K48">INDEX(stations!$B$1:$B$9974,MATCH(1,(stations!$A$1:$A$9974=master!$R48)*(stations!$E$1:$E$9974=master!$S48)*(stations!$B$1:$B$9974=master!$T48),0))</f>
        <v>128s</v>
      </c>
      <c r="L48" s="5" t="s">
        <v>23</v>
      </c>
      <c r="M48" t="s">
        <v>24</v>
      </c>
      <c r="O48" t="s">
        <v>25</v>
      </c>
      <c r="P48" s="2" t="b">
        <f>ISERROR(VLOOKUP($C48,logos!$A$2:$A$10003,1,FALSE))</f>
        <v>0</v>
      </c>
      <c r="Q48" s="2" t="str">
        <f>_xlfn.IFNA(VLOOKUP($C48,logos!$A$2:$B$10003,2,FALSE),"")</f>
        <v>Virgin Radio 80s PLUS.png</v>
      </c>
      <c r="R48" s="2" t="str">
        <f t="shared" si="1"/>
        <v>Virgin Radio 80s PLUS</v>
      </c>
      <c r="S48" s="5" t="s">
        <v>23</v>
      </c>
      <c r="T48" s="5" t="s">
        <v>1663</v>
      </c>
      <c r="U48" t="str" cm="1">
        <f t="array" ref="U48">INDEX(stations!$A$1:$A$9974,MATCH(1,(stations!$A$1:$A$9974=master!$R48)*(stations!$E$1:$E$9974=master!$S48)*(stations!$B$1:$B$9974=master!$T48),0))</f>
        <v>Virgin Radio 80s PLUS</v>
      </c>
    </row>
    <row r="49" spans="1:21" hidden="1" x14ac:dyDescent="0.55000000000000004">
      <c r="A49">
        <v>547</v>
      </c>
      <c r="B49" s="2" t="str" cm="1">
        <f t="array" ref="B49">INDEX(stations!$C$1:$C$9974,MATCH(1,(stations!$A$1:$A$9974=master!$R49)*(stations!$E$1:$E$9974=master!$S49)*(stations!$B$1:$B$9974=master!$T49),0))</f>
        <v>http://radio.virginradio.co.uk/stream-anthems?ref=rf</v>
      </c>
      <c r="C49" s="5" t="s">
        <v>1310</v>
      </c>
      <c r="D49" t="s">
        <v>17</v>
      </c>
      <c r="E49" t="s">
        <v>18</v>
      </c>
      <c r="G49" s="2" t="str">
        <f>_xlfn.IFNA(VLOOKUP($C49,logos!$A$2:$D$1025,4,FALSE),"")</f>
        <v>Wireless</v>
      </c>
      <c r="H49" s="5" t="s">
        <v>19</v>
      </c>
      <c r="I49" s="5" t="s">
        <v>20</v>
      </c>
      <c r="J49" s="5" t="s">
        <v>21</v>
      </c>
      <c r="K49" s="2" t="str" cm="1">
        <f t="array" ref="K49">INDEX(stations!$B$1:$B$9974,MATCH(1,(stations!$A$1:$A$9974=master!$R49)*(stations!$E$1:$E$9974=master!$S49)*(stations!$B$1:$B$9974=master!$T49),0))</f>
        <v>128s</v>
      </c>
      <c r="L49" s="5" t="s">
        <v>23</v>
      </c>
      <c r="M49" t="s">
        <v>24</v>
      </c>
      <c r="O49" t="s">
        <v>25</v>
      </c>
      <c r="P49" s="2" t="b">
        <f>ISERROR(VLOOKUP($C49,logos!$A$2:$A$10003,1,FALSE))</f>
        <v>0</v>
      </c>
      <c r="Q49" s="2" t="str">
        <f>_xlfn.IFNA(VLOOKUP($C49,logos!$A$2:$B$10003,2,FALSE),"")</f>
        <v>Virgin Radio Anthems.png</v>
      </c>
      <c r="R49" s="2" t="str">
        <f t="shared" si="1"/>
        <v>Virgin Radio Anthems</v>
      </c>
      <c r="S49" s="5" t="s">
        <v>23</v>
      </c>
      <c r="T49" s="5" t="s">
        <v>1663</v>
      </c>
      <c r="U49" t="str" cm="1">
        <f t="array" ref="U49">INDEX(stations!$A$1:$A$9974,MATCH(1,(stations!$A$1:$A$9974=master!$R49)*(stations!$E$1:$E$9974=master!$S49)*(stations!$B$1:$B$9974=master!$T49),0))</f>
        <v>Virgin Radio Anthems</v>
      </c>
    </row>
    <row r="50" spans="1:21" hidden="1" x14ac:dyDescent="0.55000000000000004">
      <c r="A50">
        <v>548</v>
      </c>
      <c r="B50" s="2" t="str" cm="1">
        <f t="array" ref="B50">INDEX(stations!$C$1:$C$9974,MATCH(1,(stations!$A$1:$A$9974=master!$R50)*(stations!$E$1:$E$9974=master!$S50)*(stations!$B$1:$B$9974=master!$T50),0))</f>
        <v>http://radio.virginradio.co.uk/stream-chilled?ref=rf</v>
      </c>
      <c r="C50" s="5" t="s">
        <v>1312</v>
      </c>
      <c r="D50" t="s">
        <v>17</v>
      </c>
      <c r="E50" t="s">
        <v>18</v>
      </c>
      <c r="G50" s="2" t="str">
        <f>_xlfn.IFNA(VLOOKUP($C50,logos!$A$2:$D$1025,4,FALSE),"")</f>
        <v>Wireless</v>
      </c>
      <c r="H50" s="5" t="s">
        <v>19</v>
      </c>
      <c r="I50" s="5" t="s">
        <v>20</v>
      </c>
      <c r="J50" s="5" t="s">
        <v>21</v>
      </c>
      <c r="K50" s="2" t="str" cm="1">
        <f t="array" ref="K50">INDEX(stations!$B$1:$B$9974,MATCH(1,(stations!$A$1:$A$9974=master!$R50)*(stations!$E$1:$E$9974=master!$S50)*(stations!$B$1:$B$9974=master!$T50),0))</f>
        <v>128s</v>
      </c>
      <c r="L50" s="5" t="s">
        <v>23</v>
      </c>
      <c r="M50" t="s">
        <v>24</v>
      </c>
      <c r="O50" t="s">
        <v>25</v>
      </c>
      <c r="P50" s="2" t="b">
        <f>ISERROR(VLOOKUP($C50,logos!$A$2:$A$10003,1,FALSE))</f>
        <v>0</v>
      </c>
      <c r="Q50" s="2" t="str">
        <f>_xlfn.IFNA(VLOOKUP($C50,logos!$A$2:$B$10003,2,FALSE),"")</f>
        <v>Virgin Radio Chilled.png</v>
      </c>
      <c r="R50" s="2" t="str">
        <f t="shared" si="1"/>
        <v>Virgin Radio Chilled</v>
      </c>
      <c r="S50" s="5" t="s">
        <v>23</v>
      </c>
      <c r="T50" s="5" t="s">
        <v>1663</v>
      </c>
      <c r="U50" t="str" cm="1">
        <f t="array" ref="U50">INDEX(stations!$A$1:$A$9974,MATCH(1,(stations!$A$1:$A$9974=master!$R50)*(stations!$E$1:$E$9974=master!$S50)*(stations!$B$1:$B$9974=master!$T50),0))</f>
        <v>Virgin Radio Chilled</v>
      </c>
    </row>
    <row r="51" spans="1:21" hidden="1" x14ac:dyDescent="0.55000000000000004">
      <c r="A51">
        <v>549</v>
      </c>
      <c r="B51" s="2" t="str" cm="1">
        <f t="array" ref="B51">INDEX(stations!$C$1:$C$9974,MATCH(1,(stations!$A$1:$A$9974=master!$R51)*(stations!$E$1:$E$9974=master!$S51)*(stations!$B$1:$B$9974=master!$T51),0))</f>
        <v>http://edge-bauerall-01-gos2.sharp-stream.com/absoluteclassicrock.aac</v>
      </c>
      <c r="C51" s="5" t="s">
        <v>34</v>
      </c>
      <c r="D51" t="s">
        <v>17</v>
      </c>
      <c r="E51" t="s">
        <v>18</v>
      </c>
      <c r="G51" s="2" t="str">
        <f>_xlfn.IFNA(VLOOKUP($C51,logos!$A$2:$D$1025,4,FALSE),"")</f>
        <v>Bauer Media</v>
      </c>
      <c r="H51" s="5" t="s">
        <v>19</v>
      </c>
      <c r="I51" s="5" t="s">
        <v>20</v>
      </c>
      <c r="J51" s="5" t="s">
        <v>21</v>
      </c>
      <c r="K51" s="2" t="str" cm="1">
        <f t="array" ref="K51">INDEX(stations!$B$1:$B$9974,MATCH(1,(stations!$A$1:$A$9974=master!$R51)*(stations!$E$1:$E$9974=master!$S51)*(stations!$B$1:$B$9974=master!$T51),0))</f>
        <v>48s</v>
      </c>
      <c r="L51" s="5" t="s">
        <v>23</v>
      </c>
      <c r="M51" t="s">
        <v>24</v>
      </c>
      <c r="O51" t="s">
        <v>25</v>
      </c>
      <c r="P51" s="2" t="b">
        <f>ISERROR(VLOOKUP($C51,logos!$A$2:$A$10003,1,FALSE))</f>
        <v>0</v>
      </c>
      <c r="Q51" s="2" t="str">
        <f>_xlfn.IFNA(VLOOKUP($C51,logos!$A$2:$B$10003,2,FALSE),"")</f>
        <v>Absolute Classic Rock.jpg</v>
      </c>
      <c r="R51" s="2" t="str">
        <f t="shared" ref="R51:R78" si="2">C51</f>
        <v>Absolute Classic Rock</v>
      </c>
      <c r="S51" s="5" t="s">
        <v>6069</v>
      </c>
      <c r="T51" s="5" t="s">
        <v>1662</v>
      </c>
      <c r="U51" t="str" cm="1">
        <f t="array" ref="U51">INDEX(stations!$A$1:$A$9974,MATCH(1,(stations!$A$1:$A$9974=master!$R51)*(stations!$E$1:$E$9974=master!$S51)*(stations!$B$1:$B$9974=master!$T51),0))</f>
        <v>Absolute Classic Rock</v>
      </c>
    </row>
    <row r="52" spans="1:21" hidden="1" x14ac:dyDescent="0.55000000000000004">
      <c r="A52">
        <v>550</v>
      </c>
      <c r="B52" s="2" t="str" cm="1">
        <f t="array" ref="B52">INDEX(stations!$C$1:$C$9974,MATCH(1,(stations!$A$1:$A$9974=master!$R52)*(stations!$E$1:$E$9974=master!$S52)*(stations!$B$1:$B$9974=master!$T52),0))</f>
        <v>http://edge-bauerall-01-gos2.sharp-stream.com/absoluteradio.aac</v>
      </c>
      <c r="C52" s="5" t="s">
        <v>38</v>
      </c>
      <c r="D52" t="s">
        <v>17</v>
      </c>
      <c r="E52" t="s">
        <v>18</v>
      </c>
      <c r="G52" s="2" t="str">
        <f>_xlfn.IFNA(VLOOKUP($C52,logos!$A$2:$D$1025,4,FALSE),"")</f>
        <v>Bauer Media</v>
      </c>
      <c r="H52" s="5" t="s">
        <v>19</v>
      </c>
      <c r="I52" s="5" t="s">
        <v>20</v>
      </c>
      <c r="J52" s="5" t="s">
        <v>21</v>
      </c>
      <c r="K52" s="2" t="str" cm="1">
        <f t="array" ref="K52">INDEX(stations!$B$1:$B$9974,MATCH(1,(stations!$A$1:$A$9974=master!$R52)*(stations!$E$1:$E$9974=master!$S52)*(stations!$B$1:$B$9974=master!$T52),0))</f>
        <v>48s</v>
      </c>
      <c r="L52" s="5" t="s">
        <v>23</v>
      </c>
      <c r="M52" t="s">
        <v>24</v>
      </c>
      <c r="O52" t="s">
        <v>25</v>
      </c>
      <c r="P52" s="2" t="b">
        <f>ISERROR(VLOOKUP($C52,logos!$A$2:$A$10003,1,FALSE))</f>
        <v>0</v>
      </c>
      <c r="Q52" s="2" t="str">
        <f>_xlfn.IFNA(VLOOKUP($C52,logos!$A$2:$B$10003,2,FALSE),"")</f>
        <v>Absolute Radio.jpg</v>
      </c>
      <c r="R52" s="2" t="str">
        <f t="shared" si="2"/>
        <v>Absolute Radio</v>
      </c>
      <c r="S52" s="5" t="s">
        <v>6069</v>
      </c>
      <c r="T52" s="5" t="s">
        <v>1662</v>
      </c>
      <c r="U52" t="str" cm="1">
        <f t="array" ref="U52">INDEX(stations!$A$1:$A$9974,MATCH(1,(stations!$A$1:$A$9974=master!$R52)*(stations!$E$1:$E$9974=master!$S52)*(stations!$B$1:$B$9974=master!$T52),0))</f>
        <v>Absolute Radio</v>
      </c>
    </row>
    <row r="53" spans="1:21" hidden="1" x14ac:dyDescent="0.55000000000000004">
      <c r="A53">
        <v>551</v>
      </c>
      <c r="B53" s="2" t="str" cm="1">
        <f t="array" ref="B53">INDEX(stations!$C$1:$C$9974,MATCH(1,(stations!$A$1:$A$9974=master!$R53)*(stations!$E$1:$E$9974=master!$S53)*(stations!$B$1:$B$9974=master!$T53),0))</f>
        <v>http://edge-bauerall-01-gos2.sharp-stream.com/absolute00s.aac</v>
      </c>
      <c r="C53" s="5" t="s">
        <v>48</v>
      </c>
      <c r="D53" t="s">
        <v>17</v>
      </c>
      <c r="E53" t="s">
        <v>18</v>
      </c>
      <c r="G53" s="2" t="str">
        <f>_xlfn.IFNA(VLOOKUP($C53,logos!$A$2:$D$1025,4,FALSE),"")</f>
        <v>Bauer Media</v>
      </c>
      <c r="H53" s="5" t="s">
        <v>19</v>
      </c>
      <c r="I53" s="5" t="s">
        <v>20</v>
      </c>
      <c r="J53" s="5" t="s">
        <v>21</v>
      </c>
      <c r="K53" s="2" t="str" cm="1">
        <f t="array" ref="K53">INDEX(stations!$B$1:$B$9974,MATCH(1,(stations!$A$1:$A$9974=master!$R53)*(stations!$E$1:$E$9974=master!$S53)*(stations!$B$1:$B$9974=master!$T53),0))</f>
        <v>48s</v>
      </c>
      <c r="L53" s="5" t="s">
        <v>23</v>
      </c>
      <c r="M53" t="s">
        <v>24</v>
      </c>
      <c r="O53" t="s">
        <v>25</v>
      </c>
      <c r="P53" s="2" t="b">
        <f>ISERROR(VLOOKUP($C53,logos!$A$2:$A$10003,1,FALSE))</f>
        <v>0</v>
      </c>
      <c r="Q53" s="2" t="str">
        <f>_xlfn.IFNA(VLOOKUP($C53,logos!$A$2:$B$10003,2,FALSE),"")</f>
        <v>Absolute Radio 00s.jpg</v>
      </c>
      <c r="R53" s="2" t="str">
        <f t="shared" si="2"/>
        <v>Absolute Radio 00s</v>
      </c>
      <c r="S53" s="5" t="s">
        <v>6069</v>
      </c>
      <c r="T53" s="5" t="s">
        <v>1662</v>
      </c>
      <c r="U53" t="str" cm="1">
        <f t="array" ref="U53">INDEX(stations!$A$1:$A$9974,MATCH(1,(stations!$A$1:$A$9974=master!$R53)*(stations!$E$1:$E$9974=master!$S53)*(stations!$B$1:$B$9974=master!$T53),0))</f>
        <v>Absolute Radio 00s</v>
      </c>
    </row>
    <row r="54" spans="1:21" hidden="1" x14ac:dyDescent="0.55000000000000004">
      <c r="A54">
        <v>552</v>
      </c>
      <c r="B54" s="2" t="str" cm="1">
        <f t="array" ref="B54">INDEX(stations!$C$1:$C$9974,MATCH(1,(stations!$A$1:$A$9974=master!$R54)*(stations!$E$1:$E$9974=master!$S54)*(stations!$B$1:$B$9974=master!$T54),0))</f>
        <v>http://edge-bauerall-01-gos2.sharp-stream.com/absolute60s.aac</v>
      </c>
      <c r="C54" s="5" t="s">
        <v>40</v>
      </c>
      <c r="D54" t="s">
        <v>17</v>
      </c>
      <c r="E54" t="s">
        <v>18</v>
      </c>
      <c r="G54" s="2" t="str">
        <f>_xlfn.IFNA(VLOOKUP($C54,logos!$A$2:$D$1025,4,FALSE),"")</f>
        <v>Bauer Media</v>
      </c>
      <c r="H54" s="5" t="s">
        <v>19</v>
      </c>
      <c r="I54" s="5" t="s">
        <v>20</v>
      </c>
      <c r="J54" s="5" t="s">
        <v>21</v>
      </c>
      <c r="K54" s="2" t="str" cm="1">
        <f t="array" ref="K54">INDEX(stations!$B$1:$B$9974,MATCH(1,(stations!$A$1:$A$9974=master!$R54)*(stations!$E$1:$E$9974=master!$S54)*(stations!$B$1:$B$9974=master!$T54),0))</f>
        <v>48s</v>
      </c>
      <c r="L54" s="5" t="s">
        <v>23</v>
      </c>
      <c r="M54" t="s">
        <v>24</v>
      </c>
      <c r="O54" t="s">
        <v>25</v>
      </c>
      <c r="P54" s="2" t="b">
        <f>ISERROR(VLOOKUP($C54,logos!$A$2:$A$10003,1,FALSE))</f>
        <v>0</v>
      </c>
      <c r="Q54" s="2" t="str">
        <f>_xlfn.IFNA(VLOOKUP($C54,logos!$A$2:$B$10003,2,FALSE),"")</f>
        <v>Absolute Radio 60s.jpg</v>
      </c>
      <c r="R54" s="2" t="str">
        <f t="shared" si="2"/>
        <v>Absolute Radio 60s</v>
      </c>
      <c r="S54" s="5" t="s">
        <v>6069</v>
      </c>
      <c r="T54" s="5" t="s">
        <v>1662</v>
      </c>
      <c r="U54" t="str" cm="1">
        <f t="array" ref="U54">INDEX(stations!$A$1:$A$9974,MATCH(1,(stations!$A$1:$A$9974=master!$R54)*(stations!$E$1:$E$9974=master!$S54)*(stations!$B$1:$B$9974=master!$T54),0))</f>
        <v>Absolute Radio 60s</v>
      </c>
    </row>
    <row r="55" spans="1:21" hidden="1" x14ac:dyDescent="0.55000000000000004">
      <c r="A55">
        <v>553</v>
      </c>
      <c r="B55" s="2" t="str" cm="1">
        <f t="array" ref="B55">INDEX(stations!$C$1:$C$9974,MATCH(1,(stations!$A$1:$A$9974=master!$R55)*(stations!$E$1:$E$9974=master!$S55)*(stations!$B$1:$B$9974=master!$T55),0))</f>
        <v>http://edge-bauerall-01-gos2.sharp-stream.com/absolute70s.aac</v>
      </c>
      <c r="C55" s="5" t="s">
        <v>42</v>
      </c>
      <c r="D55" t="s">
        <v>17</v>
      </c>
      <c r="E55" t="s">
        <v>18</v>
      </c>
      <c r="G55" s="2" t="str">
        <f>_xlfn.IFNA(VLOOKUP($C55,logos!$A$2:$D$1025,4,FALSE),"")</f>
        <v>Bauer Media</v>
      </c>
      <c r="H55" s="5" t="s">
        <v>19</v>
      </c>
      <c r="I55" s="5" t="s">
        <v>20</v>
      </c>
      <c r="J55" s="5" t="s">
        <v>21</v>
      </c>
      <c r="K55" s="2" t="str" cm="1">
        <f t="array" ref="K55">INDEX(stations!$B$1:$B$9974,MATCH(1,(stations!$A$1:$A$9974=master!$R55)*(stations!$E$1:$E$9974=master!$S55)*(stations!$B$1:$B$9974=master!$T55),0))</f>
        <v>48s</v>
      </c>
      <c r="L55" s="5" t="s">
        <v>23</v>
      </c>
      <c r="M55" t="s">
        <v>24</v>
      </c>
      <c r="O55" t="s">
        <v>25</v>
      </c>
      <c r="P55" s="2" t="b">
        <f>ISERROR(VLOOKUP($C55,logos!$A$2:$A$10003,1,FALSE))</f>
        <v>0</v>
      </c>
      <c r="Q55" s="2" t="str">
        <f>_xlfn.IFNA(VLOOKUP($C55,logos!$A$2:$B$10003,2,FALSE),"")</f>
        <v>Absolute Radio 70s.jpg</v>
      </c>
      <c r="R55" s="2" t="str">
        <f t="shared" si="2"/>
        <v>Absolute Radio 70s</v>
      </c>
      <c r="S55" s="5" t="s">
        <v>6069</v>
      </c>
      <c r="T55" s="5" t="s">
        <v>1662</v>
      </c>
      <c r="U55" t="str" cm="1">
        <f t="array" ref="U55">INDEX(stations!$A$1:$A$9974,MATCH(1,(stations!$A$1:$A$9974=master!$R55)*(stations!$E$1:$E$9974=master!$S55)*(stations!$B$1:$B$9974=master!$T55),0))</f>
        <v>Absolute Radio 70s</v>
      </c>
    </row>
    <row r="56" spans="1:21" hidden="1" x14ac:dyDescent="0.55000000000000004">
      <c r="A56">
        <v>554</v>
      </c>
      <c r="B56" s="2" t="str" cm="1">
        <f t="array" ref="B56">INDEX(stations!$C$1:$C$9974,MATCH(1,(stations!$A$1:$A$9974=master!$R56)*(stations!$E$1:$E$9974=master!$S56)*(stations!$B$1:$B$9974=master!$T56),0))</f>
        <v>http://edge-bauerall-01-gos2.sharp-stream.com/absolute80s.aac</v>
      </c>
      <c r="C56" s="5" t="s">
        <v>4811</v>
      </c>
      <c r="D56" t="s">
        <v>17</v>
      </c>
      <c r="E56" t="s">
        <v>18</v>
      </c>
      <c r="G56" s="2" t="str">
        <f>_xlfn.IFNA(VLOOKUP($C56,logos!$A$2:$D$1025,4,FALSE),"")</f>
        <v>Bauer Media</v>
      </c>
      <c r="H56" s="5" t="s">
        <v>19</v>
      </c>
      <c r="I56" s="5" t="s">
        <v>20</v>
      </c>
      <c r="J56" s="5" t="s">
        <v>21</v>
      </c>
      <c r="K56" s="2" t="str" cm="1">
        <f t="array" ref="K56">INDEX(stations!$B$1:$B$9974,MATCH(1,(stations!$A$1:$A$9974=master!$R56)*(stations!$E$1:$E$9974=master!$S56)*(stations!$B$1:$B$9974=master!$T56),0))</f>
        <v>48s</v>
      </c>
      <c r="L56" s="5" t="s">
        <v>23</v>
      </c>
      <c r="M56" t="s">
        <v>24</v>
      </c>
      <c r="O56" t="s">
        <v>25</v>
      </c>
      <c r="P56" s="2" t="b">
        <f>ISERROR(VLOOKUP($C56,logos!$A$2:$A$10003,1,FALSE))</f>
        <v>0</v>
      </c>
      <c r="Q56" s="2" t="str">
        <f>_xlfn.IFNA(VLOOKUP($C56,logos!$A$2:$B$10003,2,FALSE),"")</f>
        <v>Absolute Radio 80s.jpg</v>
      </c>
      <c r="R56" s="2" t="str">
        <f t="shared" si="2"/>
        <v>Absolute Radio 80s</v>
      </c>
      <c r="S56" s="5" t="s">
        <v>6069</v>
      </c>
      <c r="T56" s="5" t="s">
        <v>1662</v>
      </c>
      <c r="U56" t="str" cm="1">
        <f t="array" ref="U56">INDEX(stations!$A$1:$A$9974,MATCH(1,(stations!$A$1:$A$9974=master!$R56)*(stations!$E$1:$E$9974=master!$S56)*(stations!$B$1:$B$9974=master!$T56),0))</f>
        <v>Absolute Radio 80s</v>
      </c>
    </row>
    <row r="57" spans="1:21" hidden="1" x14ac:dyDescent="0.55000000000000004">
      <c r="A57">
        <v>555</v>
      </c>
      <c r="B57" s="2" t="str" cm="1">
        <f t="array" ref="B57">INDEX(stations!$C$1:$C$9974,MATCH(1,(stations!$A$1:$A$9974=master!$R57)*(stations!$E$1:$E$9974=master!$S57)*(stations!$B$1:$B$9974=master!$T57),0))</f>
        <v>http://edge-bauerall-01-gos2.sharp-stream.com/absolute90s.aac</v>
      </c>
      <c r="C57" s="5" t="s">
        <v>46</v>
      </c>
      <c r="D57" t="s">
        <v>17</v>
      </c>
      <c r="E57" t="s">
        <v>18</v>
      </c>
      <c r="G57" s="2" t="str">
        <f>_xlfn.IFNA(VLOOKUP($C57,logos!$A$2:$D$1025,4,FALSE),"")</f>
        <v>Bauer Media</v>
      </c>
      <c r="H57" s="5" t="s">
        <v>19</v>
      </c>
      <c r="I57" s="5" t="s">
        <v>20</v>
      </c>
      <c r="J57" s="5" t="s">
        <v>21</v>
      </c>
      <c r="K57" s="2" t="str" cm="1">
        <f t="array" ref="K57">INDEX(stations!$B$1:$B$9974,MATCH(1,(stations!$A$1:$A$9974=master!$R57)*(stations!$E$1:$E$9974=master!$S57)*(stations!$B$1:$B$9974=master!$T57),0))</f>
        <v>48s</v>
      </c>
      <c r="L57" s="5" t="s">
        <v>23</v>
      </c>
      <c r="M57" t="s">
        <v>24</v>
      </c>
      <c r="O57" t="s">
        <v>25</v>
      </c>
      <c r="P57" s="2" t="b">
        <f>ISERROR(VLOOKUP($C57,logos!$A$2:$A$10003,1,FALSE))</f>
        <v>0</v>
      </c>
      <c r="Q57" s="2" t="str">
        <f>_xlfn.IFNA(VLOOKUP($C57,logos!$A$2:$B$10003,2,FALSE),"")</f>
        <v>Absolute Radio 90s.jpg</v>
      </c>
      <c r="R57" s="2" t="str">
        <f t="shared" si="2"/>
        <v>Absolute Radio 90s</v>
      </c>
      <c r="S57" s="5" t="s">
        <v>6069</v>
      </c>
      <c r="T57" s="5" t="s">
        <v>1662</v>
      </c>
      <c r="U57" t="str" cm="1">
        <f t="array" ref="U57">INDEX(stations!$A$1:$A$9974,MATCH(1,(stations!$A$1:$A$9974=master!$R57)*(stations!$E$1:$E$9974=master!$S57)*(stations!$B$1:$B$9974=master!$T57),0))</f>
        <v>Absolute Radio 90s</v>
      </c>
    </row>
    <row r="58" spans="1:21" hidden="1" x14ac:dyDescent="0.55000000000000004">
      <c r="A58">
        <v>556</v>
      </c>
      <c r="B58" s="2" t="str" cm="1">
        <f t="array" ref="B58">INDEX(stations!$C$1:$C$9974,MATCH(1,(stations!$A$1:$A$9974=master!$R58)*(stations!$E$1:$E$9974=master!$S58)*(stations!$B$1:$B$9974=master!$T58),0))</f>
        <v>http://edge-bauerall-01-gos2.sharp-stream.com/countryhits.aac</v>
      </c>
      <c r="C58" s="5" t="s">
        <v>52</v>
      </c>
      <c r="D58" t="s">
        <v>17</v>
      </c>
      <c r="E58" t="s">
        <v>18</v>
      </c>
      <c r="G58" s="2" t="str">
        <f>_xlfn.IFNA(VLOOKUP($C58,logos!$A$2:$D$1025,4,FALSE),"")</f>
        <v>Bauer Media</v>
      </c>
      <c r="H58" s="5" t="s">
        <v>19</v>
      </c>
      <c r="I58" s="5" t="s">
        <v>20</v>
      </c>
      <c r="J58" s="5" t="s">
        <v>21</v>
      </c>
      <c r="K58" s="2" t="str" cm="1">
        <f t="array" ref="K58">INDEX(stations!$B$1:$B$9974,MATCH(1,(stations!$A$1:$A$9974=master!$R58)*(stations!$E$1:$E$9974=master!$S58)*(stations!$B$1:$B$9974=master!$T58),0))</f>
        <v>48s</v>
      </c>
      <c r="L58" s="5" t="s">
        <v>23</v>
      </c>
      <c r="M58" t="s">
        <v>24</v>
      </c>
      <c r="O58" t="s">
        <v>25</v>
      </c>
      <c r="P58" s="2" t="b">
        <f>ISERROR(VLOOKUP($C58,logos!$A$2:$A$10003,1,FALSE))</f>
        <v>0</v>
      </c>
      <c r="Q58" s="2" t="str">
        <f>_xlfn.IFNA(VLOOKUP($C58,logos!$A$2:$B$10003,2,FALSE),"")</f>
        <v>Absolute Radio Country.jpg</v>
      </c>
      <c r="R58" s="2" t="str">
        <f t="shared" si="2"/>
        <v>Absolute Radio Country</v>
      </c>
      <c r="S58" s="5" t="s">
        <v>6069</v>
      </c>
      <c r="T58" s="5" t="s">
        <v>1662</v>
      </c>
      <c r="U58" t="str" cm="1">
        <f t="array" ref="U58">INDEX(stations!$A$1:$A$9974,MATCH(1,(stations!$A$1:$A$9974=master!$R58)*(stations!$E$1:$E$9974=master!$S58)*(stations!$B$1:$B$9974=master!$T58),0))</f>
        <v>Absolute Radio Country</v>
      </c>
    </row>
    <row r="59" spans="1:21" hidden="1" x14ac:dyDescent="0.55000000000000004">
      <c r="A59">
        <v>557</v>
      </c>
      <c r="B59" s="2" t="str" cm="1">
        <f t="array" ref="B59">INDEX(stations!$C$1:$C$9974,MATCH(1,(stations!$A$1:$A$9974=master!$R59)*(stations!$E$1:$E$9974=master!$S59)*(stations!$B$1:$B$9974=master!$T59),0))</f>
        <v>http://edge-bauerall-01-gos2.sharp-stream.com/scala.aac</v>
      </c>
      <c r="C59" s="5" t="s">
        <v>1104</v>
      </c>
      <c r="D59" t="s">
        <v>17</v>
      </c>
      <c r="E59" t="s">
        <v>18</v>
      </c>
      <c r="G59" s="2" t="str">
        <f>_xlfn.IFNA(VLOOKUP($C59,logos!$A$2:$D$1025,4,FALSE),"")</f>
        <v>Bauer Media</v>
      </c>
      <c r="H59" s="5" t="s">
        <v>19</v>
      </c>
      <c r="I59" s="5" t="s">
        <v>20</v>
      </c>
      <c r="J59" s="5" t="s">
        <v>21</v>
      </c>
      <c r="K59" s="2" t="str" cm="1">
        <f t="array" ref="K59">INDEX(stations!$B$1:$B$9974,MATCH(1,(stations!$A$1:$A$9974=master!$R59)*(stations!$E$1:$E$9974=master!$S59)*(stations!$B$1:$B$9974=master!$T59),0))</f>
        <v>48s</v>
      </c>
      <c r="L59" s="5" t="s">
        <v>23</v>
      </c>
      <c r="M59" t="s">
        <v>24</v>
      </c>
      <c r="O59" t="s">
        <v>25</v>
      </c>
      <c r="P59" s="2" t="b">
        <f>ISERROR(VLOOKUP($C59,logos!$A$2:$A$10003,1,FALSE))</f>
        <v>0</v>
      </c>
      <c r="Q59" s="2" t="str">
        <f>_xlfn.IFNA(VLOOKUP($C59,logos!$A$2:$B$10003,2,FALSE),"")</f>
        <v>Scala Radio.jpg</v>
      </c>
      <c r="R59" s="2" t="str">
        <f t="shared" si="2"/>
        <v>Scala Radio</v>
      </c>
      <c r="S59" s="5" t="s">
        <v>6069</v>
      </c>
      <c r="T59" s="5" t="s">
        <v>1662</v>
      </c>
      <c r="U59" t="str" cm="1">
        <f t="array" ref="U59">INDEX(stations!$A$1:$A$9974,MATCH(1,(stations!$A$1:$A$9974=master!$R59)*(stations!$E$1:$E$9974=master!$S59)*(stations!$B$1:$B$9974=master!$T59),0))</f>
        <v>Scala Radio</v>
      </c>
    </row>
    <row r="60" spans="1:21" hidden="1" x14ac:dyDescent="0.55000000000000004">
      <c r="A60">
        <v>558</v>
      </c>
      <c r="B60" s="2" t="str" cm="1">
        <f t="array" ref="B60">INDEX(stations!$C$1:$C$9974,MATCH(1,(stations!$A$1:$A$9974=master!$R60)*(stations!$E$1:$E$9974=master!$S60)*(stations!$B$1:$B$9974=master!$T60),0))</f>
        <v>http://edge-bauerall-01-gos2.sharp-stream.com/magic1054.aac</v>
      </c>
      <c r="C60" s="5" t="s">
        <v>2773</v>
      </c>
      <c r="D60" t="s">
        <v>17</v>
      </c>
      <c r="E60" t="s">
        <v>18</v>
      </c>
      <c r="G60" s="2" t="str">
        <f>_xlfn.IFNA(VLOOKUP($C60,logos!$A$2:$D$1025,4,FALSE),"")</f>
        <v>Bauer Media</v>
      </c>
      <c r="H60" s="5" t="s">
        <v>19</v>
      </c>
      <c r="I60" s="5" t="s">
        <v>20</v>
      </c>
      <c r="J60" s="5" t="s">
        <v>21</v>
      </c>
      <c r="K60" s="2" t="str" cm="1">
        <f t="array" ref="K60">INDEX(stations!$B$1:$B$9974,MATCH(1,(stations!$A$1:$A$9974=master!$R60)*(stations!$E$1:$E$9974=master!$S60)*(stations!$B$1:$B$9974=master!$T60),0))</f>
        <v>48s</v>
      </c>
      <c r="L60" s="5" t="s">
        <v>23</v>
      </c>
      <c r="M60" t="s">
        <v>24</v>
      </c>
      <c r="O60" t="s">
        <v>25</v>
      </c>
      <c r="P60" s="2" t="b">
        <f>ISERROR(VLOOKUP($C60,logos!$A$2:$A$10003,1,FALSE))</f>
        <v>0</v>
      </c>
      <c r="Q60" s="2" t="str">
        <f>_xlfn.IFNA(VLOOKUP($C60,logos!$A$2:$B$10003,2,FALSE),"")</f>
        <v>Magic (London).jpg</v>
      </c>
      <c r="R60" s="2" t="str">
        <f t="shared" si="2"/>
        <v>Magic (London)</v>
      </c>
      <c r="S60" s="5" t="s">
        <v>6069</v>
      </c>
      <c r="T60" s="5" t="s">
        <v>1662</v>
      </c>
      <c r="U60" t="str" cm="1">
        <f t="array" ref="U60">INDEX(stations!$A$1:$A$9974,MATCH(1,(stations!$A$1:$A$9974=master!$R60)*(stations!$E$1:$E$9974=master!$S60)*(stations!$B$1:$B$9974=master!$T60),0))</f>
        <v>Magic (London)</v>
      </c>
    </row>
    <row r="61" spans="1:21" hidden="1" x14ac:dyDescent="0.55000000000000004">
      <c r="A61">
        <v>559</v>
      </c>
      <c r="B61" s="2" t="str" cm="1">
        <f t="array" ref="B61">INDEX(stations!$C$1:$C$9974,MATCH(1,(stations!$A$1:$A$9974=master!$R61)*(stations!$E$1:$E$9974=master!$S61)*(stations!$B$1:$B$9974=master!$T61),0))</f>
        <v>http://edge-bauerall-01-gos2.sharp-stream.com/magicchilled.aac</v>
      </c>
      <c r="C61" s="5" t="s">
        <v>811</v>
      </c>
      <c r="D61" t="s">
        <v>17</v>
      </c>
      <c r="E61" t="s">
        <v>18</v>
      </c>
      <c r="G61" s="2" t="str">
        <f>_xlfn.IFNA(VLOOKUP($C61,logos!$A$2:$D$1025,4,FALSE),"")</f>
        <v>Bauer Media</v>
      </c>
      <c r="H61" s="5" t="s">
        <v>19</v>
      </c>
      <c r="I61" s="5" t="s">
        <v>20</v>
      </c>
      <c r="J61" s="5" t="s">
        <v>21</v>
      </c>
      <c r="K61" s="2" t="str" cm="1">
        <f t="array" ref="K61">INDEX(stations!$B$1:$B$9974,MATCH(1,(stations!$A$1:$A$9974=master!$R61)*(stations!$E$1:$E$9974=master!$S61)*(stations!$B$1:$B$9974=master!$T61),0))</f>
        <v>48s</v>
      </c>
      <c r="L61" s="5" t="s">
        <v>23</v>
      </c>
      <c r="M61" t="s">
        <v>24</v>
      </c>
      <c r="O61" t="s">
        <v>25</v>
      </c>
      <c r="P61" s="2" t="b">
        <f>ISERROR(VLOOKUP($C61,logos!$A$2:$A$10003,1,FALSE))</f>
        <v>0</v>
      </c>
      <c r="Q61" s="2" t="str">
        <f>_xlfn.IFNA(VLOOKUP($C61,logos!$A$2:$B$10003,2,FALSE),"")</f>
        <v>Magic Chilled.jpg</v>
      </c>
      <c r="R61" s="2" t="str">
        <f t="shared" si="2"/>
        <v>Magic Chilled</v>
      </c>
      <c r="S61" s="5" t="s">
        <v>6069</v>
      </c>
      <c r="T61" s="5" t="s">
        <v>1662</v>
      </c>
      <c r="U61" t="str" cm="1">
        <f t="array" ref="U61">INDEX(stations!$A$1:$A$9974,MATCH(1,(stations!$A$1:$A$9974=master!$R61)*(stations!$E$1:$E$9974=master!$S61)*(stations!$B$1:$B$9974=master!$T61),0))</f>
        <v>Magic Chilled</v>
      </c>
    </row>
    <row r="62" spans="1:21" hidden="1" x14ac:dyDescent="0.55000000000000004">
      <c r="A62">
        <v>560</v>
      </c>
      <c r="B62" s="2" t="str" cm="1">
        <f t="array" ref="B62">INDEX(stations!$C$1:$C$9974,MATCH(1,(stations!$A$1:$A$9974=master!$R62)*(stations!$E$1:$E$9974=master!$S62)*(stations!$B$1:$B$9974=master!$T62),0))</f>
        <v>http://edge-bauerall-01-gos2.sharp-stream.com/magicsoul.aac</v>
      </c>
      <c r="C62" s="5" t="s">
        <v>813</v>
      </c>
      <c r="D62" t="s">
        <v>17</v>
      </c>
      <c r="E62" t="s">
        <v>18</v>
      </c>
      <c r="G62" s="2" t="str">
        <f>_xlfn.IFNA(VLOOKUP($C62,logos!$A$2:$D$1025,4,FALSE),"")</f>
        <v>Bauer Media</v>
      </c>
      <c r="H62" s="5" t="s">
        <v>19</v>
      </c>
      <c r="I62" s="5" t="s">
        <v>20</v>
      </c>
      <c r="J62" s="5" t="s">
        <v>21</v>
      </c>
      <c r="K62" s="2" t="str" cm="1">
        <f t="array" ref="K62">INDEX(stations!$B$1:$B$9974,MATCH(1,(stations!$A$1:$A$9974=master!$R62)*(stations!$E$1:$E$9974=master!$S62)*(stations!$B$1:$B$9974=master!$T62),0))</f>
        <v>48s</v>
      </c>
      <c r="L62" s="5" t="s">
        <v>23</v>
      </c>
      <c r="M62" t="s">
        <v>24</v>
      </c>
      <c r="O62" t="s">
        <v>25</v>
      </c>
      <c r="P62" s="2" t="b">
        <f>ISERROR(VLOOKUP($C62,logos!$A$2:$A$10003,1,FALSE))</f>
        <v>0</v>
      </c>
      <c r="Q62" s="2" t="str">
        <f>_xlfn.IFNA(VLOOKUP($C62,logos!$A$2:$B$10003,2,FALSE),"")</f>
        <v>Magic Soul.jpg</v>
      </c>
      <c r="R62" s="2" t="str">
        <f t="shared" si="2"/>
        <v>Magic Soul</v>
      </c>
      <c r="S62" s="5" t="s">
        <v>6069</v>
      </c>
      <c r="T62" s="5" t="s">
        <v>1662</v>
      </c>
      <c r="U62" t="str" cm="1">
        <f t="array" ref="U62">INDEX(stations!$A$1:$A$9974,MATCH(1,(stations!$A$1:$A$9974=master!$R62)*(stations!$E$1:$E$9974=master!$S62)*(stations!$B$1:$B$9974=master!$T62),0))</f>
        <v>Magic Soul</v>
      </c>
    </row>
    <row r="63" spans="1:21" hidden="1" x14ac:dyDescent="0.55000000000000004">
      <c r="A63">
        <v>561</v>
      </c>
      <c r="B63" s="2" t="str" cm="1">
        <f t="array" ref="B63">INDEX(stations!$C$1:$C$9974,MATCH(1,(stations!$A$1:$A$9974=master!$R63)*(stations!$E$1:$E$9974=master!$S63)*(stations!$B$1:$B$9974=master!$T63),0))</f>
        <v>http://edge-bauerall-01-gos2.sharp-stream.com/magicmellow.aac</v>
      </c>
      <c r="C63" s="5" t="s">
        <v>821</v>
      </c>
      <c r="D63" t="s">
        <v>17</v>
      </c>
      <c r="E63" t="s">
        <v>18</v>
      </c>
      <c r="G63" s="2" t="str">
        <f>_xlfn.IFNA(VLOOKUP($C63,logos!$A$2:$D$1025,4,FALSE),"")</f>
        <v>Bauer Media</v>
      </c>
      <c r="H63" s="5" t="s">
        <v>19</v>
      </c>
      <c r="I63" s="5" t="s">
        <v>20</v>
      </c>
      <c r="J63" s="5" t="s">
        <v>21</v>
      </c>
      <c r="K63" s="2" t="str" cm="1">
        <f t="array" ref="K63">INDEX(stations!$B$1:$B$9974,MATCH(1,(stations!$A$1:$A$9974=master!$R63)*(stations!$E$1:$E$9974=master!$S63)*(stations!$B$1:$B$9974=master!$T63),0))</f>
        <v>48s</v>
      </c>
      <c r="L63" s="5" t="s">
        <v>23</v>
      </c>
      <c r="M63" t="s">
        <v>24</v>
      </c>
      <c r="O63" t="s">
        <v>25</v>
      </c>
      <c r="P63" s="2" t="b">
        <f>ISERROR(VLOOKUP($C63,logos!$A$2:$A$10003,1,FALSE))</f>
        <v>0</v>
      </c>
      <c r="Q63" s="2" t="str">
        <f>_xlfn.IFNA(VLOOKUP($C63,logos!$A$2:$B$10003,2,FALSE),"")</f>
        <v>Mellow Magic.jpg</v>
      </c>
      <c r="R63" s="2" t="str">
        <f t="shared" si="2"/>
        <v>Mellow Magic</v>
      </c>
      <c r="S63" s="5" t="s">
        <v>6069</v>
      </c>
      <c r="T63" s="5" t="s">
        <v>1662</v>
      </c>
      <c r="U63" t="str" cm="1">
        <f t="array" ref="U63">INDEX(stations!$A$1:$A$9974,MATCH(1,(stations!$A$1:$A$9974=master!$R63)*(stations!$E$1:$E$9974=master!$S63)*(stations!$B$1:$B$9974=master!$T63),0))</f>
        <v>Mellow Magic</v>
      </c>
    </row>
    <row r="64" spans="1:21" hidden="1" x14ac:dyDescent="0.55000000000000004">
      <c r="A64">
        <v>562</v>
      </c>
      <c r="B64" s="2" t="str" cm="1">
        <f t="array" ref="B64">INDEX(stations!$C$1:$C$9974,MATCH(1,(stations!$A$1:$A$9974=master!$R64)*(stations!$E$1:$E$9974=master!$S64)*(stations!$B$1:$B$9974=master!$T64),0))</f>
        <v>http://edge-bauerall-01-gos2.sharp-stream.com/heat.aac</v>
      </c>
      <c r="C64" s="5" t="s">
        <v>681</v>
      </c>
      <c r="D64" t="s">
        <v>17</v>
      </c>
      <c r="E64" t="s">
        <v>18</v>
      </c>
      <c r="G64" s="2" t="str">
        <f>_xlfn.IFNA(VLOOKUP($C64,logos!$A$2:$D$1025,4,FALSE),"")</f>
        <v>Bauer Media</v>
      </c>
      <c r="H64" s="5" t="s">
        <v>19</v>
      </c>
      <c r="I64" s="5" t="s">
        <v>20</v>
      </c>
      <c r="J64" s="5" t="s">
        <v>21</v>
      </c>
      <c r="K64" s="2" t="str" cm="1">
        <f t="array" ref="K64">INDEX(stations!$B$1:$B$9974,MATCH(1,(stations!$A$1:$A$9974=master!$R64)*(stations!$E$1:$E$9974=master!$S64)*(stations!$B$1:$B$9974=master!$T64),0))</f>
        <v>48s</v>
      </c>
      <c r="L64" s="5" t="s">
        <v>23</v>
      </c>
      <c r="M64" t="s">
        <v>24</v>
      </c>
      <c r="O64" t="s">
        <v>25</v>
      </c>
      <c r="P64" s="2" t="b">
        <f>ISERROR(VLOOKUP($C64,logos!$A$2:$A$10003,1,FALSE))</f>
        <v>0</v>
      </c>
      <c r="Q64" s="2" t="str">
        <f>_xlfn.IFNA(VLOOKUP($C64,logos!$A$2:$B$10003,2,FALSE),"")</f>
        <v>heat Radio.jpg</v>
      </c>
      <c r="R64" s="2" t="str">
        <f t="shared" si="2"/>
        <v>heat Radio</v>
      </c>
      <c r="S64" s="5" t="s">
        <v>6069</v>
      </c>
      <c r="T64" s="5" t="s">
        <v>1662</v>
      </c>
      <c r="U64" t="str" cm="1">
        <f t="array" ref="U64">INDEX(stations!$A$1:$A$9974,MATCH(1,(stations!$A$1:$A$9974=master!$R64)*(stations!$E$1:$E$9974=master!$S64)*(stations!$B$1:$B$9974=master!$T64),0))</f>
        <v>heat Radio</v>
      </c>
    </row>
    <row r="65" spans="1:21" hidden="1" x14ac:dyDescent="0.55000000000000004">
      <c r="A65">
        <v>563</v>
      </c>
      <c r="B65" s="2" t="str" cm="1">
        <f t="array" ref="B65">INDEX(stations!$C$1:$C$9974,MATCH(1,(stations!$A$1:$A$9974=master!$R65)*(stations!$E$1:$E$9974=master!$S65)*(stations!$B$1:$B$9974=master!$T65),0))</f>
        <v>http://edge-bauerall-01-gos2.sharp-stream.com/jazz.aac</v>
      </c>
      <c r="C65" s="5" t="s">
        <v>736</v>
      </c>
      <c r="D65" t="s">
        <v>17</v>
      </c>
      <c r="E65" t="s">
        <v>18</v>
      </c>
      <c r="G65" s="2" t="str">
        <f>_xlfn.IFNA(VLOOKUP($C65,logos!$A$2:$D$1025,4,FALSE),"")</f>
        <v>Bauer Media</v>
      </c>
      <c r="H65" s="5" t="s">
        <v>19</v>
      </c>
      <c r="I65" s="5" t="s">
        <v>20</v>
      </c>
      <c r="J65" s="5" t="s">
        <v>21</v>
      </c>
      <c r="K65" s="2" t="str" cm="1">
        <f t="array" ref="K65">INDEX(stations!$B$1:$B$9974,MATCH(1,(stations!$A$1:$A$9974=master!$R65)*(stations!$E$1:$E$9974=master!$S65)*(stations!$B$1:$B$9974=master!$T65),0))</f>
        <v>48s</v>
      </c>
      <c r="L65" s="5" t="s">
        <v>23</v>
      </c>
      <c r="M65" t="s">
        <v>24</v>
      </c>
      <c r="O65" t="s">
        <v>25</v>
      </c>
      <c r="P65" s="2" t="b">
        <f>ISERROR(VLOOKUP($C65,logos!$A$2:$A$10003,1,FALSE))</f>
        <v>0</v>
      </c>
      <c r="Q65" s="2" t="str">
        <f>_xlfn.IFNA(VLOOKUP($C65,logos!$A$2:$B$10003,2,FALSE),"")</f>
        <v>Jazz FM.jpg</v>
      </c>
      <c r="R65" s="2" t="str">
        <f t="shared" si="2"/>
        <v>Jazz FM</v>
      </c>
      <c r="S65" s="5" t="s">
        <v>6069</v>
      </c>
      <c r="T65" s="5" t="s">
        <v>1662</v>
      </c>
      <c r="U65" t="str" cm="1">
        <f t="array" ref="U65">INDEX(stations!$A$1:$A$9974,MATCH(1,(stations!$A$1:$A$9974=master!$R65)*(stations!$E$1:$E$9974=master!$S65)*(stations!$B$1:$B$9974=master!$T65),0))</f>
        <v>Jazz FM</v>
      </c>
    </row>
    <row r="66" spans="1:21" hidden="1" x14ac:dyDescent="0.55000000000000004">
      <c r="A66">
        <v>564</v>
      </c>
      <c r="B66" s="2" t="str" cm="1">
        <f t="array" ref="B66">INDEX(stations!$C$1:$C$9974,MATCH(1,(stations!$A$1:$A$9974=master!$R66)*(stations!$E$1:$E$9974=master!$S66)*(stations!$B$1:$B$9974=master!$T66),0))</f>
        <v>http://edge-bauerall-01-gos2.sharp-stream.com/kerrang.aac</v>
      </c>
      <c r="C66" s="5" t="s">
        <v>740</v>
      </c>
      <c r="D66" t="s">
        <v>17</v>
      </c>
      <c r="E66" t="s">
        <v>18</v>
      </c>
      <c r="G66" s="2" t="str">
        <f>_xlfn.IFNA(VLOOKUP($C66,logos!$A$2:$D$1025,4,FALSE),"")</f>
        <v>Bauer Media</v>
      </c>
      <c r="H66" s="5" t="s">
        <v>19</v>
      </c>
      <c r="I66" s="5" t="s">
        <v>20</v>
      </c>
      <c r="J66" s="5" t="s">
        <v>21</v>
      </c>
      <c r="K66" s="2" t="str" cm="1">
        <f t="array" ref="K66">INDEX(stations!$B$1:$B$9974,MATCH(1,(stations!$A$1:$A$9974=master!$R66)*(stations!$E$1:$E$9974=master!$S66)*(stations!$B$1:$B$9974=master!$T66),0))</f>
        <v>48s</v>
      </c>
      <c r="L66" s="5" t="s">
        <v>23</v>
      </c>
      <c r="M66" t="s">
        <v>24</v>
      </c>
      <c r="O66" t="s">
        <v>25</v>
      </c>
      <c r="P66" s="2" t="b">
        <f>ISERROR(VLOOKUP($C66,logos!$A$2:$A$10003,1,FALSE))</f>
        <v>0</v>
      </c>
      <c r="Q66" s="2" t="str">
        <f>_xlfn.IFNA(VLOOKUP($C66,logos!$A$2:$B$10003,2,FALSE),"")</f>
        <v>Kerrang! Radio.jpg</v>
      </c>
      <c r="R66" s="2" t="str">
        <f t="shared" si="2"/>
        <v>Kerrang! Radio</v>
      </c>
      <c r="S66" s="5" t="s">
        <v>6069</v>
      </c>
      <c r="T66" s="5" t="s">
        <v>1662</v>
      </c>
      <c r="U66" t="str" cm="1">
        <f t="array" ref="U66">INDEX(stations!$A$1:$A$9974,MATCH(1,(stations!$A$1:$A$9974=master!$R66)*(stations!$E$1:$E$9974=master!$S66)*(stations!$B$1:$B$9974=master!$T66),0))</f>
        <v>Kerrang! Radio</v>
      </c>
    </row>
    <row r="67" spans="1:21" hidden="1" x14ac:dyDescent="0.55000000000000004">
      <c r="A67">
        <v>565</v>
      </c>
      <c r="B67" s="2" t="str" cm="1">
        <f t="array" ref="B67">INDEX(stations!$C$1:$C$9974,MATCH(1,(stations!$A$1:$A$9974=master!$R67)*(stations!$E$1:$E$9974=master!$S67)*(stations!$B$1:$B$9974=master!$T67),0))</f>
        <v>http://edge-bauerall-01-gos2.sharp-stream.com/kissnational.aac</v>
      </c>
      <c r="C67" s="5" t="s">
        <v>2763</v>
      </c>
      <c r="D67" t="s">
        <v>17</v>
      </c>
      <c r="E67" t="s">
        <v>18</v>
      </c>
      <c r="G67" s="2" t="str">
        <f>_xlfn.IFNA(VLOOKUP($C67,logos!$A$2:$D$1025,4,FALSE),"")</f>
        <v>Bauer Media</v>
      </c>
      <c r="H67" s="5" t="s">
        <v>19</v>
      </c>
      <c r="I67" s="5" t="s">
        <v>20</v>
      </c>
      <c r="J67" s="5" t="s">
        <v>21</v>
      </c>
      <c r="K67" s="2" t="str" cm="1">
        <f t="array" ref="K67">INDEX(stations!$B$1:$B$9974,MATCH(1,(stations!$A$1:$A$9974=master!$R67)*(stations!$E$1:$E$9974=master!$S67)*(stations!$B$1:$B$9974=master!$T67),0))</f>
        <v>48s</v>
      </c>
      <c r="L67" s="5" t="s">
        <v>23</v>
      </c>
      <c r="M67" t="s">
        <v>24</v>
      </c>
      <c r="O67" t="s">
        <v>25</v>
      </c>
      <c r="P67" s="2" t="b">
        <f>ISERROR(VLOOKUP($C67,logos!$A$2:$A$10003,1,FALSE))</f>
        <v>0</v>
      </c>
      <c r="Q67" s="2" t="str">
        <f>_xlfn.IFNA(VLOOKUP($C67,logos!$A$2:$B$10003,2,FALSE),"")</f>
        <v>KISS (UK).jpg</v>
      </c>
      <c r="R67" s="2" t="str">
        <f t="shared" si="2"/>
        <v>KISS (UK)</v>
      </c>
      <c r="S67" s="5" t="s">
        <v>6069</v>
      </c>
      <c r="T67" s="5" t="s">
        <v>1662</v>
      </c>
      <c r="U67" t="str" cm="1">
        <f t="array" ref="U67">INDEX(stations!$A$1:$A$9974,MATCH(1,(stations!$A$1:$A$9974=master!$R67)*(stations!$E$1:$E$9974=master!$S67)*(stations!$B$1:$B$9974=master!$T67),0))</f>
        <v>KISS (UK)</v>
      </c>
    </row>
    <row r="68" spans="1:21" hidden="1" x14ac:dyDescent="0.55000000000000004">
      <c r="A68">
        <v>566</v>
      </c>
      <c r="B68" s="2" t="str" cm="1">
        <f t="array" ref="B68">INDEX(stations!$C$1:$C$9974,MATCH(1,(stations!$A$1:$A$9974=master!$R68)*(stations!$E$1:$E$9974=master!$S68)*(stations!$B$1:$B$9974=master!$T68),0))</f>
        <v>http://edge-bauerall-01-gos2.sharp-stream.com/kissfresh.aac</v>
      </c>
      <c r="C68" s="5" t="s">
        <v>749</v>
      </c>
      <c r="D68" t="s">
        <v>17</v>
      </c>
      <c r="E68" t="s">
        <v>18</v>
      </c>
      <c r="G68" s="2" t="str">
        <f>_xlfn.IFNA(VLOOKUP($C68,logos!$A$2:$D$1025,4,FALSE),"")</f>
        <v>Bauer Media</v>
      </c>
      <c r="H68" s="5" t="s">
        <v>19</v>
      </c>
      <c r="I68" s="5" t="s">
        <v>20</v>
      </c>
      <c r="J68" s="5" t="s">
        <v>21</v>
      </c>
      <c r="K68" s="2" t="str" cm="1">
        <f t="array" ref="K68">INDEX(stations!$B$1:$B$9974,MATCH(1,(stations!$A$1:$A$9974=master!$R68)*(stations!$E$1:$E$9974=master!$S68)*(stations!$B$1:$B$9974=master!$T68),0))</f>
        <v>48s</v>
      </c>
      <c r="L68" s="5" t="s">
        <v>23</v>
      </c>
      <c r="M68" t="s">
        <v>24</v>
      </c>
      <c r="O68" t="s">
        <v>25</v>
      </c>
      <c r="P68" s="2" t="b">
        <f>ISERROR(VLOOKUP($C68,logos!$A$2:$A$10003,1,FALSE))</f>
        <v>0</v>
      </c>
      <c r="Q68" s="2" t="str">
        <f>_xlfn.IFNA(VLOOKUP($C68,logos!$A$2:$B$10003,2,FALSE),"")</f>
        <v>KISS FRESH.png</v>
      </c>
      <c r="R68" s="2" t="str">
        <f t="shared" si="2"/>
        <v>KISS FRESH</v>
      </c>
      <c r="S68" s="5" t="s">
        <v>6069</v>
      </c>
      <c r="T68" s="5" t="s">
        <v>1662</v>
      </c>
      <c r="U68" t="str" cm="1">
        <f t="array" ref="U68">INDEX(stations!$A$1:$A$9974,MATCH(1,(stations!$A$1:$A$9974=master!$R68)*(stations!$E$1:$E$9974=master!$S68)*(stations!$B$1:$B$9974=master!$T68),0))</f>
        <v>KISS FRESH</v>
      </c>
    </row>
    <row r="69" spans="1:21" hidden="1" x14ac:dyDescent="0.55000000000000004">
      <c r="A69">
        <v>567</v>
      </c>
      <c r="B69" s="2" t="str" cm="1">
        <f t="array" ref="B69">INDEX(stations!$C$1:$C$9974,MATCH(1,(stations!$A$1:$A$9974=master!$R69)*(stations!$E$1:$E$9974=master!$S69)*(stations!$B$1:$B$9974=master!$T69),0))</f>
        <v>http://edge-bauerall-01-gos2.sharp-stream.com/kisstory.aac</v>
      </c>
      <c r="C69" s="5" t="s">
        <v>751</v>
      </c>
      <c r="D69" t="s">
        <v>17</v>
      </c>
      <c r="E69" t="s">
        <v>18</v>
      </c>
      <c r="G69" s="2" t="str">
        <f>_xlfn.IFNA(VLOOKUP($C69,logos!$A$2:$D$1025,4,FALSE),"")</f>
        <v>Bauer Media</v>
      </c>
      <c r="H69" s="5" t="s">
        <v>19</v>
      </c>
      <c r="I69" s="5" t="s">
        <v>20</v>
      </c>
      <c r="J69" s="5" t="s">
        <v>21</v>
      </c>
      <c r="K69" s="2" t="str" cm="1">
        <f t="array" ref="K69">INDEX(stations!$B$1:$B$9974,MATCH(1,(stations!$A$1:$A$9974=master!$R69)*(stations!$E$1:$E$9974=master!$S69)*(stations!$B$1:$B$9974=master!$T69),0))</f>
        <v>48s</v>
      </c>
      <c r="L69" s="5" t="s">
        <v>23</v>
      </c>
      <c r="M69" t="s">
        <v>24</v>
      </c>
      <c r="O69" t="s">
        <v>25</v>
      </c>
      <c r="P69" s="2" t="b">
        <f>ISERROR(VLOOKUP($C69,logos!$A$2:$A$10003,1,FALSE))</f>
        <v>0</v>
      </c>
      <c r="Q69" s="2" t="str">
        <f>_xlfn.IFNA(VLOOKUP($C69,logos!$A$2:$B$10003,2,FALSE),"")</f>
        <v>KISSTORY.jpg</v>
      </c>
      <c r="R69" s="2" t="str">
        <f t="shared" si="2"/>
        <v>KISSTORY</v>
      </c>
      <c r="S69" s="5" t="s">
        <v>6069</v>
      </c>
      <c r="T69" s="5" t="s">
        <v>1662</v>
      </c>
      <c r="U69" t="str" cm="1">
        <f t="array" ref="U69">INDEX(stations!$A$1:$A$9974,MATCH(1,(stations!$A$1:$A$9974=master!$R69)*(stations!$E$1:$E$9974=master!$S69)*(stations!$B$1:$B$9974=master!$T69),0))</f>
        <v>KISSTORY</v>
      </c>
    </row>
    <row r="70" spans="1:21" hidden="1" x14ac:dyDescent="0.55000000000000004">
      <c r="A70">
        <v>568</v>
      </c>
      <c r="B70" s="2" t="str" cm="1">
        <f t="array" ref="B70">INDEX(stations!$C$1:$C$9974,MATCH(1,(stations!$A$1:$A$9974=master!$R70)*(stations!$E$1:$E$9974=master!$S70)*(stations!$B$1:$B$9974=master!$T70),0))</f>
        <v>http://edge-bauerall-01-gos2.sharp-stream.com/planetrock.aac</v>
      </c>
      <c r="C70" s="5" t="s">
        <v>950</v>
      </c>
      <c r="D70" t="s">
        <v>17</v>
      </c>
      <c r="E70" t="s">
        <v>18</v>
      </c>
      <c r="G70" s="2" t="str">
        <f>_xlfn.IFNA(VLOOKUP($C70,logos!$A$2:$D$1025,4,FALSE),"")</f>
        <v>Bauer Media</v>
      </c>
      <c r="H70" s="5" t="s">
        <v>19</v>
      </c>
      <c r="I70" s="5" t="s">
        <v>20</v>
      </c>
      <c r="J70" s="5" t="s">
        <v>21</v>
      </c>
      <c r="K70" s="2" t="str" cm="1">
        <f t="array" ref="K70">INDEX(stations!$B$1:$B$9974,MATCH(1,(stations!$A$1:$A$9974=master!$R70)*(stations!$E$1:$E$9974=master!$S70)*(stations!$B$1:$B$9974=master!$T70),0))</f>
        <v>48s</v>
      </c>
      <c r="L70" s="5" t="s">
        <v>23</v>
      </c>
      <c r="M70" t="s">
        <v>24</v>
      </c>
      <c r="O70" t="s">
        <v>25</v>
      </c>
      <c r="P70" s="2" t="b">
        <f>ISERROR(VLOOKUP($C70,logos!$A$2:$A$10003,1,FALSE))</f>
        <v>0</v>
      </c>
      <c r="Q70" s="2" t="str">
        <f>_xlfn.IFNA(VLOOKUP($C70,logos!$A$2:$B$10003,2,FALSE),"")</f>
        <v>Planet Rock.jpg</v>
      </c>
      <c r="R70" s="2" t="str">
        <f t="shared" si="2"/>
        <v>Planet Rock</v>
      </c>
      <c r="S70" s="5" t="s">
        <v>6069</v>
      </c>
      <c r="T70" s="5" t="s">
        <v>1662</v>
      </c>
      <c r="U70" t="str" cm="1">
        <f t="array" ref="U70">INDEX(stations!$A$1:$A$9974,MATCH(1,(stations!$A$1:$A$9974=master!$R70)*(stations!$E$1:$E$9974=master!$S70)*(stations!$B$1:$B$9974=master!$T70),0))</f>
        <v>Planet Rock</v>
      </c>
    </row>
    <row r="71" spans="1:21" hidden="1" x14ac:dyDescent="0.55000000000000004">
      <c r="A71">
        <v>569</v>
      </c>
      <c r="B71" s="2" t="str" cm="1">
        <f t="array" ref="B71">INDEX(stations!$C$1:$C$9974,MATCH(1,(stations!$A$1:$A$9974=master!$R71)*(stations!$E$1:$E$9974=master!$S71)*(stations!$B$1:$B$9974=master!$T71),0))</f>
        <v>http://edge-bauerall-01-gos2.sharp-stream.com/net2cumbria.aac</v>
      </c>
      <c r="C71" s="5" t="s">
        <v>2680</v>
      </c>
      <c r="D71" t="s">
        <v>17</v>
      </c>
      <c r="E71" t="s">
        <v>18</v>
      </c>
      <c r="G71" s="2" t="str">
        <f>_xlfn.IFNA(VLOOKUP($C71,logos!$A$2:$D$1025,4,FALSE),"")</f>
        <v>Bauer Media</v>
      </c>
      <c r="H71" s="5" t="s">
        <v>19</v>
      </c>
      <c r="I71" s="5" t="s">
        <v>20</v>
      </c>
      <c r="J71" s="5" t="s">
        <v>21</v>
      </c>
      <c r="K71" s="2" t="str" cm="1">
        <f t="array" ref="K71">INDEX(stations!$B$1:$B$9974,MATCH(1,(stations!$A$1:$A$9974=master!$R71)*(stations!$E$1:$E$9974=master!$S71)*(stations!$B$1:$B$9974=master!$T71),0))</f>
        <v>48s</v>
      </c>
      <c r="L71" s="5" t="s">
        <v>23</v>
      </c>
      <c r="M71" t="s">
        <v>24</v>
      </c>
      <c r="O71" t="s">
        <v>25</v>
      </c>
      <c r="P71" s="2" t="b">
        <f>ISERROR(VLOOKUP($C71,logos!$A$2:$A$10003,1,FALSE))</f>
        <v>0</v>
      </c>
      <c r="Q71" s="2" t="str">
        <f>_xlfn.IFNA(VLOOKUP($C71,logos!$A$2:$B$10003,2,FALSE),"")</f>
        <v>Greatest Hits Radio (North West) (Cumbria).jpg</v>
      </c>
      <c r="R71" s="2" t="str">
        <f t="shared" si="2"/>
        <v>Greatest Hits Radio (North West) (Cumbria)</v>
      </c>
      <c r="S71" s="5" t="s">
        <v>6069</v>
      </c>
      <c r="T71" s="5" t="s">
        <v>1662</v>
      </c>
      <c r="U71" t="str" cm="1">
        <f t="array" ref="U71">INDEX(stations!$A$1:$A$9974,MATCH(1,(stations!$A$1:$A$9974=master!$R71)*(stations!$E$1:$E$9974=master!$S71)*(stations!$B$1:$B$9974=master!$T71),0))</f>
        <v>Greatest Hits Radio (North West) (Cumbria)</v>
      </c>
    </row>
    <row r="72" spans="1:21" hidden="1" x14ac:dyDescent="0.55000000000000004">
      <c r="A72">
        <v>570</v>
      </c>
      <c r="B72" s="2" t="str" cm="1">
        <f t="array" ref="B72">INDEX(stations!$C$1:$C$9974,MATCH(1,(stations!$A$1:$A$9974=master!$R72)*(stations!$E$1:$E$9974=master!$S72)*(stations!$B$1:$B$9974=master!$T72),0))</f>
        <v>http://edge-bauerall-01-gos2.sharp-stream.com/key.aac</v>
      </c>
      <c r="C72" s="5" t="s">
        <v>1605</v>
      </c>
      <c r="D72" t="s">
        <v>17</v>
      </c>
      <c r="E72" t="s">
        <v>18</v>
      </c>
      <c r="G72" s="2" t="str">
        <f>_xlfn.IFNA(VLOOKUP($C72,logos!$A$2:$D$1025,4,FALSE),"")</f>
        <v>Bauer Media</v>
      </c>
      <c r="H72" s="5" t="s">
        <v>19</v>
      </c>
      <c r="I72" s="5" t="s">
        <v>20</v>
      </c>
      <c r="J72" s="5" t="s">
        <v>21</v>
      </c>
      <c r="K72" s="2" t="str" cm="1">
        <f t="array" ref="K72">INDEX(stations!$B$1:$B$9974,MATCH(1,(stations!$A$1:$A$9974=master!$R72)*(stations!$E$1:$E$9974=master!$S72)*(stations!$B$1:$B$9974=master!$T72),0))</f>
        <v>48s</v>
      </c>
      <c r="L72" s="5" t="s">
        <v>23</v>
      </c>
      <c r="M72" t="s">
        <v>24</v>
      </c>
      <c r="O72" t="s">
        <v>25</v>
      </c>
      <c r="P72" s="2" t="b">
        <f>ISERROR(VLOOKUP($C72,logos!$A$2:$A$10003,1,FALSE))</f>
        <v>0</v>
      </c>
      <c r="Q72" s="2" t="str">
        <f>_xlfn.IFNA(VLOOKUP($C72,logos!$A$2:$B$10003,2,FALSE),"")</f>
        <v>Hits Radio (Manchester).jpg</v>
      </c>
      <c r="R72" s="2" t="str">
        <f t="shared" si="2"/>
        <v>Hits Radio (Manchester)</v>
      </c>
      <c r="S72" s="5" t="s">
        <v>6069</v>
      </c>
      <c r="T72" s="5" t="s">
        <v>1662</v>
      </c>
      <c r="U72" t="str" cm="1">
        <f t="array" ref="U72">INDEX(stations!$A$1:$A$9974,MATCH(1,(stations!$A$1:$A$9974=master!$R72)*(stations!$E$1:$E$9974=master!$S72)*(stations!$B$1:$B$9974=master!$T72),0))</f>
        <v>Hits Radio (Manchester)</v>
      </c>
    </row>
    <row r="73" spans="1:21" hidden="1" x14ac:dyDescent="0.55000000000000004">
      <c r="A73">
        <v>571</v>
      </c>
      <c r="B73" s="2" t="str" cm="1">
        <f t="array" ref="B73">INDEX(stations!$C$1:$C$9974,MATCH(1,(stations!$A$1:$A$9974=master!$R73)*(stations!$E$1:$E$9974=master!$S73)*(stations!$B$1:$B$9974=master!$T73),0))</f>
        <v>http://edge-bauerall-01-gos2.sharp-stream.com/hits.aac</v>
      </c>
      <c r="C73" s="5" t="s">
        <v>2760</v>
      </c>
      <c r="D73" t="s">
        <v>17</v>
      </c>
      <c r="E73" t="s">
        <v>18</v>
      </c>
      <c r="G73" s="2" t="str">
        <f>_xlfn.IFNA(VLOOKUP($C73,logos!$A$2:$D$1025,4,FALSE),"")</f>
        <v>Bauer Media</v>
      </c>
      <c r="H73" s="5" t="s">
        <v>19</v>
      </c>
      <c r="I73" s="5" t="s">
        <v>20</v>
      </c>
      <c r="J73" s="5" t="s">
        <v>21</v>
      </c>
      <c r="K73" s="2" t="str" cm="1">
        <f t="array" ref="K73">INDEX(stations!$B$1:$B$9974,MATCH(1,(stations!$A$1:$A$9974=master!$R73)*(stations!$E$1:$E$9974=master!$S73)*(stations!$B$1:$B$9974=master!$T73),0))</f>
        <v>48s</v>
      </c>
      <c r="L73" s="5" t="s">
        <v>23</v>
      </c>
      <c r="M73" t="s">
        <v>24</v>
      </c>
      <c r="O73" t="s">
        <v>25</v>
      </c>
      <c r="P73" s="2" t="b">
        <f>ISERROR(VLOOKUP($C73,logos!$A$2:$A$10003,1,FALSE))</f>
        <v>0</v>
      </c>
      <c r="Q73" s="2" t="str">
        <f>_xlfn.IFNA(VLOOKUP($C73,logos!$A$2:$B$10003,2,FALSE),"")</f>
        <v>Hits Radio (UK).jpg</v>
      </c>
      <c r="R73" s="2" t="str">
        <f t="shared" si="2"/>
        <v>Hits Radio (UK)</v>
      </c>
      <c r="S73" s="5" t="s">
        <v>6069</v>
      </c>
      <c r="T73" s="5" t="s">
        <v>1662</v>
      </c>
      <c r="U73" t="str" cm="1">
        <f t="array" ref="U73">INDEX(stations!$A$1:$A$9974,MATCH(1,(stations!$A$1:$A$9974=master!$R73)*(stations!$E$1:$E$9974=master!$S73)*(stations!$B$1:$B$9974=master!$T73),0))</f>
        <v>Hits Radio (UK)</v>
      </c>
    </row>
    <row r="74" spans="1:21" hidden="1" x14ac:dyDescent="0.55000000000000004">
      <c r="A74">
        <v>572</v>
      </c>
      <c r="B74" s="2" t="str" cm="1">
        <f t="array" ref="B74">INDEX(stations!$C$1:$C$9974,MATCH(1,(stations!$A$1:$A$9974=master!$R74)*(stations!$E$1:$E$9974=master!$S74)*(stations!$B$1:$B$9974=master!$T74),0))</f>
        <v>http://edge-bauerall-01-gos2.sharp-stream.com/hitsradiopride.aac</v>
      </c>
      <c r="C74" s="5" t="s">
        <v>702</v>
      </c>
      <c r="D74" t="s">
        <v>17</v>
      </c>
      <c r="E74" t="s">
        <v>18</v>
      </c>
      <c r="G74" s="2" t="str">
        <f>_xlfn.IFNA(VLOOKUP($C74,logos!$A$2:$D$1025,4,FALSE),"")</f>
        <v>Bauer Media</v>
      </c>
      <c r="H74" s="5" t="s">
        <v>19</v>
      </c>
      <c r="I74" s="5" t="s">
        <v>20</v>
      </c>
      <c r="J74" s="5" t="s">
        <v>21</v>
      </c>
      <c r="K74" s="2" t="str" cm="1">
        <f t="array" ref="K74">INDEX(stations!$B$1:$B$9974,MATCH(1,(stations!$A$1:$A$9974=master!$R74)*(stations!$E$1:$E$9974=master!$S74)*(stations!$B$1:$B$9974=master!$T74),0))</f>
        <v>48s</v>
      </c>
      <c r="L74" s="5" t="s">
        <v>23</v>
      </c>
      <c r="M74" t="s">
        <v>24</v>
      </c>
      <c r="O74" t="s">
        <v>25</v>
      </c>
      <c r="P74" s="2" t="b">
        <f>ISERROR(VLOOKUP($C74,logos!$A$2:$A$10003,1,FALSE))</f>
        <v>0</v>
      </c>
      <c r="Q74" s="2" t="str">
        <f>_xlfn.IFNA(VLOOKUP($C74,logos!$A$2:$B$10003,2,FALSE),"")</f>
        <v>Hits Radio Pride.jpg</v>
      </c>
      <c r="R74" s="2" t="str">
        <f t="shared" si="2"/>
        <v>Hits Radio Pride</v>
      </c>
      <c r="S74" s="5" t="s">
        <v>6069</v>
      </c>
      <c r="T74" s="5" t="s">
        <v>1662</v>
      </c>
      <c r="U74" t="str" cm="1">
        <f t="array" ref="U74">INDEX(stations!$A$1:$A$9974,MATCH(1,(stations!$A$1:$A$9974=master!$R74)*(stations!$E$1:$E$9974=master!$S74)*(stations!$B$1:$B$9974=master!$T74),0))</f>
        <v>Hits Radio Pride</v>
      </c>
    </row>
    <row r="75" spans="1:21" x14ac:dyDescent="0.55000000000000004">
      <c r="A75">
        <v>573</v>
      </c>
      <c r="B75" s="2" t="str" cm="1">
        <f t="array" ref="B75">INDEX(stations!$C$1:$C$9974,MATCH(1,(stations!$A$1:$A$9974=master!$R75)*(stations!$E$1:$E$9974=master!$S75)*(stations!$B$1:$B$9974=master!$T75),0))</f>
        <v>http://a.files.bbci.co.uk/media/live/manifesto/audio/simulcast/hls/uk/sbr_med/ak/bbc_radio_one_dance.m3u8</v>
      </c>
      <c r="C75" s="5" t="s">
        <v>6200</v>
      </c>
      <c r="D75" t="s">
        <v>17</v>
      </c>
      <c r="E75" t="s">
        <v>18</v>
      </c>
      <c r="G75" s="2" t="str">
        <f>_xlfn.IFNA(VLOOKUP($C75,logos!$A$2:$D$1025,4,FALSE),"")</f>
        <v>BBC</v>
      </c>
      <c r="H75" s="5" t="s">
        <v>19</v>
      </c>
      <c r="I75" s="5" t="s">
        <v>20</v>
      </c>
      <c r="J75" s="5" t="s">
        <v>21</v>
      </c>
      <c r="K75" s="2" t="str" cm="1">
        <f t="array" ref="K75">INDEX(stations!$B$1:$B$9974,MATCH(1,(stations!$A$1:$A$9974=master!$R75)*(stations!$E$1:$E$9974=master!$S75)*(stations!$B$1:$B$9974=master!$T75),0))</f>
        <v>128s</v>
      </c>
      <c r="L75" s="5" t="s">
        <v>23</v>
      </c>
      <c r="M75" t="s">
        <v>24</v>
      </c>
      <c r="N75" t="s">
        <v>25</v>
      </c>
      <c r="O75" t="s">
        <v>25</v>
      </c>
      <c r="P75" s="2" t="b">
        <f>ISERROR(VLOOKUP($C75,logos!$A$2:$A$10003,1,FALSE))</f>
        <v>0</v>
      </c>
      <c r="Q75" s="2" t="str">
        <f>_xlfn.IFNA(VLOOKUP($C75,logos!$A$2:$B$10003,2,FALSE),"")</f>
        <v>BBC Radio 1 Dance.jpg</v>
      </c>
      <c r="R75" s="2" t="str">
        <f t="shared" si="2"/>
        <v>BBC Radio 1 Dance</v>
      </c>
      <c r="S75" s="5" t="s">
        <v>6202</v>
      </c>
      <c r="T75" s="5" t="s">
        <v>1663</v>
      </c>
      <c r="U75" t="str" cm="1">
        <f t="array" ref="U75">INDEX(stations!$A$1:$A$9974,MATCH(1,(stations!$A$1:$A$9974=master!$R75)*(stations!$E$1:$E$9974=master!$S75)*(stations!$B$1:$B$9974=master!$T75),0))</f>
        <v>BBC Radio 1 Dance</v>
      </c>
    </row>
    <row r="76" spans="1:21" x14ac:dyDescent="0.55000000000000004">
      <c r="A76">
        <v>574</v>
      </c>
      <c r="B76" s="2" t="str" cm="1">
        <f t="array" ref="B76">INDEX(stations!$C$1:$C$9974,MATCH(1,(stations!$A$1:$A$9974=master!$R76)*(stations!$E$1:$E$9974=master!$S76)*(stations!$B$1:$B$9974=master!$T76),0))</f>
        <v>http://a.files.bbci.co.uk/media/live/manifesto/audio/simulcast/hls/uk/sbr_med/ak/bbc_radio_one_relax.m3u8</v>
      </c>
      <c r="C76" s="5" t="s">
        <v>6201</v>
      </c>
      <c r="D76" t="s">
        <v>17</v>
      </c>
      <c r="E76" t="s">
        <v>18</v>
      </c>
      <c r="G76" s="2" t="str">
        <f>_xlfn.IFNA(VLOOKUP($C76,logos!$A$2:$D$1025,4,FALSE),"")</f>
        <v>BBC</v>
      </c>
      <c r="H76" s="5" t="s">
        <v>19</v>
      </c>
      <c r="I76" s="5" t="s">
        <v>20</v>
      </c>
      <c r="J76" s="5" t="s">
        <v>21</v>
      </c>
      <c r="K76" s="2" t="str" cm="1">
        <f t="array" ref="K76">INDEX(stations!$B$1:$B$9974,MATCH(1,(stations!$A$1:$A$9974=master!$R76)*(stations!$E$1:$E$9974=master!$S76)*(stations!$B$1:$B$9974=master!$T76),0))</f>
        <v>128s</v>
      </c>
      <c r="L76" s="5" t="s">
        <v>23</v>
      </c>
      <c r="M76" t="s">
        <v>24</v>
      </c>
      <c r="N76" t="s">
        <v>25</v>
      </c>
      <c r="O76" t="s">
        <v>25</v>
      </c>
      <c r="P76" s="2" t="b">
        <f>ISERROR(VLOOKUP($C76,logos!$A$2:$A$10003,1,FALSE))</f>
        <v>0</v>
      </c>
      <c r="Q76" s="2" t="str">
        <f>_xlfn.IFNA(VLOOKUP($C76,logos!$A$2:$B$10003,2,FALSE),"")</f>
        <v>BBC Radio 1 Relax.jpg</v>
      </c>
      <c r="R76" s="2" t="str">
        <f t="shared" si="2"/>
        <v>BBC Radio 1 Relax</v>
      </c>
      <c r="S76" s="5" t="s">
        <v>6202</v>
      </c>
      <c r="T76" s="5" t="s">
        <v>1663</v>
      </c>
      <c r="U76" t="str" cm="1">
        <f t="array" ref="U76">INDEX(stations!$A$1:$A$9974,MATCH(1,(stations!$A$1:$A$9974=master!$R76)*(stations!$E$1:$E$9974=master!$S76)*(stations!$B$1:$B$9974=master!$T76),0))</f>
        <v>BBC Radio 1 Relax</v>
      </c>
    </row>
    <row r="77" spans="1:21" hidden="1" x14ac:dyDescent="0.55000000000000004">
      <c r="A77">
        <v>575</v>
      </c>
      <c r="B77" s="2" t="str" cm="1">
        <f t="array" ref="B77">INDEX(stations!$C$1:$C$9974,MATCH(1,(stations!$A$1:$A$9974=master!$R77)*(stations!$E$1:$E$9974=master!$S77)*(stations!$B$1:$B$9974=master!$T77),0))</f>
        <v>http://listen-boomradio.sharp-stream.com/65_boom_radio_live_48?ref=RF</v>
      </c>
      <c r="C77" s="5" t="s">
        <v>245</v>
      </c>
      <c r="D77" t="s">
        <v>17</v>
      </c>
      <c r="E77" t="s">
        <v>18</v>
      </c>
      <c r="G77" s="2" t="str">
        <f>_xlfn.IFNA(VLOOKUP($C77,logos!$A$2:$D$1025,4,FALSE),"")</f>
        <v>Aiir</v>
      </c>
      <c r="H77" s="5" t="s">
        <v>19</v>
      </c>
      <c r="I77" s="5" t="s">
        <v>20</v>
      </c>
      <c r="J77" s="5" t="s">
        <v>21</v>
      </c>
      <c r="K77" s="2" t="str" cm="1">
        <f t="array" ref="K77">INDEX(stations!$B$1:$B$9974,MATCH(1,(stations!$A$1:$A$9974=master!$R77)*(stations!$E$1:$E$9974=master!$S77)*(stations!$B$1:$B$9974=master!$T77),0))</f>
        <v>48s</v>
      </c>
      <c r="L77" s="5" t="s">
        <v>23</v>
      </c>
      <c r="M77" t="s">
        <v>24</v>
      </c>
      <c r="O77" t="s">
        <v>25</v>
      </c>
      <c r="P77" s="2" t="b">
        <f>ISERROR(VLOOKUP($C77,logos!$A$2:$A$10003,1,FALSE))</f>
        <v>0</v>
      </c>
      <c r="Q77" s="2" t="str">
        <f>_xlfn.IFNA(VLOOKUP($C77,logos!$A$2:$B$10003,2,FALSE),"")</f>
        <v>Boom Radio.png</v>
      </c>
      <c r="R77" s="2" t="str">
        <f t="shared" si="2"/>
        <v>Boom Radio</v>
      </c>
      <c r="S77" s="5" t="s">
        <v>2609</v>
      </c>
      <c r="T77" s="5" t="s">
        <v>1662</v>
      </c>
      <c r="U77" t="str" cm="1">
        <f t="array" ref="U77">INDEX(stations!$A$1:$A$9974,MATCH(1,(stations!$A$1:$A$9974=master!$R77)*(stations!$E$1:$E$9974=master!$S77)*(stations!$B$1:$B$9974=master!$T77),0))</f>
        <v>Boom Radio</v>
      </c>
    </row>
    <row r="78" spans="1:21" hidden="1" x14ac:dyDescent="0.55000000000000004">
      <c r="A78">
        <v>576</v>
      </c>
      <c r="B78" s="2" t="str" cm="1">
        <f t="array" ref="B78">INDEX(stations!$C$1:$C$9974,MATCH(1,(stations!$A$1:$A$9974=master!$R78)*(stations!$E$1:$E$9974=master!$S78)*(stations!$B$1:$B$9974=master!$T78),0))</f>
        <v>http://listen-boomradio.sharp-stream.com/65_boom_light_48_aac?ref=RF</v>
      </c>
      <c r="C78" s="5" t="s">
        <v>243</v>
      </c>
      <c r="D78" t="s">
        <v>17</v>
      </c>
      <c r="E78" t="s">
        <v>18</v>
      </c>
      <c r="G78" s="2" t="str">
        <f>_xlfn.IFNA(VLOOKUP($C78,logos!$A$2:$D$1025,4,FALSE),"")</f>
        <v>Aiir</v>
      </c>
      <c r="H78" s="5" t="s">
        <v>19</v>
      </c>
      <c r="I78" s="5" t="s">
        <v>20</v>
      </c>
      <c r="J78" s="5" t="s">
        <v>21</v>
      </c>
      <c r="K78" s="2" t="str" cm="1">
        <f t="array" ref="K78">INDEX(stations!$B$1:$B$9974,MATCH(1,(stations!$A$1:$A$9974=master!$R78)*(stations!$E$1:$E$9974=master!$S78)*(stations!$B$1:$B$9974=master!$T78),0))</f>
        <v>48s</v>
      </c>
      <c r="L78" s="5" t="s">
        <v>23</v>
      </c>
      <c r="M78" t="s">
        <v>24</v>
      </c>
      <c r="O78" t="s">
        <v>25</v>
      </c>
      <c r="P78" s="2" t="b">
        <f>ISERROR(VLOOKUP($C78,logos!$A$2:$A$10003,1,FALSE))</f>
        <v>0</v>
      </c>
      <c r="Q78" s="2" t="str">
        <f>_xlfn.IFNA(VLOOKUP($C78,logos!$A$2:$B$10003,2,FALSE),"")</f>
        <v>Boom Light.png</v>
      </c>
      <c r="R78" s="2" t="str">
        <f t="shared" si="2"/>
        <v>Boom Light</v>
      </c>
      <c r="S78" s="5" t="s">
        <v>2609</v>
      </c>
      <c r="T78" s="5" t="s">
        <v>1662</v>
      </c>
      <c r="U78" t="str" cm="1">
        <f t="array" ref="U78">INDEX(stations!$A$1:$A$9974,MATCH(1,(stations!$A$1:$A$9974=master!$R78)*(stations!$E$1:$E$9974=master!$S78)*(stations!$B$1:$B$9974=master!$T78),0))</f>
        <v>Boom Light</v>
      </c>
    </row>
    <row r="79" spans="1:21" hidden="1" x14ac:dyDescent="0.55000000000000004">
      <c r="A79">
        <v>577</v>
      </c>
      <c r="B79" s="2" t="str" cm="1">
        <f t="array" ref="B79">INDEX(stations!$C$1:$C$9974,MATCH(1,(stations!$A$1:$A$9974=master!$R79)*(stations!$E$1:$E$9974=master!$S79)*(stations!$B$1:$B$9974=master!$T79),0))</f>
        <v>http://edge-bauerall-01-gos2.sharp-stream.com/cfm.aac</v>
      </c>
      <c r="C79" s="5" t="s">
        <v>2651</v>
      </c>
      <c r="D79" t="s">
        <v>17</v>
      </c>
      <c r="E79" t="s">
        <v>18</v>
      </c>
      <c r="G79" s="2" t="str">
        <f>_xlfn.IFNA(VLOOKUP($C79,logos!$A$2:$D$1025,4,FALSE),"")</f>
        <v>Bauer Media</v>
      </c>
      <c r="H79" s="5" t="s">
        <v>19</v>
      </c>
      <c r="I79" s="5" t="s">
        <v>20</v>
      </c>
      <c r="J79" s="5" t="s">
        <v>21</v>
      </c>
      <c r="K79" s="2" t="str" cm="1">
        <f t="array" ref="K79">INDEX(stations!$B$1:$B$9974,MATCH(1,(stations!$A$1:$A$9974=master!$R79)*(stations!$E$1:$E$9974=master!$S79)*(stations!$B$1:$B$9974=master!$T79),0))</f>
        <v>48s</v>
      </c>
      <c r="L79" s="5" t="s">
        <v>23</v>
      </c>
      <c r="M79" t="s">
        <v>24</v>
      </c>
      <c r="O79" t="s">
        <v>25</v>
      </c>
      <c r="P79" s="2" t="b">
        <f>ISERROR(VLOOKUP($C79,logos!$A$2:$A$10003,1,FALSE))</f>
        <v>0</v>
      </c>
      <c r="Q79" s="2" t="str">
        <f>_xlfn.IFNA(VLOOKUP($C79,logos!$A$2:$B$10003,2,FALSE),"")</f>
        <v>CFM (East).jpg</v>
      </c>
      <c r="R79" s="2" t="str">
        <f t="shared" ref="R79:R108" si="3">C79</f>
        <v>CFM (East)</v>
      </c>
      <c r="S79" s="5" t="s">
        <v>6069</v>
      </c>
      <c r="T79" s="5" t="s">
        <v>1662</v>
      </c>
      <c r="U79" t="str" cm="1">
        <f t="array" ref="U79">INDEX(stations!$A$1:$A$9974,MATCH(1,(stations!$A$1:$A$9974=master!$R79)*(stations!$E$1:$E$9974=master!$S79)*(stations!$B$1:$B$9974=master!$T79),0))</f>
        <v>CFM (East)</v>
      </c>
    </row>
    <row r="80" spans="1:21" hidden="1" x14ac:dyDescent="0.55000000000000004">
      <c r="A80">
        <v>578</v>
      </c>
      <c r="B80" s="2" t="str" cm="1">
        <f t="array" ref="B80">INDEX(stations!$C$1:$C$9974,MATCH(1,(stations!$A$1:$A$9974=master!$R80)*(stations!$E$1:$E$9974=master!$S80)*(stations!$B$1:$B$9974=master!$T80),0))</f>
        <v>http://edge-bauerall-01-gos2.sharp-stream.com/clyde1.aac</v>
      </c>
      <c r="C80" s="5" t="s">
        <v>347</v>
      </c>
      <c r="D80" t="s">
        <v>17</v>
      </c>
      <c r="E80" t="s">
        <v>18</v>
      </c>
      <c r="G80" s="2" t="str">
        <f>_xlfn.IFNA(VLOOKUP($C80,logos!$A$2:$D$1025,4,FALSE),"")</f>
        <v>Bauer Media</v>
      </c>
      <c r="H80" s="5" t="s">
        <v>19</v>
      </c>
      <c r="I80" s="5" t="s">
        <v>20</v>
      </c>
      <c r="J80" s="5" t="s">
        <v>21</v>
      </c>
      <c r="K80" s="2" t="str" cm="1">
        <f t="array" ref="K80">INDEX(stations!$B$1:$B$9974,MATCH(1,(stations!$A$1:$A$9974=master!$R80)*(stations!$E$1:$E$9974=master!$S80)*(stations!$B$1:$B$9974=master!$T80),0))</f>
        <v>48s</v>
      </c>
      <c r="L80" s="5" t="s">
        <v>23</v>
      </c>
      <c r="M80" t="s">
        <v>24</v>
      </c>
      <c r="O80" t="s">
        <v>25</v>
      </c>
      <c r="P80" s="2" t="b">
        <f>ISERROR(VLOOKUP($C80,logos!$A$2:$A$10003,1,FALSE))</f>
        <v>0</v>
      </c>
      <c r="Q80" s="2" t="str">
        <f>_xlfn.IFNA(VLOOKUP($C80,logos!$A$2:$B$10003,2,FALSE),"")</f>
        <v>Clyde 1.jpg</v>
      </c>
      <c r="R80" s="2" t="str">
        <f t="shared" si="3"/>
        <v>Clyde 1</v>
      </c>
      <c r="S80" s="5" t="s">
        <v>6069</v>
      </c>
      <c r="T80" s="5" t="s">
        <v>1662</v>
      </c>
      <c r="U80" t="str" cm="1">
        <f t="array" ref="U80">INDEX(stations!$A$1:$A$9974,MATCH(1,(stations!$A$1:$A$9974=master!$R80)*(stations!$E$1:$E$9974=master!$S80)*(stations!$B$1:$B$9974=master!$T80),0))</f>
        <v>Clyde 1</v>
      </c>
    </row>
    <row r="81" spans="1:21" hidden="1" x14ac:dyDescent="0.55000000000000004">
      <c r="A81">
        <v>579</v>
      </c>
      <c r="B81" s="2" t="str" cm="1">
        <f t="array" ref="B81">INDEX(stations!$C$1:$C$9974,MATCH(1,(stations!$A$1:$A$9974=master!$R81)*(stations!$E$1:$E$9974=master!$S81)*(stations!$B$1:$B$9974=master!$T81),0))</f>
        <v>http://edge-bauerall-01-gos2.sharp-stream.com/clyde2.aac</v>
      </c>
      <c r="C81" s="5" t="s">
        <v>349</v>
      </c>
      <c r="D81" t="s">
        <v>17</v>
      </c>
      <c r="E81" t="s">
        <v>18</v>
      </c>
      <c r="G81" s="2" t="str">
        <f>_xlfn.IFNA(VLOOKUP($C81,logos!$A$2:$D$1025,4,FALSE),"")</f>
        <v>Bauer Media</v>
      </c>
      <c r="H81" s="5" t="s">
        <v>19</v>
      </c>
      <c r="I81" s="5" t="s">
        <v>20</v>
      </c>
      <c r="J81" s="5" t="s">
        <v>21</v>
      </c>
      <c r="K81" s="2" t="str" cm="1">
        <f t="array" ref="K81">INDEX(stations!$B$1:$B$9974,MATCH(1,(stations!$A$1:$A$9974=master!$R81)*(stations!$E$1:$E$9974=master!$S81)*(stations!$B$1:$B$9974=master!$T81),0))</f>
        <v>48s</v>
      </c>
      <c r="L81" s="5" t="s">
        <v>23</v>
      </c>
      <c r="M81" t="s">
        <v>24</v>
      </c>
      <c r="O81" t="s">
        <v>25</v>
      </c>
      <c r="P81" s="2" t="b">
        <f>ISERROR(VLOOKUP($C81,logos!$A$2:$A$10003,1,FALSE))</f>
        <v>0</v>
      </c>
      <c r="Q81" s="2" t="str">
        <f>_xlfn.IFNA(VLOOKUP($C81,logos!$A$2:$B$10003,2,FALSE),"")</f>
        <v>Clyde 2.jpg</v>
      </c>
      <c r="R81" s="2" t="str">
        <f t="shared" si="3"/>
        <v>Clyde 2</v>
      </c>
      <c r="S81" s="5" t="s">
        <v>6069</v>
      </c>
      <c r="T81" s="5" t="s">
        <v>1662</v>
      </c>
      <c r="U81" t="str" cm="1">
        <f t="array" ref="U81">INDEX(stations!$A$1:$A$9974,MATCH(1,(stations!$A$1:$A$9974=master!$R81)*(stations!$E$1:$E$9974=master!$S81)*(stations!$B$1:$B$9974=master!$T81),0))</f>
        <v>Clyde 2</v>
      </c>
    </row>
    <row r="82" spans="1:21" hidden="1" x14ac:dyDescent="0.55000000000000004">
      <c r="A82">
        <v>580</v>
      </c>
      <c r="B82" s="2" t="str" cm="1">
        <f t="array" ref="B82">INDEX(stations!$C$1:$C$9974,MATCH(1,(stations!$A$1:$A$9974=master!$R82)*(stations!$E$1:$E$9974=master!$S82)*(stations!$B$1:$B$9974=master!$T82),0))</f>
        <v>http://edge-bauerall-01-gos2.sharp-stream.com/coolfm.aac</v>
      </c>
      <c r="C82" s="5" t="s">
        <v>355</v>
      </c>
      <c r="D82" t="s">
        <v>17</v>
      </c>
      <c r="E82" t="s">
        <v>18</v>
      </c>
      <c r="G82" s="2" t="str">
        <f>_xlfn.IFNA(VLOOKUP($C82,logos!$A$2:$D$1025,4,FALSE),"")</f>
        <v>Bauer Media</v>
      </c>
      <c r="H82" s="5" t="s">
        <v>19</v>
      </c>
      <c r="I82" s="5" t="s">
        <v>20</v>
      </c>
      <c r="J82" s="5" t="s">
        <v>21</v>
      </c>
      <c r="K82" s="2" t="str" cm="1">
        <f t="array" ref="K82">INDEX(stations!$B$1:$B$9974,MATCH(1,(stations!$A$1:$A$9974=master!$R82)*(stations!$E$1:$E$9974=master!$S82)*(stations!$B$1:$B$9974=master!$T82),0))</f>
        <v>48s</v>
      </c>
      <c r="L82" s="5" t="s">
        <v>23</v>
      </c>
      <c r="M82" t="s">
        <v>24</v>
      </c>
      <c r="O82" t="s">
        <v>25</v>
      </c>
      <c r="P82" s="2" t="b">
        <f>ISERROR(VLOOKUP($C82,logos!$A$2:$A$10003,1,FALSE))</f>
        <v>0</v>
      </c>
      <c r="Q82" s="2" t="str">
        <f>_xlfn.IFNA(VLOOKUP($C82,logos!$A$2:$B$10003,2,FALSE),"")</f>
        <v>Cool FM.jpg</v>
      </c>
      <c r="R82" s="2" t="str">
        <f t="shared" si="3"/>
        <v>Cool FM</v>
      </c>
      <c r="S82" s="5" t="s">
        <v>6069</v>
      </c>
      <c r="T82" s="5" t="s">
        <v>1662</v>
      </c>
      <c r="U82" t="str" cm="1">
        <f t="array" ref="U82">INDEX(stations!$A$1:$A$9974,MATCH(1,(stations!$A$1:$A$9974=master!$R82)*(stations!$E$1:$E$9974=master!$S82)*(stations!$B$1:$B$9974=master!$T82),0))</f>
        <v>Cool FM</v>
      </c>
    </row>
    <row r="83" spans="1:21" hidden="1" x14ac:dyDescent="0.55000000000000004">
      <c r="A83">
        <v>581</v>
      </c>
      <c r="B83" s="2" t="str" cm="1">
        <f t="array" ref="B83">INDEX(stations!$C$1:$C$9974,MATCH(1,(stations!$A$1:$A$9974=master!$R83)*(stations!$E$1:$E$9974=master!$S83)*(stations!$B$1:$B$9974=master!$T83),0))</f>
        <v>http://edge-bauerall-01-gos2.sharp-stream.com/downtowncountry.aac</v>
      </c>
      <c r="C83" s="5" t="s">
        <v>377</v>
      </c>
      <c r="D83" t="s">
        <v>17</v>
      </c>
      <c r="E83" t="s">
        <v>18</v>
      </c>
      <c r="G83" s="2" t="str">
        <f>_xlfn.IFNA(VLOOKUP($C83,logos!$A$2:$D$1025,4,FALSE),"")</f>
        <v>Bauer Media</v>
      </c>
      <c r="H83" s="5" t="s">
        <v>19</v>
      </c>
      <c r="I83" s="5" t="s">
        <v>20</v>
      </c>
      <c r="J83" s="5" t="s">
        <v>21</v>
      </c>
      <c r="K83" s="2" t="str" cm="1">
        <f t="array" ref="K83">INDEX(stations!$B$1:$B$9974,MATCH(1,(stations!$A$1:$A$9974=master!$R83)*(stations!$E$1:$E$9974=master!$S83)*(stations!$B$1:$B$9974=master!$T83),0))</f>
        <v>48s</v>
      </c>
      <c r="L83" s="5" t="s">
        <v>23</v>
      </c>
      <c r="M83" t="s">
        <v>24</v>
      </c>
      <c r="O83" t="s">
        <v>25</v>
      </c>
      <c r="P83" s="2" t="b">
        <f>ISERROR(VLOOKUP($C83,logos!$A$2:$A$10003,1,FALSE))</f>
        <v>0</v>
      </c>
      <c r="Q83" s="2" t="str">
        <f>_xlfn.IFNA(VLOOKUP($C83,logos!$A$2:$B$10003,2,FALSE),"")</f>
        <v>Downtown Country.jpg</v>
      </c>
      <c r="R83" s="2" t="str">
        <f t="shared" si="3"/>
        <v>Downtown Country</v>
      </c>
      <c r="S83" s="5" t="s">
        <v>6069</v>
      </c>
      <c r="T83" s="5" t="s">
        <v>1662</v>
      </c>
      <c r="U83" t="str" cm="1">
        <f t="array" ref="U83">INDEX(stations!$A$1:$A$9974,MATCH(1,(stations!$A$1:$A$9974=master!$R83)*(stations!$E$1:$E$9974=master!$S83)*(stations!$B$1:$B$9974=master!$T83),0))</f>
        <v>Downtown Country</v>
      </c>
    </row>
    <row r="84" spans="1:21" hidden="1" x14ac:dyDescent="0.55000000000000004">
      <c r="A84">
        <v>582</v>
      </c>
      <c r="B84" s="2" t="str" cm="1">
        <f t="array" ref="B84">INDEX(stations!$C$1:$C$9974,MATCH(1,(stations!$A$1:$A$9974=master!$R84)*(stations!$E$1:$E$9974=master!$S84)*(stations!$B$1:$B$9974=master!$T84),0))</f>
        <v>http://edge-bauerall-01-gos2.sharp-stream.com/downtown.aac</v>
      </c>
      <c r="C84" s="5" t="s">
        <v>379</v>
      </c>
      <c r="D84" t="s">
        <v>17</v>
      </c>
      <c r="E84" t="s">
        <v>18</v>
      </c>
      <c r="G84" s="2" t="str">
        <f>_xlfn.IFNA(VLOOKUP($C84,logos!$A$2:$D$1025,4,FALSE),"")</f>
        <v>Bauer Media</v>
      </c>
      <c r="H84" s="5" t="s">
        <v>19</v>
      </c>
      <c r="I84" s="5" t="s">
        <v>20</v>
      </c>
      <c r="J84" s="5" t="s">
        <v>21</v>
      </c>
      <c r="K84" s="2" t="str" cm="1">
        <f t="array" ref="K84">INDEX(stations!$B$1:$B$9974,MATCH(1,(stations!$A$1:$A$9974=master!$R84)*(stations!$E$1:$E$9974=master!$S84)*(stations!$B$1:$B$9974=master!$T84),0))</f>
        <v>48s</v>
      </c>
      <c r="L84" s="5" t="s">
        <v>23</v>
      </c>
      <c r="M84" t="s">
        <v>24</v>
      </c>
      <c r="O84" t="s">
        <v>25</v>
      </c>
      <c r="P84" s="2" t="b">
        <f>ISERROR(VLOOKUP($C84,logos!$A$2:$A$10003,1,FALSE))</f>
        <v>0</v>
      </c>
      <c r="Q84" s="2" t="str">
        <f>_xlfn.IFNA(VLOOKUP($C84,logos!$A$2:$B$10003,2,FALSE),"")</f>
        <v>Downtown Radio.jpg</v>
      </c>
      <c r="R84" s="2" t="str">
        <f t="shared" si="3"/>
        <v>Downtown Radio</v>
      </c>
      <c r="S84" s="5" t="s">
        <v>6069</v>
      </c>
      <c r="T84" s="5" t="s">
        <v>1662</v>
      </c>
      <c r="U84" t="str" cm="1">
        <f t="array" ref="U84">INDEX(stations!$A$1:$A$9974,MATCH(1,(stations!$A$1:$A$9974=master!$R84)*(stations!$E$1:$E$9974=master!$S84)*(stations!$B$1:$B$9974=master!$T84),0))</f>
        <v>Downtown Radio</v>
      </c>
    </row>
    <row r="85" spans="1:21" hidden="1" x14ac:dyDescent="0.55000000000000004">
      <c r="A85">
        <v>583</v>
      </c>
      <c r="B85" s="2" t="str" cm="1">
        <f t="array" ref="B85">INDEX(stations!$C$1:$C$9974,MATCH(1,(stations!$A$1:$A$9974=master!$R85)*(stations!$E$1:$E$9974=master!$S85)*(stations!$B$1:$B$9974=master!$T85),0))</f>
        <v>http://edge-bauerall-01-gos2.sharp-stream.com/freebirmingham.aac</v>
      </c>
      <c r="C85" s="5" t="s">
        <v>1576</v>
      </c>
      <c r="D85" t="s">
        <v>17</v>
      </c>
      <c r="E85" t="s">
        <v>18</v>
      </c>
      <c r="G85" s="2" t="str">
        <f>_xlfn.IFNA(VLOOKUP($C85,logos!$A$2:$D$1025,4,FALSE),"")</f>
        <v>Bauer Media</v>
      </c>
      <c r="H85" s="5" t="s">
        <v>19</v>
      </c>
      <c r="I85" s="5" t="s">
        <v>20</v>
      </c>
      <c r="J85" s="5" t="s">
        <v>21</v>
      </c>
      <c r="K85" s="2" t="str" cm="1">
        <f t="array" ref="K85">INDEX(stations!$B$1:$B$9974,MATCH(1,(stations!$A$1:$A$9974=master!$R85)*(stations!$E$1:$E$9974=master!$S85)*(stations!$B$1:$B$9974=master!$T85),0))</f>
        <v>48s</v>
      </c>
      <c r="L85" s="5" t="s">
        <v>23</v>
      </c>
      <c r="M85" t="s">
        <v>24</v>
      </c>
      <c r="O85" t="s">
        <v>25</v>
      </c>
      <c r="P85" s="2" t="b">
        <f>ISERROR(VLOOKUP($C85,logos!$A$2:$A$10003,1,FALSE))</f>
        <v>0</v>
      </c>
      <c r="Q85" s="2" t="str">
        <f>_xlfn.IFNA(VLOOKUP($C85,logos!$A$2:$B$10003,2,FALSE),"")</f>
        <v>Free Radio (Birmingham).jpg</v>
      </c>
      <c r="R85" s="2" t="str">
        <f t="shared" si="3"/>
        <v>Free Radio (Birmingham)</v>
      </c>
      <c r="S85" s="5" t="s">
        <v>6069</v>
      </c>
      <c r="T85" s="5" t="s">
        <v>1662</v>
      </c>
      <c r="U85" t="str" cm="1">
        <f t="array" ref="U85">INDEX(stations!$A$1:$A$9974,MATCH(1,(stations!$A$1:$A$9974=master!$R85)*(stations!$E$1:$E$9974=master!$S85)*(stations!$B$1:$B$9974=master!$T85),0))</f>
        <v>Free Radio (Birmingham)</v>
      </c>
    </row>
    <row r="86" spans="1:21" hidden="1" x14ac:dyDescent="0.55000000000000004">
      <c r="A86">
        <v>584</v>
      </c>
      <c r="B86" s="2" t="str" cm="1">
        <f t="array" ref="B86">INDEX(stations!$C$1:$C$9974,MATCH(1,(stations!$A$1:$A$9974=master!$R86)*(stations!$E$1:$E$9974=master!$S86)*(stations!$B$1:$B$9974=master!$T86),0))</f>
        <v>http://edge-bauerall-01-gos2.sharp-stream.com/gem106.aac</v>
      </c>
      <c r="C86" s="5" t="s">
        <v>451</v>
      </c>
      <c r="D86" t="s">
        <v>17</v>
      </c>
      <c r="E86" t="s">
        <v>18</v>
      </c>
      <c r="G86" s="2" t="str">
        <f>_xlfn.IFNA(VLOOKUP($C86,logos!$A$2:$D$1025,4,FALSE),"")</f>
        <v>Bauer Media</v>
      </c>
      <c r="H86" s="5" t="s">
        <v>19</v>
      </c>
      <c r="I86" s="5" t="s">
        <v>20</v>
      </c>
      <c r="J86" s="5" t="s">
        <v>21</v>
      </c>
      <c r="K86" s="2" t="str" cm="1">
        <f t="array" ref="K86">INDEX(stations!$B$1:$B$9974,MATCH(1,(stations!$A$1:$A$9974=master!$R86)*(stations!$E$1:$E$9974=master!$S86)*(stations!$B$1:$B$9974=master!$T86),0))</f>
        <v>48s</v>
      </c>
      <c r="L86" s="5" t="s">
        <v>23</v>
      </c>
      <c r="M86" t="s">
        <v>24</v>
      </c>
      <c r="O86" t="s">
        <v>25</v>
      </c>
      <c r="P86" s="2" t="b">
        <f>ISERROR(VLOOKUP($C86,logos!$A$2:$A$10003,1,FALSE))</f>
        <v>0</v>
      </c>
      <c r="Q86" s="2" t="str">
        <f>_xlfn.IFNA(VLOOKUP($C86,logos!$A$2:$B$10003,2,FALSE),"")</f>
        <v>Gem.jpg</v>
      </c>
      <c r="R86" s="2" t="str">
        <f t="shared" si="3"/>
        <v>Gem</v>
      </c>
      <c r="S86" s="5" t="s">
        <v>6069</v>
      </c>
      <c r="T86" s="5" t="s">
        <v>1662</v>
      </c>
      <c r="U86" t="str" cm="1">
        <f t="array" ref="U86">INDEX(stations!$A$1:$A$9974,MATCH(1,(stations!$A$1:$A$9974=master!$R86)*(stations!$E$1:$E$9974=master!$S86)*(stations!$B$1:$B$9974=master!$T86),0))</f>
        <v>Gem</v>
      </c>
    </row>
    <row r="87" spans="1:21" hidden="1" x14ac:dyDescent="0.55000000000000004">
      <c r="A87">
        <v>585</v>
      </c>
      <c r="B87" s="2" t="str" cm="1">
        <f t="array" ref="B87">INDEX(stations!$C$1:$C$9974,MATCH(1,(stations!$A$1:$A$9974=master!$R87)*(stations!$E$1:$E$9974=master!$S87)*(stations!$B$1:$B$9974=master!$T87),0))</f>
        <v>http://edge-bauerall-01-gos2.sharp-stream.com/hallam.aac</v>
      </c>
      <c r="C87" s="5" t="s">
        <v>566</v>
      </c>
      <c r="D87" t="s">
        <v>17</v>
      </c>
      <c r="E87" t="s">
        <v>18</v>
      </c>
      <c r="G87" s="2" t="str">
        <f>_xlfn.IFNA(VLOOKUP($C87,logos!$A$2:$D$1025,4,FALSE),"")</f>
        <v>Bauer Media</v>
      </c>
      <c r="H87" s="5" t="s">
        <v>19</v>
      </c>
      <c r="I87" s="5" t="s">
        <v>20</v>
      </c>
      <c r="J87" s="5" t="s">
        <v>21</v>
      </c>
      <c r="K87" s="2" t="str" cm="1">
        <f t="array" ref="K87">INDEX(stations!$B$1:$B$9974,MATCH(1,(stations!$A$1:$A$9974=master!$R87)*(stations!$E$1:$E$9974=master!$S87)*(stations!$B$1:$B$9974=master!$T87),0))</f>
        <v>48s</v>
      </c>
      <c r="L87" s="5" t="s">
        <v>23</v>
      </c>
      <c r="M87" t="s">
        <v>24</v>
      </c>
      <c r="O87" t="s">
        <v>25</v>
      </c>
      <c r="P87" s="2" t="b">
        <f>ISERROR(VLOOKUP($C87,logos!$A$2:$A$10003,1,FALSE))</f>
        <v>0</v>
      </c>
      <c r="Q87" s="2" t="str">
        <f>_xlfn.IFNA(VLOOKUP($C87,logos!$A$2:$B$10003,2,FALSE),"")</f>
        <v>Hallam FM.jpg</v>
      </c>
      <c r="R87" s="2" t="str">
        <f t="shared" si="3"/>
        <v>Hallam FM</v>
      </c>
      <c r="S87" s="5" t="s">
        <v>6069</v>
      </c>
      <c r="T87" s="5" t="s">
        <v>1662</v>
      </c>
      <c r="U87" t="str" cm="1">
        <f t="array" ref="U87">INDEX(stations!$A$1:$A$9974,MATCH(1,(stations!$A$1:$A$9974=master!$R87)*(stations!$E$1:$E$9974=master!$S87)*(stations!$B$1:$B$9974=master!$T87),0))</f>
        <v>Hallam FM</v>
      </c>
    </row>
    <row r="88" spans="1:21" hidden="1" x14ac:dyDescent="0.55000000000000004">
      <c r="A88">
        <v>586</v>
      </c>
      <c r="B88" s="2" t="str" cm="1">
        <f t="array" ref="B88">INDEX(stations!$C$1:$C$9974,MATCH(1,(stations!$A$1:$A$9974=master!$R88)*(stations!$E$1:$E$9974=master!$S88)*(stations!$B$1:$B$9974=master!$T88),0))</f>
        <v>http://edge-bauerall-01-gos2.sharp-stream.com/net1lincoln.aac</v>
      </c>
      <c r="C88" s="5" t="s">
        <v>787</v>
      </c>
      <c r="D88" t="s">
        <v>17</v>
      </c>
      <c r="E88" t="s">
        <v>18</v>
      </c>
      <c r="G88" s="2" t="str">
        <f>_xlfn.IFNA(VLOOKUP($C88,logos!$A$2:$D$1025,4,FALSE),"")</f>
        <v>Bauer Media</v>
      </c>
      <c r="H88" s="5" t="s">
        <v>19</v>
      </c>
      <c r="I88" s="5" t="s">
        <v>20</v>
      </c>
      <c r="J88" s="5" t="s">
        <v>21</v>
      </c>
      <c r="K88" s="2" t="str" cm="1">
        <f t="array" ref="K88">INDEX(stations!$B$1:$B$9974,MATCH(1,(stations!$A$1:$A$9974=master!$R88)*(stations!$E$1:$E$9974=master!$S88)*(stations!$B$1:$B$9974=master!$T88),0))</f>
        <v>48s</v>
      </c>
      <c r="L88" s="5" t="s">
        <v>23</v>
      </c>
      <c r="M88" t="s">
        <v>24</v>
      </c>
      <c r="O88" t="s">
        <v>25</v>
      </c>
      <c r="P88" s="2" t="b">
        <f>ISERROR(VLOOKUP($C88,logos!$A$2:$A$10003,1,FALSE))</f>
        <v>0</v>
      </c>
      <c r="Q88" s="2" t="str">
        <f>_xlfn.IFNA(VLOOKUP($C88,logos!$A$2:$B$10003,2,FALSE),"")</f>
        <v>Lincs FM.jpg</v>
      </c>
      <c r="R88" s="2" t="str">
        <f t="shared" si="3"/>
        <v>Lincs FM</v>
      </c>
      <c r="S88" s="5" t="s">
        <v>6069</v>
      </c>
      <c r="T88" s="5" t="s">
        <v>1662</v>
      </c>
      <c r="U88" t="str" cm="1">
        <f t="array" ref="U88">INDEX(stations!$A$1:$A$9974,MATCH(1,(stations!$A$1:$A$9974=master!$R88)*(stations!$E$1:$E$9974=master!$S88)*(stations!$B$1:$B$9974=master!$T88),0))</f>
        <v>Lincs FM</v>
      </c>
    </row>
    <row r="89" spans="1:21" hidden="1" x14ac:dyDescent="0.55000000000000004">
      <c r="A89">
        <v>587</v>
      </c>
      <c r="B89" s="2" t="str" cm="1">
        <f t="array" ref="B89">INDEX(stations!$C$1:$C$9974,MATCH(1,(stations!$A$1:$A$9974=master!$R89)*(stations!$E$1:$E$9974=master!$S89)*(stations!$B$1:$B$9974=master!$T89),0))</f>
        <v>http://edge-bauerall-01-gos2.sharp-stream.com/metro.aac</v>
      </c>
      <c r="C89" s="5" t="s">
        <v>825</v>
      </c>
      <c r="D89" t="s">
        <v>17</v>
      </c>
      <c r="E89" t="s">
        <v>18</v>
      </c>
      <c r="G89" s="2" t="str">
        <f>_xlfn.IFNA(VLOOKUP($C89,logos!$A$2:$D$1025,4,FALSE),"")</f>
        <v>Bauer Media</v>
      </c>
      <c r="H89" s="5" t="s">
        <v>19</v>
      </c>
      <c r="I89" s="5" t="s">
        <v>20</v>
      </c>
      <c r="J89" s="5" t="s">
        <v>21</v>
      </c>
      <c r="K89" s="2" t="str" cm="1">
        <f t="array" ref="K89">INDEX(stations!$B$1:$B$9974,MATCH(1,(stations!$A$1:$A$9974=master!$R89)*(stations!$E$1:$E$9974=master!$S89)*(stations!$B$1:$B$9974=master!$T89),0))</f>
        <v>48s</v>
      </c>
      <c r="L89" s="5" t="s">
        <v>23</v>
      </c>
      <c r="M89" t="s">
        <v>24</v>
      </c>
      <c r="O89" t="s">
        <v>25</v>
      </c>
      <c r="P89" s="2" t="b">
        <f>ISERROR(VLOOKUP($C89,logos!$A$2:$A$10003,1,FALSE))</f>
        <v>0</v>
      </c>
      <c r="Q89" s="2" t="str">
        <f>_xlfn.IFNA(VLOOKUP($C89,logos!$A$2:$B$10003,2,FALSE),"")</f>
        <v>Metro Radio.jpg</v>
      </c>
      <c r="R89" s="2" t="str">
        <f t="shared" si="3"/>
        <v>Metro Radio</v>
      </c>
      <c r="S89" s="5" t="s">
        <v>6069</v>
      </c>
      <c r="T89" s="5" t="s">
        <v>1662</v>
      </c>
      <c r="U89" t="str" cm="1">
        <f t="array" ref="U89">INDEX(stations!$A$1:$A$9974,MATCH(1,(stations!$A$1:$A$9974=master!$R89)*(stations!$E$1:$E$9974=master!$S89)*(stations!$B$1:$B$9974=master!$T89),0))</f>
        <v>Metro Radio</v>
      </c>
    </row>
    <row r="90" spans="1:21" hidden="1" x14ac:dyDescent="0.55000000000000004">
      <c r="A90">
        <v>588</v>
      </c>
      <c r="B90" s="2" t="str" cm="1">
        <f t="array" ref="B90">INDEX(stations!$C$1:$C$9974,MATCH(1,(stations!$A$1:$A$9974=master!$R90)*(stations!$E$1:$E$9974=master!$S90)*(stations!$B$1:$B$9974=master!$T90),0))</f>
        <v>http://edge-bauerall-01-gos2.sharp-stream.com/mfrfm.aac</v>
      </c>
      <c r="C90" s="5" t="s">
        <v>827</v>
      </c>
      <c r="D90" t="s">
        <v>17</v>
      </c>
      <c r="E90" t="s">
        <v>18</v>
      </c>
      <c r="G90" s="2" t="str">
        <f>_xlfn.IFNA(VLOOKUP($C90,logos!$A$2:$D$1025,4,FALSE),"")</f>
        <v>Bauer Media</v>
      </c>
      <c r="H90" s="5" t="s">
        <v>19</v>
      </c>
      <c r="I90" s="5" t="s">
        <v>20</v>
      </c>
      <c r="J90" s="5" t="s">
        <v>21</v>
      </c>
      <c r="K90" s="2" t="str" cm="1">
        <f t="array" ref="K90">INDEX(stations!$B$1:$B$9974,MATCH(1,(stations!$A$1:$A$9974=master!$R90)*(stations!$E$1:$E$9974=master!$S90)*(stations!$B$1:$B$9974=master!$T90),0))</f>
        <v>48s</v>
      </c>
      <c r="L90" s="5" t="s">
        <v>23</v>
      </c>
      <c r="M90" t="s">
        <v>24</v>
      </c>
      <c r="O90" t="s">
        <v>25</v>
      </c>
      <c r="P90" s="2" t="b">
        <f>ISERROR(VLOOKUP($C90,logos!$A$2:$A$10003,1,FALSE))</f>
        <v>0</v>
      </c>
      <c r="Q90" s="2" t="str">
        <f>_xlfn.IFNA(VLOOKUP($C90,logos!$A$2:$B$10003,2,FALSE),"")</f>
        <v>MFR.jpg</v>
      </c>
      <c r="R90" s="2" t="str">
        <f t="shared" si="3"/>
        <v>MFR</v>
      </c>
      <c r="S90" s="5" t="s">
        <v>6069</v>
      </c>
      <c r="T90" s="5" t="s">
        <v>1662</v>
      </c>
      <c r="U90" t="str" cm="1">
        <f t="array" ref="U90">INDEX(stations!$A$1:$A$9974,MATCH(1,(stations!$A$1:$A$9974=master!$R90)*(stations!$E$1:$E$9974=master!$S90)*(stations!$B$1:$B$9974=master!$T90),0))</f>
        <v>MFR</v>
      </c>
    </row>
    <row r="91" spans="1:21" hidden="1" x14ac:dyDescent="0.55000000000000004">
      <c r="A91">
        <v>589</v>
      </c>
      <c r="B91" s="2" t="str" cm="1">
        <f t="array" ref="B91">INDEX(stations!$C$1:$C$9974,MATCH(1,(stations!$A$1:$A$9974=master!$R91)*(stations!$E$1:$E$9974=master!$S91)*(stations!$B$1:$B$9974=master!$T91),0))</f>
        <v>http://edge-bauerall-01-gos2.sharp-stream.com/mfram.aac</v>
      </c>
      <c r="C91" s="5" t="s">
        <v>829</v>
      </c>
      <c r="D91" t="s">
        <v>17</v>
      </c>
      <c r="E91" t="s">
        <v>18</v>
      </c>
      <c r="G91" s="2" t="str">
        <f>_xlfn.IFNA(VLOOKUP($C91,logos!$A$2:$D$1025,4,FALSE),"")</f>
        <v>Bauer Media</v>
      </c>
      <c r="H91" s="5" t="s">
        <v>19</v>
      </c>
      <c r="I91" s="5" t="s">
        <v>20</v>
      </c>
      <c r="J91" s="5" t="s">
        <v>21</v>
      </c>
      <c r="K91" s="2" t="str" cm="1">
        <f t="array" ref="K91">INDEX(stations!$B$1:$B$9974,MATCH(1,(stations!$A$1:$A$9974=master!$R91)*(stations!$E$1:$E$9974=master!$S91)*(stations!$B$1:$B$9974=master!$T91),0))</f>
        <v>48s</v>
      </c>
      <c r="L91" s="5" t="s">
        <v>23</v>
      </c>
      <c r="M91" t="s">
        <v>24</v>
      </c>
      <c r="O91" t="s">
        <v>25</v>
      </c>
      <c r="P91" s="2" t="b">
        <f>ISERROR(VLOOKUP($C91,logos!$A$2:$A$10003,1,FALSE))</f>
        <v>0</v>
      </c>
      <c r="Q91" s="2" t="str">
        <f>_xlfn.IFNA(VLOOKUP($C91,logos!$A$2:$B$10003,2,FALSE),"")</f>
        <v>MFR 2.jpg</v>
      </c>
      <c r="R91" s="2" t="str">
        <f t="shared" si="3"/>
        <v>MFR 2</v>
      </c>
      <c r="S91" s="5" t="s">
        <v>6069</v>
      </c>
      <c r="T91" s="5" t="s">
        <v>1662</v>
      </c>
      <c r="U91" t="str" cm="1">
        <f t="array" ref="U91">INDEX(stations!$A$1:$A$9974,MATCH(1,(stations!$A$1:$A$9974=master!$R91)*(stations!$E$1:$E$9974=master!$S91)*(stations!$B$1:$B$9974=master!$T91),0))</f>
        <v>MFR 2</v>
      </c>
    </row>
    <row r="92" spans="1:21" hidden="1" x14ac:dyDescent="0.55000000000000004">
      <c r="A92">
        <v>590</v>
      </c>
      <c r="B92" s="2" t="str" cm="1">
        <f t="array" ref="B92">INDEX(stations!$C$1:$C$9974,MATCH(1,(stations!$A$1:$A$9974=master!$R92)*(stations!$E$1:$E$9974=master!$S92)*(stations!$B$1:$B$9974=master!$T92),0))</f>
        <v>http://edge-bauerall-01-gos2.sharp-stream.com/northsound1.aac</v>
      </c>
      <c r="C92" s="5" t="s">
        <v>923</v>
      </c>
      <c r="D92" t="s">
        <v>17</v>
      </c>
      <c r="E92" t="s">
        <v>18</v>
      </c>
      <c r="G92" s="2" t="str">
        <f>_xlfn.IFNA(VLOOKUP($C92,logos!$A$2:$D$1025,4,FALSE),"")</f>
        <v>Bauer Media</v>
      </c>
      <c r="H92" s="5" t="s">
        <v>19</v>
      </c>
      <c r="I92" s="5" t="s">
        <v>20</v>
      </c>
      <c r="J92" s="5" t="s">
        <v>21</v>
      </c>
      <c r="K92" s="2" t="str" cm="1">
        <f t="array" ref="K92">INDEX(stations!$B$1:$B$9974,MATCH(1,(stations!$A$1:$A$9974=master!$R92)*(stations!$E$1:$E$9974=master!$S92)*(stations!$B$1:$B$9974=master!$T92),0))</f>
        <v>48s</v>
      </c>
      <c r="L92" s="5" t="s">
        <v>23</v>
      </c>
      <c r="M92" t="s">
        <v>24</v>
      </c>
      <c r="O92" t="s">
        <v>25</v>
      </c>
      <c r="P92" s="2" t="b">
        <f>ISERROR(VLOOKUP($C92,logos!$A$2:$A$10003,1,FALSE))</f>
        <v>0</v>
      </c>
      <c r="Q92" s="2" t="str">
        <f>_xlfn.IFNA(VLOOKUP($C92,logos!$A$2:$B$10003,2,FALSE),"")</f>
        <v>Northsound 1.jpg</v>
      </c>
      <c r="R92" s="2" t="str">
        <f t="shared" si="3"/>
        <v>Northsound 1</v>
      </c>
      <c r="S92" s="5" t="s">
        <v>6069</v>
      </c>
      <c r="T92" s="5" t="s">
        <v>1662</v>
      </c>
      <c r="U92" t="str" cm="1">
        <f t="array" ref="U92">INDEX(stations!$A$1:$A$9974,MATCH(1,(stations!$A$1:$A$9974=master!$R92)*(stations!$E$1:$E$9974=master!$S92)*(stations!$B$1:$B$9974=master!$T92),0))</f>
        <v>Northsound 1</v>
      </c>
    </row>
    <row r="93" spans="1:21" hidden="1" x14ac:dyDescent="0.55000000000000004">
      <c r="A93">
        <v>591</v>
      </c>
      <c r="B93" s="2" t="str" cm="1">
        <f t="array" ref="B93">INDEX(stations!$C$1:$C$9974,MATCH(1,(stations!$A$1:$A$9974=master!$R93)*(stations!$E$1:$E$9974=master!$S93)*(stations!$B$1:$B$9974=master!$T93),0))</f>
        <v>http://edge-bauerall-01-gos2.sharp-stream.com/northsound2.aac</v>
      </c>
      <c r="C93" s="5" t="s">
        <v>925</v>
      </c>
      <c r="D93" t="s">
        <v>17</v>
      </c>
      <c r="E93" t="s">
        <v>18</v>
      </c>
      <c r="G93" s="2" t="str">
        <f>_xlfn.IFNA(VLOOKUP($C93,logos!$A$2:$D$1025,4,FALSE),"")</f>
        <v>Bauer Media</v>
      </c>
      <c r="H93" s="5" t="s">
        <v>19</v>
      </c>
      <c r="I93" s="5" t="s">
        <v>20</v>
      </c>
      <c r="J93" s="5" t="s">
        <v>21</v>
      </c>
      <c r="K93" s="2" t="str" cm="1">
        <f t="array" ref="K93">INDEX(stations!$B$1:$B$9974,MATCH(1,(stations!$A$1:$A$9974=master!$R93)*(stations!$E$1:$E$9974=master!$S93)*(stations!$B$1:$B$9974=master!$T93),0))</f>
        <v>48s</v>
      </c>
      <c r="L93" s="5" t="s">
        <v>23</v>
      </c>
      <c r="M93" t="s">
        <v>24</v>
      </c>
      <c r="O93" t="s">
        <v>25</v>
      </c>
      <c r="P93" s="2" t="b">
        <f>ISERROR(VLOOKUP($C93,logos!$A$2:$A$10003,1,FALSE))</f>
        <v>0</v>
      </c>
      <c r="Q93" s="2" t="str">
        <f>_xlfn.IFNA(VLOOKUP($C93,logos!$A$2:$B$10003,2,FALSE),"")</f>
        <v>Northsound 2.jpg</v>
      </c>
      <c r="R93" s="2" t="str">
        <f t="shared" si="3"/>
        <v>Northsound 2</v>
      </c>
      <c r="S93" s="5" t="s">
        <v>6069</v>
      </c>
      <c r="T93" s="5" t="s">
        <v>1662</v>
      </c>
      <c r="U93" t="str" cm="1">
        <f t="array" ref="U93">INDEX(stations!$A$1:$A$9974,MATCH(1,(stations!$A$1:$A$9974=master!$R93)*(stations!$E$1:$E$9974=master!$S93)*(stations!$B$1:$B$9974=master!$T93),0))</f>
        <v>Northsound 2</v>
      </c>
    </row>
    <row r="94" spans="1:21" hidden="1" x14ac:dyDescent="0.55000000000000004">
      <c r="A94">
        <v>592</v>
      </c>
      <c r="B94" s="2" t="str" cm="1">
        <f t="array" ref="B94">INDEX(stations!$C$1:$C$9974,MATCH(1,(stations!$A$1:$A$9974=master!$R94)*(stations!$E$1:$E$9974=master!$S94)*(stations!$B$1:$B$9974=master!$T94),0))</f>
        <v>http://edge-bauerall-01-gos2.sharp-stream.com/net1cornwall.aac</v>
      </c>
      <c r="C94" s="5" t="s">
        <v>2795</v>
      </c>
      <c r="D94" t="s">
        <v>17</v>
      </c>
      <c r="E94" t="s">
        <v>18</v>
      </c>
      <c r="G94" s="2" t="str">
        <f>_xlfn.IFNA(VLOOKUP($C94,logos!$A$2:$D$1025,4,FALSE),"")</f>
        <v>Bauer Media</v>
      </c>
      <c r="H94" s="5" t="s">
        <v>19</v>
      </c>
      <c r="I94" s="5" t="s">
        <v>20</v>
      </c>
      <c r="J94" s="5" t="s">
        <v>21</v>
      </c>
      <c r="K94" s="2" t="str" cm="1">
        <f t="array" ref="K94">INDEX(stations!$B$1:$B$9974,MATCH(1,(stations!$A$1:$A$9974=master!$R94)*(stations!$E$1:$E$9974=master!$S94)*(stations!$B$1:$B$9974=master!$T94),0))</f>
        <v>48s</v>
      </c>
      <c r="L94" s="5" t="s">
        <v>23</v>
      </c>
      <c r="M94" t="s">
        <v>24</v>
      </c>
      <c r="O94" t="s">
        <v>25</v>
      </c>
      <c r="P94" s="2" t="b">
        <f>ISERROR(VLOOKUP($C94,logos!$A$2:$A$10003,1,FALSE))</f>
        <v>0</v>
      </c>
      <c r="Q94" s="2" t="str">
        <f>_xlfn.IFNA(VLOOKUP($C94,logos!$A$2:$B$10003,2,FALSE),"")</f>
        <v>Pirate FM (West).jpg</v>
      </c>
      <c r="R94" s="2" t="str">
        <f t="shared" si="3"/>
        <v>Pirate FM (West)</v>
      </c>
      <c r="S94" s="5" t="s">
        <v>6069</v>
      </c>
      <c r="T94" s="5" t="s">
        <v>1662</v>
      </c>
      <c r="U94" t="str" cm="1">
        <f t="array" ref="U94">INDEX(stations!$A$1:$A$9974,MATCH(1,(stations!$A$1:$A$9974=master!$R94)*(stations!$E$1:$E$9974=master!$S94)*(stations!$B$1:$B$9974=master!$T94),0))</f>
        <v>Pirate FM (West)</v>
      </c>
    </row>
    <row r="95" spans="1:21" hidden="1" x14ac:dyDescent="0.55000000000000004">
      <c r="A95">
        <v>593</v>
      </c>
      <c r="B95" s="2" t="str" cm="1">
        <f t="array" ref="B95">INDEX(stations!$C$1:$C$9974,MATCH(1,(stations!$A$1:$A$9974=master!$R95)*(stations!$E$1:$E$9974=master!$S95)*(stations!$B$1:$B$9974=master!$T95),0))</f>
        <v>http://edge-bauerall-01-gos2.sharp-stream.com/net1bradford.aac</v>
      </c>
      <c r="C95" s="5" t="s">
        <v>976</v>
      </c>
      <c r="D95" t="s">
        <v>17</v>
      </c>
      <c r="E95" t="s">
        <v>18</v>
      </c>
      <c r="G95" s="2" t="str">
        <f>_xlfn.IFNA(VLOOKUP($C95,logos!$A$2:$D$1025,4,FALSE),"")</f>
        <v>Bauer Media</v>
      </c>
      <c r="H95" s="5" t="s">
        <v>19</v>
      </c>
      <c r="I95" s="5" t="s">
        <v>20</v>
      </c>
      <c r="J95" s="5" t="s">
        <v>21</v>
      </c>
      <c r="K95" s="2" t="str" cm="1">
        <f t="array" ref="K95">INDEX(stations!$B$1:$B$9974,MATCH(1,(stations!$A$1:$A$9974=master!$R95)*(stations!$E$1:$E$9974=master!$S95)*(stations!$B$1:$B$9974=master!$T95),0))</f>
        <v>48s</v>
      </c>
      <c r="L95" s="5" t="s">
        <v>23</v>
      </c>
      <c r="M95" t="s">
        <v>24</v>
      </c>
      <c r="O95" t="s">
        <v>25</v>
      </c>
      <c r="P95" s="2" t="b">
        <f>ISERROR(VLOOKUP($C95,logos!$A$2:$A$10003,1,FALSE))</f>
        <v>0</v>
      </c>
      <c r="Q95" s="2" t="str">
        <f>_xlfn.IFNA(VLOOKUP($C95,logos!$A$2:$B$10003,2,FALSE),"")</f>
        <v>Pulse 1.jpg</v>
      </c>
      <c r="R95" s="2" t="str">
        <f t="shared" si="3"/>
        <v>Pulse 1</v>
      </c>
      <c r="S95" s="5" t="s">
        <v>6069</v>
      </c>
      <c r="T95" s="5" t="s">
        <v>1662</v>
      </c>
      <c r="U95" t="str" cm="1">
        <f t="array" ref="U95">INDEX(stations!$A$1:$A$9974,MATCH(1,(stations!$A$1:$A$9974=master!$R95)*(stations!$E$1:$E$9974=master!$S95)*(stations!$B$1:$B$9974=master!$T95),0))</f>
        <v>Pulse 1</v>
      </c>
    </row>
    <row r="96" spans="1:21" hidden="1" x14ac:dyDescent="0.55000000000000004">
      <c r="A96">
        <v>594</v>
      </c>
      <c r="B96" s="2" t="str" cm="1">
        <f t="array" ref="B96">INDEX(stations!$C$1:$C$9974,MATCH(1,(stations!$A$1:$A$9974=master!$R96)*(stations!$E$1:$E$9974=master!$S96)*(stations!$B$1:$B$9974=master!$T96),0))</f>
        <v>http://edge-bauerall-01-gos2.sharp-stream.com/borders.aac</v>
      </c>
      <c r="C96" s="5" t="s">
        <v>1011</v>
      </c>
      <c r="D96" t="s">
        <v>17</v>
      </c>
      <c r="E96" t="s">
        <v>18</v>
      </c>
      <c r="G96" s="2" t="str">
        <f>_xlfn.IFNA(VLOOKUP($C96,logos!$A$2:$D$1025,4,FALSE),"")</f>
        <v>Bauer Media</v>
      </c>
      <c r="H96" s="5" t="s">
        <v>19</v>
      </c>
      <c r="I96" s="5" t="s">
        <v>20</v>
      </c>
      <c r="J96" s="5" t="s">
        <v>21</v>
      </c>
      <c r="K96" s="2" t="str" cm="1">
        <f t="array" ref="K96">INDEX(stations!$B$1:$B$9974,MATCH(1,(stations!$A$1:$A$9974=master!$R96)*(stations!$E$1:$E$9974=master!$S96)*(stations!$B$1:$B$9974=master!$T96),0))</f>
        <v>48s</v>
      </c>
      <c r="L96" s="5" t="s">
        <v>23</v>
      </c>
      <c r="M96" t="s">
        <v>24</v>
      </c>
      <c r="O96" t="s">
        <v>25</v>
      </c>
      <c r="P96" s="2" t="b">
        <f>ISERROR(VLOOKUP($C96,logos!$A$2:$A$10003,1,FALSE))</f>
        <v>0</v>
      </c>
      <c r="Q96" s="2" t="str">
        <f>_xlfn.IFNA(VLOOKUP($C96,logos!$A$2:$B$10003,2,FALSE),"")</f>
        <v>Radio Borders.jpg</v>
      </c>
      <c r="R96" s="2" t="str">
        <f t="shared" si="3"/>
        <v>Radio Borders</v>
      </c>
      <c r="S96" s="5" t="s">
        <v>6069</v>
      </c>
      <c r="T96" s="5" t="s">
        <v>1662</v>
      </c>
      <c r="U96" t="str" cm="1">
        <f t="array" ref="U96">INDEX(stations!$A$1:$A$9974,MATCH(1,(stations!$A$1:$A$9974=master!$R96)*(stations!$E$1:$E$9974=master!$S96)*(stations!$B$1:$B$9974=master!$T96),0))</f>
        <v>Radio Borders</v>
      </c>
    </row>
    <row r="97" spans="1:21" hidden="1" x14ac:dyDescent="0.55000000000000004">
      <c r="A97">
        <v>595</v>
      </c>
      <c r="B97" s="2" t="str" cm="1">
        <f t="array" ref="B97">INDEX(stations!$C$1:$C$9974,MATCH(1,(stations!$A$1:$A$9974=master!$R97)*(stations!$E$1:$E$9974=master!$S97)*(stations!$B$1:$B$9974=master!$T97),0))</f>
        <v>http://edge-bauerall-01-gos2.sharp-stream.com/city.aac</v>
      </c>
      <c r="C97" s="5" t="s">
        <v>1023</v>
      </c>
      <c r="D97" t="s">
        <v>17</v>
      </c>
      <c r="E97" t="s">
        <v>18</v>
      </c>
      <c r="G97" s="2" t="str">
        <f>_xlfn.IFNA(VLOOKUP($C97,logos!$A$2:$D$1025,4,FALSE),"")</f>
        <v>Bauer Media</v>
      </c>
      <c r="H97" s="5" t="s">
        <v>19</v>
      </c>
      <c r="I97" s="5" t="s">
        <v>20</v>
      </c>
      <c r="J97" s="5" t="s">
        <v>21</v>
      </c>
      <c r="K97" s="2" t="str" cm="1">
        <f t="array" ref="K97">INDEX(stations!$B$1:$B$9974,MATCH(1,(stations!$A$1:$A$9974=master!$R97)*(stations!$E$1:$E$9974=master!$S97)*(stations!$B$1:$B$9974=master!$T97),0))</f>
        <v>48s</v>
      </c>
      <c r="L97" s="5" t="s">
        <v>23</v>
      </c>
      <c r="M97" t="s">
        <v>24</v>
      </c>
      <c r="O97" t="s">
        <v>25</v>
      </c>
      <c r="P97" s="2" t="b">
        <f>ISERROR(VLOOKUP($C97,logos!$A$2:$A$10003,1,FALSE))</f>
        <v>0</v>
      </c>
      <c r="Q97" s="2" t="str">
        <f>_xlfn.IFNA(VLOOKUP($C97,logos!$A$2:$B$10003,2,FALSE),"")</f>
        <v>Radio City.jpg</v>
      </c>
      <c r="R97" s="2" t="str">
        <f t="shared" si="3"/>
        <v>Radio City</v>
      </c>
      <c r="S97" s="5" t="s">
        <v>6069</v>
      </c>
      <c r="T97" s="5" t="s">
        <v>1662</v>
      </c>
      <c r="U97" t="str" cm="1">
        <f t="array" ref="U97">INDEX(stations!$A$1:$A$9974,MATCH(1,(stations!$A$1:$A$9974=master!$R97)*(stations!$E$1:$E$9974=master!$S97)*(stations!$B$1:$B$9974=master!$T97),0))</f>
        <v>Radio City</v>
      </c>
    </row>
    <row r="98" spans="1:21" hidden="1" x14ac:dyDescent="0.55000000000000004">
      <c r="A98">
        <v>596</v>
      </c>
      <c r="B98" s="2" t="str" cm="1">
        <f t="array" ref="B98">INDEX(stations!$C$1:$C$9974,MATCH(1,(stations!$A$1:$A$9974=master!$R98)*(stations!$E$1:$E$9974=master!$S98)*(stations!$B$1:$B$9974=master!$T98),0))</f>
        <v>http://edge-bauerall-01-gos2.sharp-stream.com/net1stoke.aac</v>
      </c>
      <c r="C98" s="5" t="s">
        <v>1113</v>
      </c>
      <c r="D98" t="s">
        <v>17</v>
      </c>
      <c r="E98" t="s">
        <v>18</v>
      </c>
      <c r="G98" s="2" t="str">
        <f>_xlfn.IFNA(VLOOKUP($C98,logos!$A$2:$D$1025,4,FALSE),"")</f>
        <v>Bauer Media</v>
      </c>
      <c r="H98" s="5" t="s">
        <v>19</v>
      </c>
      <c r="I98" s="5" t="s">
        <v>20</v>
      </c>
      <c r="J98" s="5" t="s">
        <v>21</v>
      </c>
      <c r="K98" s="2" t="str" cm="1">
        <f t="array" ref="K98">INDEX(stations!$B$1:$B$9974,MATCH(1,(stations!$A$1:$A$9974=master!$R98)*(stations!$E$1:$E$9974=master!$S98)*(stations!$B$1:$B$9974=master!$T98),0))</f>
        <v>48s</v>
      </c>
      <c r="L98" s="5" t="s">
        <v>23</v>
      </c>
      <c r="M98" t="s">
        <v>24</v>
      </c>
      <c r="O98" t="s">
        <v>25</v>
      </c>
      <c r="P98" s="2" t="b">
        <f>ISERROR(VLOOKUP($C98,logos!$A$2:$A$10003,1,FALSE))</f>
        <v>0</v>
      </c>
      <c r="Q98" s="2" t="str">
        <f>_xlfn.IFNA(VLOOKUP($C98,logos!$A$2:$B$10003,2,FALSE),"")</f>
        <v>Signal 1.jpg</v>
      </c>
      <c r="R98" s="2" t="str">
        <f t="shared" si="3"/>
        <v>Signal 1</v>
      </c>
      <c r="S98" s="5" t="s">
        <v>6069</v>
      </c>
      <c r="T98" s="5" t="s">
        <v>1662</v>
      </c>
      <c r="U98" t="str" cm="1">
        <f t="array" ref="U98">INDEX(stations!$A$1:$A$9974,MATCH(1,(stations!$A$1:$A$9974=master!$R98)*(stations!$E$1:$E$9974=master!$S98)*(stations!$B$1:$B$9974=master!$T98),0))</f>
        <v>Signal 1</v>
      </c>
    </row>
    <row r="99" spans="1:21" hidden="1" x14ac:dyDescent="0.55000000000000004">
      <c r="A99">
        <v>597</v>
      </c>
      <c r="B99" s="2" t="str" cm="1">
        <f t="array" ref="B99">INDEX(stations!$C$1:$C$9974,MATCH(1,(stations!$A$1:$A$9974=master!$R99)*(stations!$E$1:$E$9974=master!$S99)*(stations!$B$1:$B$9974=master!$T99),0))</f>
        <v>http://edge-bauerall-01-gos2.sharp-stream.com/tayam.aac</v>
      </c>
      <c r="C99" s="5" t="s">
        <v>1247</v>
      </c>
      <c r="D99" t="s">
        <v>17</v>
      </c>
      <c r="E99" t="s">
        <v>18</v>
      </c>
      <c r="G99" s="2" t="str">
        <f>_xlfn.IFNA(VLOOKUP($C99,logos!$A$2:$D$1025,4,FALSE),"")</f>
        <v>Bauer Media</v>
      </c>
      <c r="H99" s="5" t="s">
        <v>19</v>
      </c>
      <c r="I99" s="5" t="s">
        <v>20</v>
      </c>
      <c r="J99" s="5" t="s">
        <v>21</v>
      </c>
      <c r="K99" s="2" t="str" cm="1">
        <f t="array" ref="K99">INDEX(stations!$B$1:$B$9974,MATCH(1,(stations!$A$1:$A$9974=master!$R99)*(stations!$E$1:$E$9974=master!$S99)*(stations!$B$1:$B$9974=master!$T99),0))</f>
        <v>48s</v>
      </c>
      <c r="L99" s="5" t="s">
        <v>23</v>
      </c>
      <c r="M99" t="s">
        <v>24</v>
      </c>
      <c r="O99" t="s">
        <v>25</v>
      </c>
      <c r="P99" s="2" t="b">
        <f>ISERROR(VLOOKUP($C99,logos!$A$2:$A$10003,1,FALSE))</f>
        <v>0</v>
      </c>
      <c r="Q99" s="2" t="str">
        <f>_xlfn.IFNA(VLOOKUP($C99,logos!$A$2:$B$10003,2,FALSE),"")</f>
        <v>Tay 2.jpg</v>
      </c>
      <c r="R99" s="2" t="str">
        <f t="shared" si="3"/>
        <v>Tay 2</v>
      </c>
      <c r="S99" s="5" t="s">
        <v>6069</v>
      </c>
      <c r="T99" s="5" t="s">
        <v>1662</v>
      </c>
      <c r="U99" t="str" cm="1">
        <f t="array" ref="U99">INDEX(stations!$A$1:$A$9974,MATCH(1,(stations!$A$1:$A$9974=master!$R99)*(stations!$E$1:$E$9974=master!$S99)*(stations!$B$1:$B$9974=master!$T99),0))</f>
        <v>Tay 2</v>
      </c>
    </row>
    <row r="100" spans="1:21" hidden="1" x14ac:dyDescent="0.55000000000000004">
      <c r="A100">
        <v>598</v>
      </c>
      <c r="B100" s="2" t="str" cm="1">
        <f t="array" ref="B100">INDEX(stations!$C$1:$C$9974,MATCH(1,(stations!$A$1:$A$9974=master!$R100)*(stations!$E$1:$E$9974=master!$S100)*(stations!$B$1:$B$9974=master!$T100),0))</f>
        <v>http://edge-bauerall-01-gos2.sharp-stream.com/tayfm.aac</v>
      </c>
      <c r="C100" s="5" t="s">
        <v>1245</v>
      </c>
      <c r="D100" t="s">
        <v>17</v>
      </c>
      <c r="E100" t="s">
        <v>18</v>
      </c>
      <c r="G100" s="2" t="str">
        <f>_xlfn.IFNA(VLOOKUP($C100,logos!$A$2:$D$1025,4,FALSE),"")</f>
        <v>Bauer Media</v>
      </c>
      <c r="H100" s="5" t="s">
        <v>19</v>
      </c>
      <c r="I100" s="5" t="s">
        <v>20</v>
      </c>
      <c r="J100" s="5" t="s">
        <v>21</v>
      </c>
      <c r="K100" s="2" t="str" cm="1">
        <f t="array" ref="K100">INDEX(stations!$B$1:$B$9974,MATCH(1,(stations!$A$1:$A$9974=master!$R100)*(stations!$E$1:$E$9974=master!$S100)*(stations!$B$1:$B$9974=master!$T100),0))</f>
        <v>48s</v>
      </c>
      <c r="L100" s="5" t="s">
        <v>23</v>
      </c>
      <c r="M100" t="s">
        <v>24</v>
      </c>
      <c r="O100" t="s">
        <v>25</v>
      </c>
      <c r="P100" s="2" t="b">
        <f>ISERROR(VLOOKUP($C100,logos!$A$2:$A$10003,1,FALSE))</f>
        <v>0</v>
      </c>
      <c r="Q100" s="2" t="str">
        <f>_xlfn.IFNA(VLOOKUP($C100,logos!$A$2:$B$10003,2,FALSE),"")</f>
        <v>Tay FM.jpg</v>
      </c>
      <c r="R100" s="2" t="str">
        <f t="shared" si="3"/>
        <v>Tay FM</v>
      </c>
      <c r="S100" s="5" t="s">
        <v>6069</v>
      </c>
      <c r="T100" s="5" t="s">
        <v>1662</v>
      </c>
      <c r="U100" t="str" cm="1">
        <f t="array" ref="U100">INDEX(stations!$A$1:$A$9974,MATCH(1,(stations!$A$1:$A$9974=master!$R100)*(stations!$E$1:$E$9974=master!$S100)*(stations!$B$1:$B$9974=master!$T100),0))</f>
        <v>Tay FM</v>
      </c>
    </row>
    <row r="101" spans="1:21" hidden="1" x14ac:dyDescent="0.55000000000000004">
      <c r="A101">
        <v>599</v>
      </c>
      <c r="B101" s="2" t="str" cm="1">
        <f t="array" ref="B101">INDEX(stations!$C$1:$C$9974,MATCH(1,(stations!$A$1:$A$9974=master!$R101)*(stations!$E$1:$E$9974=master!$S101)*(stations!$B$1:$B$9974=master!$T101),0))</f>
        <v>http://edge-bauerall-01-gos2.sharp-stream.com/tfm.aac</v>
      </c>
      <c r="C101" s="5" t="s">
        <v>1251</v>
      </c>
      <c r="D101" t="s">
        <v>17</v>
      </c>
      <c r="E101" t="s">
        <v>18</v>
      </c>
      <c r="G101" s="2" t="str">
        <f>_xlfn.IFNA(VLOOKUP($C101,logos!$A$2:$D$1025,4,FALSE),"")</f>
        <v>Bauer Media</v>
      </c>
      <c r="H101" s="5" t="s">
        <v>19</v>
      </c>
      <c r="I101" s="5" t="s">
        <v>20</v>
      </c>
      <c r="J101" s="5" t="s">
        <v>21</v>
      </c>
      <c r="K101" s="2" t="str" cm="1">
        <f t="array" ref="K101">INDEX(stations!$B$1:$B$9974,MATCH(1,(stations!$A$1:$A$9974=master!$R101)*(stations!$E$1:$E$9974=master!$S101)*(stations!$B$1:$B$9974=master!$T101),0))</f>
        <v>48s</v>
      </c>
      <c r="L101" s="5" t="s">
        <v>23</v>
      </c>
      <c r="M101" t="s">
        <v>24</v>
      </c>
      <c r="O101" t="s">
        <v>25</v>
      </c>
      <c r="P101" s="2" t="b">
        <f>ISERROR(VLOOKUP($C101,logos!$A$2:$A$10003,1,FALSE))</f>
        <v>0</v>
      </c>
      <c r="Q101" s="2" t="str">
        <f>_xlfn.IFNA(VLOOKUP($C101,logos!$A$2:$B$10003,2,FALSE),"")</f>
        <v>TFM.jpg</v>
      </c>
      <c r="R101" s="2" t="str">
        <f t="shared" si="3"/>
        <v>TFM</v>
      </c>
      <c r="S101" s="5" t="s">
        <v>6069</v>
      </c>
      <c r="T101" s="5" t="s">
        <v>1662</v>
      </c>
      <c r="U101" t="str" cm="1">
        <f t="array" ref="U101">INDEX(stations!$A$1:$A$9974,MATCH(1,(stations!$A$1:$A$9974=master!$R101)*(stations!$E$1:$E$9974=master!$S101)*(stations!$B$1:$B$9974=master!$T101),0))</f>
        <v>TFM</v>
      </c>
    </row>
    <row r="102" spans="1:21" hidden="1" x14ac:dyDescent="0.55000000000000004">
      <c r="A102">
        <v>600</v>
      </c>
      <c r="B102" s="2" t="str" cm="1">
        <f t="array" ref="B102">INDEX(stations!$C$1:$C$9974,MATCH(1,(stations!$A$1:$A$9974=master!$R102)*(stations!$E$1:$E$9974=master!$S102)*(stations!$B$1:$B$9974=master!$T102),0))</f>
        <v>http://edge-bauerall-01-gos2.sharp-stream.com/net1swansea.aac</v>
      </c>
      <c r="C102" s="5" t="s">
        <v>1265</v>
      </c>
      <c r="D102" t="s">
        <v>17</v>
      </c>
      <c r="E102" t="s">
        <v>18</v>
      </c>
      <c r="G102" s="2" t="str">
        <f>_xlfn.IFNA(VLOOKUP($C102,logos!$A$2:$D$1025,4,FALSE),"")</f>
        <v>Bauer Media</v>
      </c>
      <c r="H102" s="5" t="s">
        <v>19</v>
      </c>
      <c r="I102" s="5" t="s">
        <v>20</v>
      </c>
      <c r="J102" s="5" t="s">
        <v>21</v>
      </c>
      <c r="K102" s="2" t="str" cm="1">
        <f t="array" ref="K102">INDEX(stations!$B$1:$B$9974,MATCH(1,(stations!$A$1:$A$9974=master!$R102)*(stations!$E$1:$E$9974=master!$S102)*(stations!$B$1:$B$9974=master!$T102),0))</f>
        <v>48s</v>
      </c>
      <c r="L102" s="5" t="s">
        <v>23</v>
      </c>
      <c r="M102" t="s">
        <v>24</v>
      </c>
      <c r="O102" t="s">
        <v>25</v>
      </c>
      <c r="P102" s="2" t="b">
        <f>ISERROR(VLOOKUP($C102,logos!$A$2:$A$10003,1,FALSE))</f>
        <v>0</v>
      </c>
      <c r="Q102" s="2" t="str">
        <f>_xlfn.IFNA(VLOOKUP($C102,logos!$A$2:$B$10003,2,FALSE),"")</f>
        <v>The Wave.jpg</v>
      </c>
      <c r="R102" s="2" t="str">
        <f t="shared" si="3"/>
        <v>The Wave</v>
      </c>
      <c r="S102" s="5" t="s">
        <v>6069</v>
      </c>
      <c r="T102" s="5" t="s">
        <v>1662</v>
      </c>
      <c r="U102" t="str" cm="1">
        <f t="array" ref="U102">INDEX(stations!$A$1:$A$9974,MATCH(1,(stations!$A$1:$A$9974=master!$R102)*(stations!$E$1:$E$9974=master!$S102)*(stations!$B$1:$B$9974=master!$T102),0))</f>
        <v>The Wave</v>
      </c>
    </row>
    <row r="103" spans="1:21" hidden="1" x14ac:dyDescent="0.55000000000000004">
      <c r="A103">
        <v>601</v>
      </c>
      <c r="B103" s="2" t="str" cm="1">
        <f t="array" ref="B103">INDEX(stations!$C$1:$C$9974,MATCH(1,(stations!$A$1:$A$9974=master!$R103)*(stations!$E$1:$E$9974=master!$S103)*(stations!$B$1:$B$9974=master!$T103),0))</f>
        <v>http://edge-bauerall-01-gos2.sharp-stream.com/viking.aac</v>
      </c>
      <c r="C103" s="5" t="s">
        <v>1303</v>
      </c>
      <c r="D103" t="s">
        <v>17</v>
      </c>
      <c r="E103" t="s">
        <v>18</v>
      </c>
      <c r="G103" s="2" t="str">
        <f>_xlfn.IFNA(VLOOKUP($C103,logos!$A$2:$D$1025,4,FALSE),"")</f>
        <v>Bauer Media</v>
      </c>
      <c r="H103" s="5" t="s">
        <v>19</v>
      </c>
      <c r="I103" s="5" t="s">
        <v>20</v>
      </c>
      <c r="J103" s="5" t="s">
        <v>21</v>
      </c>
      <c r="K103" s="2" t="str" cm="1">
        <f t="array" ref="K103">INDEX(stations!$B$1:$B$9974,MATCH(1,(stations!$A$1:$A$9974=master!$R103)*(stations!$E$1:$E$9974=master!$S103)*(stations!$B$1:$B$9974=master!$T103),0))</f>
        <v>48s</v>
      </c>
      <c r="L103" s="5" t="s">
        <v>23</v>
      </c>
      <c r="M103" t="s">
        <v>24</v>
      </c>
      <c r="O103" t="s">
        <v>25</v>
      </c>
      <c r="P103" s="2" t="b">
        <f>ISERROR(VLOOKUP($C103,logos!$A$2:$A$10003,1,FALSE))</f>
        <v>0</v>
      </c>
      <c r="Q103" s="2" t="str">
        <f>_xlfn.IFNA(VLOOKUP($C103,logos!$A$2:$B$10003,2,FALSE),"")</f>
        <v>Viking FM.jpg</v>
      </c>
      <c r="R103" s="2" t="str">
        <f t="shared" si="3"/>
        <v>Viking FM</v>
      </c>
      <c r="S103" s="5" t="s">
        <v>6069</v>
      </c>
      <c r="T103" s="5" t="s">
        <v>1662</v>
      </c>
      <c r="U103" t="str" cm="1">
        <f t="array" ref="U103">INDEX(stations!$A$1:$A$9974,MATCH(1,(stations!$A$1:$A$9974=master!$R103)*(stations!$E$1:$E$9974=master!$S103)*(stations!$B$1:$B$9974=master!$T103),0))</f>
        <v>Viking FM</v>
      </c>
    </row>
    <row r="104" spans="1:21" hidden="1" x14ac:dyDescent="0.55000000000000004">
      <c r="A104">
        <v>602</v>
      </c>
      <c r="B104" s="2" t="str" cm="1">
        <f t="array" ref="B104">INDEX(stations!$C$1:$C$9974,MATCH(1,(stations!$A$1:$A$9974=master!$R104)*(stations!$E$1:$E$9974=master!$S104)*(stations!$B$1:$B$9974=master!$T104),0))</f>
        <v>http://edge-bauerall-01-gos2.sharp-stream.com/wave105.aac</v>
      </c>
      <c r="C104" s="5" t="s">
        <v>1316</v>
      </c>
      <c r="D104" t="s">
        <v>17</v>
      </c>
      <c r="E104" t="s">
        <v>18</v>
      </c>
      <c r="G104" s="2" t="str">
        <f>_xlfn.IFNA(VLOOKUP($C104,logos!$A$2:$D$1025,4,FALSE),"")</f>
        <v>Bauer Media</v>
      </c>
      <c r="H104" s="5" t="s">
        <v>19</v>
      </c>
      <c r="I104" s="5" t="s">
        <v>20</v>
      </c>
      <c r="J104" s="5" t="s">
        <v>21</v>
      </c>
      <c r="K104" s="2" t="str" cm="1">
        <f t="array" ref="K104">INDEX(stations!$B$1:$B$9974,MATCH(1,(stations!$A$1:$A$9974=master!$R104)*(stations!$E$1:$E$9974=master!$S104)*(stations!$B$1:$B$9974=master!$T104),0))</f>
        <v>48s</v>
      </c>
      <c r="L104" s="5" t="s">
        <v>23</v>
      </c>
      <c r="M104" t="s">
        <v>24</v>
      </c>
      <c r="O104" t="s">
        <v>25</v>
      </c>
      <c r="P104" s="2" t="b">
        <f>ISERROR(VLOOKUP($C104,logos!$A$2:$A$10003,1,FALSE))</f>
        <v>0</v>
      </c>
      <c r="Q104" s="2" t="str">
        <f>_xlfn.IFNA(VLOOKUP($C104,logos!$A$2:$B$10003,2,FALSE),"")</f>
        <v>Wave 105.jpg</v>
      </c>
      <c r="R104" s="2" t="str">
        <f t="shared" si="3"/>
        <v>Wave 105</v>
      </c>
      <c r="S104" s="5" t="s">
        <v>6069</v>
      </c>
      <c r="T104" s="5" t="s">
        <v>1662</v>
      </c>
      <c r="U104" t="str" cm="1">
        <f t="array" ref="U104">INDEX(stations!$A$1:$A$9974,MATCH(1,(stations!$A$1:$A$9974=master!$R104)*(stations!$E$1:$E$9974=master!$S104)*(stations!$B$1:$B$9974=master!$T104),0))</f>
        <v>Wave 105</v>
      </c>
    </row>
    <row r="105" spans="1:21" hidden="1" x14ac:dyDescent="0.55000000000000004">
      <c r="A105">
        <v>603</v>
      </c>
      <c r="B105" s="2" t="str" cm="1">
        <f t="array" ref="B105">INDEX(stations!$C$1:$C$9974,MATCH(1,(stations!$A$1:$A$9974=master!$R105)*(stations!$E$1:$E$9974=master!$S105)*(stations!$B$1:$B$9974=master!$T105),0))</f>
        <v>http://edge-bauerall-01-gos2.sharp-stream.com/westfm.aac</v>
      </c>
      <c r="C105" s="5" t="s">
        <v>1320</v>
      </c>
      <c r="D105" t="s">
        <v>17</v>
      </c>
      <c r="E105" t="s">
        <v>18</v>
      </c>
      <c r="G105" s="2" t="str">
        <f>_xlfn.IFNA(VLOOKUP($C105,logos!$A$2:$D$1025,4,FALSE),"")</f>
        <v>Bauer Media</v>
      </c>
      <c r="H105" s="5" t="s">
        <v>19</v>
      </c>
      <c r="I105" s="5" t="s">
        <v>20</v>
      </c>
      <c r="J105" s="5" t="s">
        <v>21</v>
      </c>
      <c r="K105" s="2" t="str" cm="1">
        <f t="array" ref="K105">INDEX(stations!$B$1:$B$9974,MATCH(1,(stations!$A$1:$A$9974=master!$R105)*(stations!$E$1:$E$9974=master!$S105)*(stations!$B$1:$B$9974=master!$T105),0))</f>
        <v>48s</v>
      </c>
      <c r="L105" s="5" t="s">
        <v>23</v>
      </c>
      <c r="M105" t="s">
        <v>24</v>
      </c>
      <c r="O105" t="s">
        <v>25</v>
      </c>
      <c r="P105" s="2" t="b">
        <f>ISERROR(VLOOKUP($C105,logos!$A$2:$A$10003,1,FALSE))</f>
        <v>0</v>
      </c>
      <c r="Q105" s="2" t="str">
        <f>_xlfn.IFNA(VLOOKUP($C105,logos!$A$2:$B$10003,2,FALSE),"")</f>
        <v>West FM.jpg</v>
      </c>
      <c r="R105" s="2" t="str">
        <f t="shared" si="3"/>
        <v>West FM</v>
      </c>
      <c r="S105" s="5" t="s">
        <v>6069</v>
      </c>
      <c r="T105" s="5" t="s">
        <v>1662</v>
      </c>
      <c r="U105" t="str" cm="1">
        <f t="array" ref="U105">INDEX(stations!$A$1:$A$9974,MATCH(1,(stations!$A$1:$A$9974=master!$R105)*(stations!$E$1:$E$9974=master!$S105)*(stations!$B$1:$B$9974=master!$T105),0))</f>
        <v>West FM</v>
      </c>
    </row>
    <row r="106" spans="1:21" hidden="1" x14ac:dyDescent="0.55000000000000004">
      <c r="A106">
        <v>604</v>
      </c>
      <c r="B106" s="2" t="str" cm="1">
        <f t="array" ref="B106">INDEX(stations!$C$1:$C$9974,MATCH(1,(stations!$A$1:$A$9974=master!$R106)*(stations!$E$1:$E$9974=master!$S106)*(stations!$B$1:$B$9974=master!$T106),0))</f>
        <v>http://edge-bauerall-01-gos2.sharp-stream.com/westsound.aac</v>
      </c>
      <c r="C106" s="5" t="s">
        <v>2833</v>
      </c>
      <c r="D106" t="s">
        <v>17</v>
      </c>
      <c r="E106" t="s">
        <v>18</v>
      </c>
      <c r="G106" s="2" t="str">
        <f>_xlfn.IFNA(VLOOKUP($C106,logos!$A$2:$D$1025,4,FALSE),"")</f>
        <v>Bauer Media</v>
      </c>
      <c r="H106" s="5" t="s">
        <v>19</v>
      </c>
      <c r="I106" s="5" t="s">
        <v>20</v>
      </c>
      <c r="J106" s="5" t="s">
        <v>21</v>
      </c>
      <c r="K106" s="2" t="str" cm="1">
        <f t="array" ref="K106">INDEX(stations!$B$1:$B$9974,MATCH(1,(stations!$A$1:$A$9974=master!$R106)*(stations!$E$1:$E$9974=master!$S106)*(stations!$B$1:$B$9974=master!$T106),0))</f>
        <v>48s</v>
      </c>
      <c r="L106" s="5" t="s">
        <v>23</v>
      </c>
      <c r="M106" t="s">
        <v>24</v>
      </c>
      <c r="O106" t="s">
        <v>25</v>
      </c>
      <c r="P106" s="2" t="b">
        <f>ISERROR(VLOOKUP($C106,logos!$A$2:$A$10003,1,FALSE))</f>
        <v>0</v>
      </c>
      <c r="Q106" s="2" t="str">
        <f>_xlfn.IFNA(VLOOKUP($C106,logos!$A$2:$B$10003,2,FALSE),"")</f>
        <v>West Sound (Ayrshire).jpg</v>
      </c>
      <c r="R106" s="2" t="str">
        <f t="shared" si="3"/>
        <v>West Sound (Ayrshire)</v>
      </c>
      <c r="S106" s="5" t="s">
        <v>6069</v>
      </c>
      <c r="T106" s="5" t="s">
        <v>1662</v>
      </c>
      <c r="U106" t="str" cm="1">
        <f t="array" ref="U106">INDEX(stations!$A$1:$A$9974,MATCH(1,(stations!$A$1:$A$9974=master!$R106)*(stations!$E$1:$E$9974=master!$S106)*(stations!$B$1:$B$9974=master!$T106),0))</f>
        <v>West Sound (Ayrshire)</v>
      </c>
    </row>
    <row r="107" spans="1:21" hidden="1" x14ac:dyDescent="0.55000000000000004">
      <c r="A107">
        <v>605</v>
      </c>
      <c r="B107" s="2" t="str" cm="1">
        <f t="array" ref="B107">INDEX(stations!$C$1:$C$9974,MATCH(1,(stations!$A$1:$A$9974=master!$R107)*(stations!$E$1:$E$9974=master!$S107)*(stations!$B$1:$B$9974=master!$T107),0))</f>
        <v>http://icecast.thisisdax.com/SmoothLakeDistrict</v>
      </c>
      <c r="C107" s="5" t="s">
        <v>6211</v>
      </c>
      <c r="D107" t="s">
        <v>17</v>
      </c>
      <c r="E107" t="s">
        <v>18</v>
      </c>
      <c r="G107" s="2" t="str">
        <f>_xlfn.IFNA(VLOOKUP($C107,logos!$A$2:$D$1025,4,FALSE),"")</f>
        <v>Global</v>
      </c>
      <c r="H107" s="5" t="s">
        <v>19</v>
      </c>
      <c r="I107" s="5" t="s">
        <v>20</v>
      </c>
      <c r="J107" s="5" t="s">
        <v>21</v>
      </c>
      <c r="K107" s="2" t="str" cm="1">
        <f t="array" ref="K107">INDEX(stations!$B$1:$B$9974,MATCH(1,(stations!$A$1:$A$9974=master!$R107)*(stations!$E$1:$E$9974=master!$S107)*(stations!$B$1:$B$9974=master!$T107),0))</f>
        <v>48s</v>
      </c>
      <c r="L107" s="5" t="s">
        <v>23</v>
      </c>
      <c r="M107" t="s">
        <v>24</v>
      </c>
      <c r="N107" t="s">
        <v>25</v>
      </c>
      <c r="O107" t="s">
        <v>25</v>
      </c>
      <c r="P107" s="2" t="b">
        <f>ISERROR(VLOOKUP($C107,logos!$A$2:$A$10003,1,FALSE))</f>
        <v>0</v>
      </c>
      <c r="Q107" s="2" t="str">
        <f>_xlfn.IFNA(VLOOKUP($C107,logos!$A$2:$B$10003,2,FALSE),"")</f>
        <v>Lakeland Radio.png</v>
      </c>
      <c r="R107" s="2" t="str">
        <f t="shared" si="3"/>
        <v>Lakeland Radio</v>
      </c>
      <c r="S107" s="5" t="s">
        <v>2609</v>
      </c>
      <c r="T107" s="5" t="s">
        <v>1662</v>
      </c>
      <c r="U107" t="str" cm="1">
        <f t="array" ref="U107">INDEX(stations!$A$1:$A$9974,MATCH(1,(stations!$A$1:$A$9974=master!$R107)*(stations!$E$1:$E$9974=master!$S107)*(stations!$B$1:$B$9974=master!$T107),0))</f>
        <v>Lakeland Radio</v>
      </c>
    </row>
    <row r="108" spans="1:21" hidden="1" x14ac:dyDescent="0.55000000000000004">
      <c r="A108">
        <v>606</v>
      </c>
      <c r="B108" s="2" t="str" cm="1">
        <f t="array" ref="B108">INDEX(stations!$C$1:$C$9974,MATCH(1,(stations!$A$1:$A$9974=master!$R108)*(stations!$E$1:$E$9974=master!$S108)*(stations!$B$1:$B$9974=master!$T108),0))</f>
        <v>http://icecast.thisisdax.com/HeartNorthLancsCumbria</v>
      </c>
      <c r="C108" s="5" t="s">
        <v>6213</v>
      </c>
      <c r="D108" t="s">
        <v>17</v>
      </c>
      <c r="E108" t="s">
        <v>18</v>
      </c>
      <c r="G108" s="2" t="str">
        <f>_xlfn.IFNA(VLOOKUP($C108,logos!$A$2:$D$1025,4,FALSE),"")</f>
        <v>Global</v>
      </c>
      <c r="H108" s="5" t="s">
        <v>19</v>
      </c>
      <c r="I108" s="5" t="s">
        <v>20</v>
      </c>
      <c r="J108" s="5" t="s">
        <v>21</v>
      </c>
      <c r="K108" s="2" t="str" cm="1">
        <f t="array" ref="K108">INDEX(stations!$B$1:$B$9974,MATCH(1,(stations!$A$1:$A$9974=master!$R108)*(stations!$E$1:$E$9974=master!$S108)*(stations!$B$1:$B$9974=master!$T108),0))</f>
        <v>48s</v>
      </c>
      <c r="L108" s="5" t="s">
        <v>23</v>
      </c>
      <c r="M108" t="s">
        <v>24</v>
      </c>
      <c r="N108" t="s">
        <v>25</v>
      </c>
      <c r="O108" t="s">
        <v>25</v>
      </c>
      <c r="P108" s="2" t="b">
        <f>ISERROR(VLOOKUP($C108,logos!$A$2:$A$10003,1,FALSE))</f>
        <v>0</v>
      </c>
      <c r="Q108" s="2" t="str">
        <f>_xlfn.IFNA(VLOOKUP($C108,logos!$A$2:$B$10003,2,FALSE),"")</f>
        <v>The Bay.jpg</v>
      </c>
      <c r="R108" s="2" t="str">
        <f t="shared" si="3"/>
        <v>The Bay</v>
      </c>
      <c r="S108" s="5" t="s">
        <v>2609</v>
      </c>
      <c r="T108" s="5" t="s">
        <v>1662</v>
      </c>
      <c r="U108" t="str" cm="1">
        <f t="array" ref="U108">INDEX(stations!$A$1:$A$9974,MATCH(1,(stations!$A$1:$A$9974=master!$R108)*(stations!$E$1:$E$9974=master!$S108)*(stations!$B$1:$B$9974=master!$T108),0))</f>
        <v>The Bay</v>
      </c>
    </row>
  </sheetData>
  <autoFilter ref="A1:U108" xr:uid="{00000000-0001-0000-0000-000000000000}">
    <filterColumn colId="6">
      <filters>
        <filter val="BBC"/>
      </filters>
    </filterColumn>
  </autoFilter>
  <sortState xmlns:xlrd2="http://schemas.microsoft.com/office/spreadsheetml/2017/richdata2" ref="A2:U69">
    <sortCondition ref="C2:C69"/>
  </sortState>
  <phoneticPr fontId="19" type="noConversion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N2897"/>
  <sheetViews>
    <sheetView zoomScaleNormal="100" workbookViewId="0">
      <pane ySplit="1" topLeftCell="A2" activePane="bottomLeft" state="frozen"/>
      <selection pane="bottomLeft" activeCell="A2898" sqref="A2898"/>
    </sheetView>
  </sheetViews>
  <sheetFormatPr defaultRowHeight="14.4" x14ac:dyDescent="0.55000000000000004"/>
  <cols>
    <col min="1" max="1" width="34.1015625" customWidth="1"/>
    <col min="2" max="2" width="9.1015625" bestFit="1" customWidth="1"/>
    <col min="3" max="3" width="105" customWidth="1"/>
    <col min="8" max="8" width="7.3125" customWidth="1"/>
  </cols>
  <sheetData>
    <row r="1" spans="1:13" s="1" customFormat="1" x14ac:dyDescent="0.55000000000000004">
      <c r="A1" s="1" t="s">
        <v>2</v>
      </c>
      <c r="B1" s="1" t="s">
        <v>10</v>
      </c>
      <c r="C1" s="1" t="s">
        <v>1</v>
      </c>
      <c r="D1" s="1" t="s">
        <v>1656</v>
      </c>
      <c r="E1" s="1" t="s">
        <v>1660</v>
      </c>
      <c r="M1" s="1" t="s">
        <v>1655</v>
      </c>
    </row>
    <row r="2" spans="1:13" hidden="1" x14ac:dyDescent="0.55000000000000004">
      <c r="A2" t="s">
        <v>1033</v>
      </c>
      <c r="B2" t="s">
        <v>1663</v>
      </c>
      <c r="C2" t="s">
        <v>2060</v>
      </c>
      <c r="D2" t="s">
        <v>1657</v>
      </c>
      <c r="E2" t="s">
        <v>2609</v>
      </c>
      <c r="F2" t="str">
        <f>"""C:\Program Files\VideoLAN\VLC\vlc.exe"" """&amp;C2&amp;""""</f>
        <v>"C:\Program Files\VideoLAN\VLC\vlc.exe" "http://media.radiojackie.com:11278/?ref=RF"</v>
      </c>
      <c r="M2" t="e">
        <f>VLOOKUP(A2,logos!$A$2:$A$10004,1,FALSE)</f>
        <v>#N/A</v>
      </c>
    </row>
    <row r="3" spans="1:13" hidden="1" x14ac:dyDescent="0.55000000000000004">
      <c r="A3" t="s">
        <v>34</v>
      </c>
      <c r="B3" t="s">
        <v>1663</v>
      </c>
      <c r="C3" t="s">
        <v>4763</v>
      </c>
      <c r="D3" t="s">
        <v>1657</v>
      </c>
      <c r="E3" t="s">
        <v>2609</v>
      </c>
      <c r="F3" t="str">
        <f t="shared" ref="F3:F66" si="0">"""C:\Program Files\VideoLAN\VLC\vlc.exe"" """&amp;C3&amp;""""</f>
        <v>"C:\Program Files\VideoLAN\VLC\vlc.exe" "https://stream-ar.planetradio.co.uk/absoluteclassicrockhigh.aac?aw_0_1st.skey=1667145885&amp;aw_0_1st.playerid=BMUK_ukrp"</v>
      </c>
      <c r="M3" t="str">
        <f>VLOOKUP(A3,logos!$A$2:$A$10004,1,FALSE)</f>
        <v>Absolute Classic Rock</v>
      </c>
    </row>
    <row r="4" spans="1:13" hidden="1" x14ac:dyDescent="0.55000000000000004">
      <c r="A4" t="s">
        <v>38</v>
      </c>
      <c r="B4" t="s">
        <v>1663</v>
      </c>
      <c r="C4" t="s">
        <v>4766</v>
      </c>
      <c r="D4" t="s">
        <v>1657</v>
      </c>
      <c r="E4" t="s">
        <v>2609</v>
      </c>
      <c r="F4" t="str">
        <f t="shared" si="0"/>
        <v>"C:\Program Files\VideoLAN\VLC\vlc.exe" "https://stream-ar.planetradio.co.uk/absoluteradiohigh.aac?aw_0_1st.skey=1667145893&amp;aw_0_1st.playerid=BMUK_ukrp"</v>
      </c>
      <c r="M4" t="str">
        <f>VLOOKUP(A4,logos!$A$2:$A$10004,1,FALSE)</f>
        <v>Absolute Radio</v>
      </c>
    </row>
    <row r="5" spans="1:13" hidden="1" x14ac:dyDescent="0.55000000000000004">
      <c r="A5" t="s">
        <v>48</v>
      </c>
      <c r="B5" t="s">
        <v>1663</v>
      </c>
      <c r="C5" t="s">
        <v>4770</v>
      </c>
      <c r="D5" t="s">
        <v>1657</v>
      </c>
      <c r="E5" t="s">
        <v>2609</v>
      </c>
      <c r="F5" t="str">
        <f t="shared" si="0"/>
        <v>"C:\Program Files\VideoLAN\VLC\vlc.exe" "https://stream-ar.planetradio.co.uk/absolute00shigh.aac?aw_0_1st.skey=1667145902&amp;aw_0_1st.playerid=BMUK_ukrp"</v>
      </c>
      <c r="M5" t="str">
        <f>VLOOKUP(A5,logos!$A$2:$A$10004,1,FALSE)</f>
        <v>Absolute Radio 00s</v>
      </c>
    </row>
    <row r="6" spans="1:13" hidden="1" x14ac:dyDescent="0.55000000000000004">
      <c r="A6" t="s">
        <v>50</v>
      </c>
      <c r="B6" t="s">
        <v>1663</v>
      </c>
      <c r="C6" t="s">
        <v>4762</v>
      </c>
      <c r="D6" t="s">
        <v>1657</v>
      </c>
      <c r="E6" t="s">
        <v>2609</v>
      </c>
      <c r="F6" t="str">
        <f t="shared" si="0"/>
        <v>"C:\Program Files\VideoLAN\VLC\vlc.exe" "https://stream-ar.planetradio.co.uk/absolute10shigh.aac?aw_0_1st.skey=1667145883&amp;aw_0_1st.playerid=BMUK_ukrp"</v>
      </c>
      <c r="M6" t="str">
        <f>VLOOKUP(A6,logos!$A$2:$A$10004,1,FALSE)</f>
        <v>Absolute Radio 10s</v>
      </c>
    </row>
    <row r="7" spans="1:13" hidden="1" x14ac:dyDescent="0.55000000000000004">
      <c r="A7" t="s">
        <v>1545</v>
      </c>
      <c r="B7" t="s">
        <v>1663</v>
      </c>
      <c r="C7" t="s">
        <v>4768</v>
      </c>
      <c r="D7" t="s">
        <v>1657</v>
      </c>
      <c r="E7" t="s">
        <v>2609</v>
      </c>
      <c r="F7" t="str">
        <f t="shared" si="0"/>
        <v>"C:\Program Files\VideoLAN\VLC\vlc.exe" "https://stream-mz.planetradio.co.uk/webcast3high.aac?aw_0_1st.skey=1667145897&amp;aw_0_1st.playerid=BMUK_ukrp"</v>
      </c>
      <c r="M7" t="str">
        <f>VLOOKUP(A7,logos!$A$2:$A$10004,1,FALSE)</f>
        <v>Absolute Radio 20s</v>
      </c>
    </row>
    <row r="8" spans="1:13" hidden="1" x14ac:dyDescent="0.55000000000000004">
      <c r="A8" t="s">
        <v>40</v>
      </c>
      <c r="B8" t="s">
        <v>1663</v>
      </c>
      <c r="C8" t="s">
        <v>4767</v>
      </c>
      <c r="D8" t="s">
        <v>1657</v>
      </c>
      <c r="E8" t="s">
        <v>2609</v>
      </c>
      <c r="F8" t="str">
        <f t="shared" si="0"/>
        <v>"C:\Program Files\VideoLAN\VLC\vlc.exe" "https://stream-ar.planetradio.co.uk/absolute60shigh.aac?aw_0_1st.skey=1667145895&amp;aw_0_1st.playerid=BMUK_ukrp"</v>
      </c>
      <c r="M8" t="str">
        <f>VLOOKUP(A8,logos!$A$2:$A$10004,1,FALSE)</f>
        <v>Absolute Radio 60s</v>
      </c>
    </row>
    <row r="9" spans="1:13" hidden="1" x14ac:dyDescent="0.55000000000000004">
      <c r="A9" t="s">
        <v>42</v>
      </c>
      <c r="B9" t="s">
        <v>1663</v>
      </c>
      <c r="C9" t="s">
        <v>4769</v>
      </c>
      <c r="D9" t="s">
        <v>1657</v>
      </c>
      <c r="E9" t="s">
        <v>2609</v>
      </c>
      <c r="F9" t="str">
        <f t="shared" si="0"/>
        <v>"C:\Program Files\VideoLAN\VLC\vlc.exe" "https://stream-ar.planetradio.co.uk/absolute70shigh.aac?aw_0_1st.skey=1667145900&amp;aw_0_1st.playerid=BMUK_ukrp"</v>
      </c>
      <c r="M9" t="str">
        <f>VLOOKUP(A9,logos!$A$2:$A$10004,1,FALSE)</f>
        <v>Absolute Radio 70s</v>
      </c>
    </row>
    <row r="10" spans="1:13" hidden="1" x14ac:dyDescent="0.55000000000000004">
      <c r="A10" t="s">
        <v>4811</v>
      </c>
      <c r="B10" t="s">
        <v>1663</v>
      </c>
      <c r="C10" t="s">
        <v>4765</v>
      </c>
      <c r="D10" t="s">
        <v>1657</v>
      </c>
      <c r="E10" t="s">
        <v>2609</v>
      </c>
      <c r="F10" t="str">
        <f t="shared" si="0"/>
        <v>"C:\Program Files\VideoLAN\VLC\vlc.exe" "https://stream-ar.planetradio.co.uk/absolute80shigh.aac?aw_0_1st.skey=1667145889&amp;aw_0_1st.playerid=BMUK_ukrp"</v>
      </c>
      <c r="M10" t="str">
        <f>VLOOKUP(A10,logos!$A$2:$A$10004,1,FALSE)</f>
        <v>Absolute Radio 80s</v>
      </c>
    </row>
    <row r="11" spans="1:13" hidden="1" x14ac:dyDescent="0.55000000000000004">
      <c r="A11" t="s">
        <v>46</v>
      </c>
      <c r="B11" t="s">
        <v>1663</v>
      </c>
      <c r="C11" t="s">
        <v>4771</v>
      </c>
      <c r="D11" t="s">
        <v>1657</v>
      </c>
      <c r="E11" t="s">
        <v>2609</v>
      </c>
      <c r="F11" t="str">
        <f t="shared" si="0"/>
        <v>"C:\Program Files\VideoLAN\VLC\vlc.exe" "https://stream-ar.planetradio.co.uk/absolute90shigh.aac?aw_0_1st.skey=1667149563&amp;aw_0_1st.playerid=BMUK_ukrp"</v>
      </c>
      <c r="M11" t="str">
        <f>VLOOKUP(A11,logos!$A$2:$A$10004,1,FALSE)</f>
        <v>Absolute Radio 90s</v>
      </c>
    </row>
    <row r="12" spans="1:13" hidden="1" x14ac:dyDescent="0.55000000000000004">
      <c r="A12" t="s">
        <v>52</v>
      </c>
      <c r="B12" t="s">
        <v>1663</v>
      </c>
      <c r="C12" t="s">
        <v>4764</v>
      </c>
      <c r="D12" t="s">
        <v>1657</v>
      </c>
      <c r="E12" t="s">
        <v>2609</v>
      </c>
      <c r="F12" t="str">
        <f t="shared" si="0"/>
        <v>"C:\Program Files\VideoLAN\VLC\vlc.exe" "https://stream-ar.planetradio.co.uk/absolutecountryhigh.aac?aw_0_1st.skey=1667145887&amp;aw_0_1st.playerid=BMUK_ukrp"</v>
      </c>
      <c r="M12" t="str">
        <f>VLOOKUP(A12,logos!$A$2:$A$10004,1,FALSE)</f>
        <v>Absolute Radio Country</v>
      </c>
    </row>
    <row r="13" spans="1:13" hidden="1" x14ac:dyDescent="0.55000000000000004">
      <c r="A13" t="s">
        <v>2653</v>
      </c>
      <c r="B13" t="s">
        <v>1663</v>
      </c>
      <c r="C13" t="s">
        <v>1791</v>
      </c>
      <c r="D13" t="s">
        <v>1657</v>
      </c>
      <c r="E13" t="s">
        <v>2609</v>
      </c>
      <c r="F13" t="str">
        <f t="shared" si="0"/>
        <v>"C:\Program Files\VideoLAN\VLC\vlc.exe" "http://n0b.radiojar.com:80/xgbg3anx3zquv"</v>
      </c>
      <c r="M13" t="e">
        <f>VLOOKUP(A13,logos!$A$2:$A$10004,1,FALSE)</f>
        <v>#N/A</v>
      </c>
    </row>
    <row r="14" spans="1:13" hidden="1" x14ac:dyDescent="0.55000000000000004">
      <c r="A14" t="s">
        <v>367</v>
      </c>
      <c r="B14" t="s">
        <v>1663</v>
      </c>
      <c r="C14" t="s">
        <v>1796</v>
      </c>
      <c r="D14" t="s">
        <v>1657</v>
      </c>
      <c r="E14" t="s">
        <v>2609</v>
      </c>
      <c r="F14" t="str">
        <f t="shared" si="0"/>
        <v>"C:\Program Files\VideoLAN\VLC\vlc.exe" "http://dab.decadanceradio.net:8000/brighton.aac"</v>
      </c>
      <c r="M14" t="e">
        <f>VLOOKUP(A14,logos!$A$2:$A$10004,1,FALSE)</f>
        <v>#N/A</v>
      </c>
    </row>
    <row r="15" spans="1:13" hidden="1" x14ac:dyDescent="0.55000000000000004">
      <c r="A15" t="s">
        <v>453</v>
      </c>
      <c r="B15" t="s">
        <v>1663</v>
      </c>
      <c r="C15" t="s">
        <v>1830</v>
      </c>
      <c r="D15" t="s">
        <v>1657</v>
      </c>
      <c r="E15" t="s">
        <v>2609</v>
      </c>
      <c r="F15" t="str">
        <f t="shared" si="0"/>
        <v>"C:\Program Files\VideoLAN\VLC\vlc.exe" "http://stream.getradio.co.uk:80/aac"</v>
      </c>
      <c r="M15" t="e">
        <f>VLOOKUP(A15,logos!$A$2:$A$10004,1,FALSE)</f>
        <v>#N/A</v>
      </c>
    </row>
    <row r="16" spans="1:13" hidden="1" x14ac:dyDescent="0.55000000000000004">
      <c r="A16" t="s">
        <v>736</v>
      </c>
      <c r="B16" t="s">
        <v>1663</v>
      </c>
      <c r="C16" t="s">
        <v>1957</v>
      </c>
      <c r="D16" t="s">
        <v>1657</v>
      </c>
      <c r="E16" t="s">
        <v>2609</v>
      </c>
      <c r="F16" t="str">
        <f t="shared" si="0"/>
        <v>"C:\Program Files\VideoLAN\VLC\vlc.exe" "http://edge-bauerall-01-gos2.sharp-stream.com/jazzhigh.aac?aw_0_1st.skey=1666797715"</v>
      </c>
      <c r="M16" t="str">
        <f>VLOOKUP(A16,logos!$A$2:$A$10004,1,FALSE)</f>
        <v>Jazz FM</v>
      </c>
    </row>
    <row r="17" spans="1:13" hidden="1" x14ac:dyDescent="0.55000000000000004">
      <c r="A17" t="s">
        <v>1613</v>
      </c>
      <c r="B17" t="s">
        <v>1663</v>
      </c>
      <c r="C17" t="s">
        <v>1963</v>
      </c>
      <c r="D17" t="s">
        <v>1657</v>
      </c>
      <c r="E17" t="s">
        <v>2609</v>
      </c>
      <c r="F17" t="str">
        <f t="shared" si="0"/>
        <v>"C:\Program Files\VideoLAN\VLC\vlc.exe" "http://edge-bauermz-01-gos2.sharp-stream.com/webcast7high.aac?aw_0_1st.skey=1666797715"</v>
      </c>
      <c r="M17" t="str">
        <f>VLOOKUP(A17,logos!$A$2:$A$10004,1,FALSE)</f>
        <v>KISS BLISS</v>
      </c>
    </row>
    <row r="18" spans="1:13" hidden="1" x14ac:dyDescent="0.55000000000000004">
      <c r="A18" t="s">
        <v>1614</v>
      </c>
      <c r="B18" t="s">
        <v>1663</v>
      </c>
      <c r="C18" t="s">
        <v>1965</v>
      </c>
      <c r="D18" t="s">
        <v>1657</v>
      </c>
      <c r="E18" t="s">
        <v>2609</v>
      </c>
      <c r="F18" t="str">
        <f t="shared" si="0"/>
        <v>"C:\Program Files\VideoLAN\VLC\vlc.exe" "http://edge-bauermz-01-gos2.sharp-stream.com/webcast6high.aac?aw_0_1st.skey=1666797716"</v>
      </c>
      <c r="M18" t="str">
        <f>VLOOKUP(A18,logos!$A$2:$A$10004,1,FALSE)</f>
        <v>KISS DANCE</v>
      </c>
    </row>
    <row r="19" spans="1:13" hidden="1" x14ac:dyDescent="0.55000000000000004">
      <c r="A19" t="s">
        <v>1615</v>
      </c>
      <c r="B19" t="s">
        <v>1663</v>
      </c>
      <c r="C19" t="s">
        <v>1968</v>
      </c>
      <c r="D19" t="s">
        <v>1657</v>
      </c>
      <c r="E19" t="s">
        <v>2609</v>
      </c>
      <c r="F19" t="str">
        <f t="shared" si="0"/>
        <v>"C:\Program Files\VideoLAN\VLC\vlc.exe" "http://edge-bauermz-01-gos2.sharp-stream.com/webcast5high.aac?aw_0_1st.skey=1666797716"</v>
      </c>
      <c r="M19" t="str">
        <f>VLOOKUP(A19,logos!$A$2:$A$10004,1,FALSE)</f>
        <v>KISS GARAGE</v>
      </c>
    </row>
    <row r="20" spans="1:13" hidden="1" x14ac:dyDescent="0.55000000000000004">
      <c r="A20" t="s">
        <v>809</v>
      </c>
      <c r="B20" t="s">
        <v>1663</v>
      </c>
      <c r="C20" t="s">
        <v>4815</v>
      </c>
      <c r="D20" t="s">
        <v>1657</v>
      </c>
      <c r="E20" t="s">
        <v>2609</v>
      </c>
      <c r="F20" t="str">
        <f t="shared" si="0"/>
        <v>"C:\Program Files\VideoLAN\VLC\vlc.exe" "https://stream-mz.planetradio.co.uk/magicmusicalshigh.aac?aw_0_1st.skey=1667146534&amp;aw_0_1st.playerid=BMUK_ukrp"</v>
      </c>
      <c r="M20" t="str">
        <f>VLOOKUP(A20,logos!$A$2:$A$10004,1,FALSE)</f>
        <v>Magic at the Musicals</v>
      </c>
    </row>
    <row r="21" spans="1:13" hidden="1" x14ac:dyDescent="0.55000000000000004">
      <c r="A21" t="s">
        <v>1681</v>
      </c>
      <c r="B21" t="s">
        <v>1663</v>
      </c>
      <c r="C21" t="s">
        <v>1987</v>
      </c>
      <c r="D21" t="s">
        <v>1657</v>
      </c>
      <c r="E21" t="s">
        <v>2609</v>
      </c>
      <c r="F21" t="str">
        <f t="shared" si="0"/>
        <v>"C:\Program Files\VideoLAN\VLC\vlc.exe" "http://edge-bauermz-01-gos2.sharp-stream.com/webcast8high.aac?aw_0_1st.skey=1666797719"</v>
      </c>
      <c r="M21" t="str">
        <f>VLOOKUP(A21,logos!$A$2:$A$10004,1,FALSE)</f>
        <v>Magic Radio at the Movies</v>
      </c>
    </row>
    <row r="22" spans="1:13" hidden="1" x14ac:dyDescent="0.55000000000000004">
      <c r="A22" t="s">
        <v>1683</v>
      </c>
      <c r="B22" t="s">
        <v>1663</v>
      </c>
      <c r="C22" t="s">
        <v>2000</v>
      </c>
      <c r="D22" t="s">
        <v>1657</v>
      </c>
      <c r="E22" t="s">
        <v>2609</v>
      </c>
      <c r="F22" t="str">
        <f t="shared" si="0"/>
        <v>"C:\Program Files\VideoLAN\VLC\vlc.exe" "http://cupcake.citrus3.com:8122/stream"</v>
      </c>
      <c r="M22" t="e">
        <f>VLOOKUP(A22,logos!$A$2:$A$10004,1,FALSE)</f>
        <v>#N/A</v>
      </c>
    </row>
    <row r="23" spans="1:13" hidden="1" x14ac:dyDescent="0.55000000000000004">
      <c r="A23" t="s">
        <v>2790</v>
      </c>
      <c r="B23" t="s">
        <v>1663</v>
      </c>
      <c r="C23" t="s">
        <v>2024</v>
      </c>
      <c r="D23" t="s">
        <v>1657</v>
      </c>
      <c r="E23" t="s">
        <v>2609</v>
      </c>
      <c r="F23" t="str">
        <f t="shared" si="0"/>
        <v>"C:\Program Files\VideoLAN\VLC\vlc.exe" "http://listen-nation.sharp-stream.com/tcceredigion.aac?ref=RF"</v>
      </c>
      <c r="M23" t="e">
        <f>VLOOKUP(A23,logos!$A$2:$A$10004,1,FALSE)</f>
        <v>#N/A</v>
      </c>
    </row>
    <row r="24" spans="1:13" hidden="1" x14ac:dyDescent="0.55000000000000004">
      <c r="A24" t="s">
        <v>1013</v>
      </c>
      <c r="B24" t="s">
        <v>1663</v>
      </c>
      <c r="C24" t="s">
        <v>2055</v>
      </c>
      <c r="D24" t="s">
        <v>1657</v>
      </c>
      <c r="E24" t="s">
        <v>2609</v>
      </c>
      <c r="F24" t="str">
        <f t="shared" si="0"/>
        <v>"C:\Program Files\VideoLAN\VLC\vlc.exe" "http://listen-nation.sharp-stream.com/tccarmarthenshire.aac?ref=RF"</v>
      </c>
      <c r="M24" t="e">
        <f>VLOOKUP(A24,logos!$A$2:$A$10004,1,FALSE)</f>
        <v>#N/A</v>
      </c>
    </row>
    <row r="25" spans="1:13" hidden="1" x14ac:dyDescent="0.55000000000000004">
      <c r="A25" t="s">
        <v>1044</v>
      </c>
      <c r="B25" t="s">
        <v>1663</v>
      </c>
      <c r="C25" t="s">
        <v>2063</v>
      </c>
      <c r="D25" t="s">
        <v>1657</v>
      </c>
      <c r="E25" t="s">
        <v>2609</v>
      </c>
      <c r="F25" t="str">
        <f t="shared" si="0"/>
        <v>"C:\Program Files\VideoLAN\VLC\vlc.exe" "http://listen-nation.sharp-stream.com/tcpembrokeshire.aac?ref=RF"</v>
      </c>
      <c r="M25" t="e">
        <f>VLOOKUP(A25,logos!$A$2:$A$10004,1,FALSE)</f>
        <v>#N/A</v>
      </c>
    </row>
    <row r="26" spans="1:13" hidden="1" x14ac:dyDescent="0.55000000000000004">
      <c r="A26" t="s">
        <v>1051</v>
      </c>
      <c r="B26" t="s">
        <v>1663</v>
      </c>
      <c r="C26" t="s">
        <v>2064</v>
      </c>
      <c r="D26" t="s">
        <v>1657</v>
      </c>
      <c r="E26" t="s">
        <v>2609</v>
      </c>
      <c r="F26" t="str">
        <f t="shared" si="0"/>
        <v>"C:\Program Files\VideoLAN\VLC\vlc.exe" "http://stream.westeurope.cloudapp.azure.com:80/up"</v>
      </c>
      <c r="M26" t="e">
        <f>VLOOKUP(A26,logos!$A$2:$A$10004,1,FALSE)</f>
        <v>#N/A</v>
      </c>
    </row>
    <row r="27" spans="1:13" hidden="1" x14ac:dyDescent="0.55000000000000004">
      <c r="A27" t="s">
        <v>1069</v>
      </c>
      <c r="B27" t="s">
        <v>1663</v>
      </c>
      <c r="C27" t="s">
        <v>2070</v>
      </c>
      <c r="D27" t="s">
        <v>1657</v>
      </c>
      <c r="E27" t="s">
        <v>2609</v>
      </c>
      <c r="F27" t="str">
        <f t="shared" si="0"/>
        <v>"C:\Program Files\VideoLAN\VLC\vlc.exe" "http://stream.releaseradio.net:80/stream2"</v>
      </c>
      <c r="M27" t="e">
        <f>VLOOKUP(A27,logos!$A$2:$A$10004,1,FALSE)</f>
        <v>#N/A</v>
      </c>
    </row>
    <row r="28" spans="1:13" hidden="1" x14ac:dyDescent="0.55000000000000004">
      <c r="A28" t="s">
        <v>1087</v>
      </c>
      <c r="B28" t="s">
        <v>1663</v>
      </c>
      <c r="C28" t="s">
        <v>2075</v>
      </c>
      <c r="D28" t="s">
        <v>1657</v>
      </c>
      <c r="E28" t="s">
        <v>2609</v>
      </c>
      <c r="F28" t="str">
        <f t="shared" si="0"/>
        <v>"C:\Program Files\VideoLAN\VLC\vlc.exe" "http://streaming03.zfast.co.uk:8132/stream"</v>
      </c>
      <c r="M28" t="str">
        <f>VLOOKUP(A28,logos!$A$2:$A$10004,1,FALSE)</f>
        <v>Rother Radio</v>
      </c>
    </row>
    <row r="29" spans="1:13" hidden="1" x14ac:dyDescent="0.55000000000000004">
      <c r="A29" t="s">
        <v>1104</v>
      </c>
      <c r="B29" t="s">
        <v>1663</v>
      </c>
      <c r="C29" t="s">
        <v>2078</v>
      </c>
      <c r="D29" t="s">
        <v>1657</v>
      </c>
      <c r="E29" t="s">
        <v>2609</v>
      </c>
      <c r="F29" t="str">
        <f t="shared" si="0"/>
        <v>"C:\Program Files\VideoLAN\VLC\vlc.exe" "http://edge-bauermz-01-gos2.sharp-stream.com/scalahigh.aac?aw_0_1st.skey=1666797753"</v>
      </c>
      <c r="M29" t="str">
        <f>VLOOKUP(A29,logos!$A$2:$A$10004,1,FALSE)</f>
        <v>Scala Radio</v>
      </c>
    </row>
    <row r="30" spans="1:13" hidden="1" x14ac:dyDescent="0.55000000000000004">
      <c r="A30" t="s">
        <v>1110</v>
      </c>
      <c r="B30" t="s">
        <v>1663</v>
      </c>
      <c r="C30" t="s">
        <v>2082</v>
      </c>
      <c r="D30" t="s">
        <v>1657</v>
      </c>
      <c r="E30" t="s">
        <v>2609</v>
      </c>
      <c r="F30" t="str">
        <f t="shared" si="0"/>
        <v>"C:\Program Files\VideoLAN\VLC\vlc.exe" "http://tx9.zetcast.net:8100/stream3?ref=RF"</v>
      </c>
      <c r="M30" t="e">
        <f>VLOOKUP(A30,logos!$A$2:$A$10004,1,FALSE)</f>
        <v>#N/A</v>
      </c>
    </row>
    <row r="31" spans="1:13" hidden="1" x14ac:dyDescent="0.55000000000000004">
      <c r="A31" t="s">
        <v>1118</v>
      </c>
      <c r="B31" t="s">
        <v>1663</v>
      </c>
      <c r="C31" t="s">
        <v>2085</v>
      </c>
      <c r="D31" t="s">
        <v>1657</v>
      </c>
      <c r="E31" t="s">
        <v>2609</v>
      </c>
      <c r="F31" t="str">
        <f t="shared" si="0"/>
        <v>"C:\Program Files\VideoLAN\VLC\vlc.exe" "http://198.245.60.88:8128/stream"</v>
      </c>
      <c r="M31" t="e">
        <f>VLOOKUP(A31,logos!$A$2:$A$10004,1,FALSE)</f>
        <v>#N/A</v>
      </c>
    </row>
    <row r="32" spans="1:13" hidden="1" x14ac:dyDescent="0.55000000000000004">
      <c r="A32" t="s">
        <v>1185</v>
      </c>
      <c r="B32" t="s">
        <v>1663</v>
      </c>
      <c r="C32" t="s">
        <v>2116</v>
      </c>
      <c r="D32" t="s">
        <v>1657</v>
      </c>
      <c r="E32" t="s">
        <v>2609</v>
      </c>
      <c r="F32" t="str">
        <f t="shared" si="0"/>
        <v>"C:\Program Files\VideoLAN\VLC\vlc.exe" "http://n20a-eu.rcs.revma.com:80/r5uyvd6p108uv"</v>
      </c>
      <c r="M32" t="str">
        <f>VLOOKUP(A32,logos!$A$2:$A$10004,1,FALSE)</f>
        <v>Soleil Radio</v>
      </c>
    </row>
    <row r="33" spans="1:14" hidden="1" x14ac:dyDescent="0.55000000000000004">
      <c r="A33" t="s">
        <v>1188</v>
      </c>
      <c r="B33" t="s">
        <v>1663</v>
      </c>
      <c r="C33" t="s">
        <v>2118</v>
      </c>
      <c r="D33" t="s">
        <v>1657</v>
      </c>
      <c r="E33" t="s">
        <v>2609</v>
      </c>
      <c r="F33" t="str">
        <f t="shared" si="0"/>
        <v>"C:\Program Files\VideoLAN\VLC\vlc.exe" "http://centova.solidradio.co.uk:8000/solid"</v>
      </c>
      <c r="M33" t="e">
        <f>VLOOKUP(A33,logos!$A$2:$A$10004,1,FALSE)</f>
        <v>#N/A</v>
      </c>
    </row>
    <row r="34" spans="1:14" hidden="1" x14ac:dyDescent="0.55000000000000004">
      <c r="A34" t="s">
        <v>1033</v>
      </c>
      <c r="B34" t="s">
        <v>1684</v>
      </c>
      <c r="C34" t="s">
        <v>2058</v>
      </c>
      <c r="D34" t="s">
        <v>1657</v>
      </c>
      <c r="E34" t="s">
        <v>2609</v>
      </c>
      <c r="F34" t="str">
        <f t="shared" si="0"/>
        <v>"C:\Program Files\VideoLAN\VLC\vlc.exe" "http://media.radiojackie.com:11209/"</v>
      </c>
      <c r="M34" t="e">
        <f>VLOOKUP(A34,logos!$A$2:$A$10004,1,FALSE)</f>
        <v>#N/A</v>
      </c>
      <c r="N34" t="s">
        <v>1545</v>
      </c>
    </row>
    <row r="35" spans="1:14" hidden="1" x14ac:dyDescent="0.55000000000000004">
      <c r="A35" t="s">
        <v>1667</v>
      </c>
      <c r="B35" t="s">
        <v>1669</v>
      </c>
      <c r="C35" t="s">
        <v>1727</v>
      </c>
      <c r="D35" t="s">
        <v>1657</v>
      </c>
      <c r="E35" t="s">
        <v>2609</v>
      </c>
      <c r="F35" t="str">
        <f t="shared" si="0"/>
        <v>"C:\Program Files\VideoLAN\VLC\vlc.exe" "http://streaming.radio.co:80/sc599f67d7/listen"</v>
      </c>
      <c r="M35" t="e">
        <f>VLOOKUP(A35,logos!$A$2:$A$10004,1,FALSE)</f>
        <v>#N/A</v>
      </c>
    </row>
    <row r="36" spans="1:14" hidden="1" x14ac:dyDescent="0.55000000000000004">
      <c r="A36" t="s">
        <v>226</v>
      </c>
      <c r="B36" t="s">
        <v>1669</v>
      </c>
      <c r="C36" t="s">
        <v>1731</v>
      </c>
      <c r="D36" t="s">
        <v>1657</v>
      </c>
      <c r="E36" t="s">
        <v>2609</v>
      </c>
      <c r="F36" t="str">
        <f t="shared" si="0"/>
        <v>"C:\Program Files\VideoLAN\VLC\vlc.exe" "http://stream.beyondradio.co.uk:8000/high"</v>
      </c>
      <c r="M36" t="str">
        <f>VLOOKUP(A36,logos!$A$2:$A$10004,1,FALSE)</f>
        <v>Beyond Radio</v>
      </c>
    </row>
    <row r="37" spans="1:14" hidden="1" x14ac:dyDescent="0.55000000000000004">
      <c r="A37" t="s">
        <v>245</v>
      </c>
      <c r="B37" t="s">
        <v>1669</v>
      </c>
      <c r="C37" t="s">
        <v>1745</v>
      </c>
      <c r="D37" t="s">
        <v>1657</v>
      </c>
      <c r="E37" t="s">
        <v>2609</v>
      </c>
      <c r="F37" t="str">
        <f t="shared" si="0"/>
        <v>"C:\Program Files\VideoLAN\VLC\vlc.exe" "http://listen-boomradio.sharp-stream.com/65_boom_radio_live_192?ref=RF"</v>
      </c>
      <c r="M37" t="str">
        <f>VLOOKUP(A37,logos!$A$2:$A$10004,1,FALSE)</f>
        <v>Boom Radio</v>
      </c>
    </row>
    <row r="38" spans="1:14" hidden="1" x14ac:dyDescent="0.55000000000000004">
      <c r="A38" t="s">
        <v>2650</v>
      </c>
      <c r="B38" t="s">
        <v>1669</v>
      </c>
      <c r="C38" t="s">
        <v>1785</v>
      </c>
      <c r="D38" t="s">
        <v>1657</v>
      </c>
      <c r="E38" t="s">
        <v>2609</v>
      </c>
      <c r="F38" t="str">
        <f t="shared" si="0"/>
        <v>"C:\Program Files\VideoLAN\VLC\vlc.exe" "http://stream.central.radio:8000/high"</v>
      </c>
      <c r="M38" t="e">
        <f>VLOOKUP(A38,logos!$A$2:$A$10004,1,FALSE)</f>
        <v>#N/A</v>
      </c>
    </row>
    <row r="39" spans="1:14" hidden="1" x14ac:dyDescent="0.55000000000000004">
      <c r="A39" t="s">
        <v>336</v>
      </c>
      <c r="B39" t="s">
        <v>1669</v>
      </c>
      <c r="C39" t="s">
        <v>1787</v>
      </c>
      <c r="D39" t="s">
        <v>1657</v>
      </c>
      <c r="E39" t="s">
        <v>2609</v>
      </c>
      <c r="F39" t="str">
        <f t="shared" si="0"/>
        <v>"C:\Program Files\VideoLAN\VLC\vlc.exe" "http://n02a-eu.rcs.revma.com:80/wzc639un1qzuv"</v>
      </c>
      <c r="M39" t="str">
        <f>VLOOKUP(A39,logos!$A$2:$A$10004,1,FALSE)</f>
        <v>Channel 103</v>
      </c>
    </row>
    <row r="40" spans="1:14" hidden="1" x14ac:dyDescent="0.55000000000000004">
      <c r="A40" t="s">
        <v>459</v>
      </c>
      <c r="B40" t="s">
        <v>1669</v>
      </c>
      <c r="C40" t="s">
        <v>1832</v>
      </c>
      <c r="D40" t="s">
        <v>1657</v>
      </c>
      <c r="E40" t="s">
        <v>2609</v>
      </c>
      <c r="F40" t="str">
        <f t="shared" si="0"/>
        <v>"C:\Program Files\VideoLAN\VLC\vlc.exe" "http://icecast.thisisdax.com/GoldAdwHD"</v>
      </c>
      <c r="M40" t="str">
        <f>VLOOKUP(A40,logos!$A$2:$A$10004,1,FALSE)</f>
        <v>Gold</v>
      </c>
    </row>
    <row r="41" spans="1:14" hidden="1" x14ac:dyDescent="0.55000000000000004">
      <c r="A41" t="s">
        <v>2742</v>
      </c>
      <c r="B41" t="s">
        <v>1669</v>
      </c>
      <c r="C41" t="s">
        <v>1914</v>
      </c>
      <c r="D41" t="s">
        <v>1657</v>
      </c>
      <c r="E41" t="s">
        <v>2609</v>
      </c>
      <c r="F41" t="str">
        <f t="shared" si="0"/>
        <v>"C:\Program Files\VideoLAN\VLC\vlc.exe" "http://icecast.thisisdax.com/HeartUKAdwHD"</v>
      </c>
      <c r="M41" t="str">
        <f>VLOOKUP(A41,logos!$A$2:$A$10004,1,FALSE)</f>
        <v>Heart (UK)</v>
      </c>
    </row>
    <row r="42" spans="1:14" hidden="1" x14ac:dyDescent="0.55000000000000004">
      <c r="A42" t="s">
        <v>714</v>
      </c>
      <c r="B42" t="s">
        <v>1669</v>
      </c>
      <c r="C42" t="s">
        <v>1949</v>
      </c>
      <c r="D42" t="s">
        <v>1657</v>
      </c>
      <c r="E42" t="s">
        <v>2609</v>
      </c>
      <c r="F42" t="str">
        <f t="shared" si="0"/>
        <v>"C:\Program Files\VideoLAN\VLC\vlc.exe" "http://curtis.hubradio.co.uk:8080/hub-hq.aac"</v>
      </c>
      <c r="M42" t="str">
        <f>VLOOKUP(A42,logos!$A$2:$A$10004,1,FALSE)</f>
        <v>Hub Radio</v>
      </c>
    </row>
    <row r="43" spans="1:14" hidden="1" x14ac:dyDescent="0.55000000000000004">
      <c r="A43" t="s">
        <v>718</v>
      </c>
      <c r="B43" t="s">
        <v>1669</v>
      </c>
      <c r="C43" t="s">
        <v>1951</v>
      </c>
      <c r="D43" t="s">
        <v>1657</v>
      </c>
      <c r="E43" t="s">
        <v>2609</v>
      </c>
      <c r="F43" t="str">
        <f t="shared" si="0"/>
        <v>"C:\Program Files\VideoLAN\VLC\vlc.exe" "http://n20a-eu.rcs.revma.com:80/24we5fvn1qzuv"</v>
      </c>
      <c r="M43" t="str">
        <f>VLOOKUP(A43,logos!$A$2:$A$10004,1,FALSE)</f>
        <v>Island FM</v>
      </c>
    </row>
    <row r="44" spans="1:14" hidden="1" x14ac:dyDescent="0.55000000000000004">
      <c r="A44" t="s">
        <v>226</v>
      </c>
      <c r="B44" t="s">
        <v>1671</v>
      </c>
      <c r="C44" t="s">
        <v>1729</v>
      </c>
      <c r="D44" t="s">
        <v>1657</v>
      </c>
      <c r="E44" t="s">
        <v>2609</v>
      </c>
      <c r="F44" t="str">
        <f t="shared" si="0"/>
        <v>"C:\Program Files\VideoLAN\VLC\vlc.exe" "http://stream.beyondradio.co.uk:8000/ulow"</v>
      </c>
      <c r="M44" t="str">
        <f>VLOOKUP(A44,logos!$A$2:$A$10004,1,FALSE)</f>
        <v>Beyond Radio</v>
      </c>
    </row>
    <row r="45" spans="1:14" hidden="1" x14ac:dyDescent="0.55000000000000004">
      <c r="A45" t="s">
        <v>1110</v>
      </c>
      <c r="B45" t="s">
        <v>1671</v>
      </c>
      <c r="C45" t="s">
        <v>2079</v>
      </c>
      <c r="D45" t="s">
        <v>1657</v>
      </c>
      <c r="E45" t="s">
        <v>2609</v>
      </c>
      <c r="F45" t="str">
        <f t="shared" si="0"/>
        <v>"C:\Program Files\VideoLAN\VLC\vlc.exe" "http://tx9.zetcast.net:8100/stream6?ref=RF"</v>
      </c>
      <c r="M45" t="e">
        <f>VLOOKUP(A45,logos!$A$2:$A$10004,1,FALSE)</f>
        <v>#N/A</v>
      </c>
    </row>
    <row r="46" spans="1:14" hidden="1" x14ac:dyDescent="0.55000000000000004">
      <c r="A46" t="s">
        <v>68</v>
      </c>
      <c r="B46" t="s">
        <v>1666</v>
      </c>
      <c r="C46" t="s">
        <v>1723</v>
      </c>
      <c r="D46" t="s">
        <v>1657</v>
      </c>
      <c r="E46" t="s">
        <v>2609</v>
      </c>
      <c r="F46" t="str">
        <f t="shared" si="0"/>
        <v>"C:\Program Files\VideoLAN\VLC\vlc.exe" "http://live.argyllfm.com/stream3?ref=RF"</v>
      </c>
      <c r="M46" t="e">
        <f>VLOOKUP(A46,logos!$A$2:$A$10004,1,FALSE)</f>
        <v>#N/A</v>
      </c>
    </row>
    <row r="47" spans="1:14" hidden="1" x14ac:dyDescent="0.55000000000000004">
      <c r="A47" t="s">
        <v>1672</v>
      </c>
      <c r="B47" t="s">
        <v>1666</v>
      </c>
      <c r="C47" t="s">
        <v>1739</v>
      </c>
      <c r="D47" t="s">
        <v>1657</v>
      </c>
      <c r="E47" t="s">
        <v>2609</v>
      </c>
      <c r="F47" t="str">
        <f t="shared" si="0"/>
        <v>"C:\Program Files\VideoLAN\VLC\vlc.exe" "http://s4.citrus3.com:8366/stream"</v>
      </c>
      <c r="M47" t="e">
        <f>VLOOKUP(A47,logos!$A$2:$A$10004,1,FALSE)</f>
        <v>#N/A</v>
      </c>
    </row>
    <row r="48" spans="1:14" hidden="1" x14ac:dyDescent="0.55000000000000004">
      <c r="A48" t="s">
        <v>243</v>
      </c>
      <c r="B48" t="s">
        <v>1666</v>
      </c>
      <c r="C48" t="s">
        <v>1742</v>
      </c>
      <c r="D48" t="s">
        <v>1657</v>
      </c>
      <c r="E48" t="s">
        <v>2609</v>
      </c>
      <c r="F48" t="str">
        <f t="shared" si="0"/>
        <v>"C:\Program Files\VideoLAN\VLC\vlc.exe" "http://listen-boomradio.sharp-stream.com/65_boom_light_256_aac?ref=RF"</v>
      </c>
      <c r="M48" t="str">
        <f>VLOOKUP(A48,logos!$A$2:$A$10004,1,FALSE)</f>
        <v>Boom Light</v>
      </c>
    </row>
    <row r="49" spans="1:13" hidden="1" x14ac:dyDescent="0.55000000000000004">
      <c r="A49" t="s">
        <v>2777</v>
      </c>
      <c r="B49" t="s">
        <v>1666</v>
      </c>
      <c r="C49" t="s">
        <v>2001</v>
      </c>
      <c r="D49" t="s">
        <v>1657</v>
      </c>
      <c r="E49" t="s">
        <v>2609</v>
      </c>
      <c r="F49" t="str">
        <f t="shared" si="0"/>
        <v>"C:\Program Files\VideoLAN\VLC\vlc.exe" "http://memorylaneradio.radioca.st:9607/stream"</v>
      </c>
      <c r="M49" t="e">
        <f>VLOOKUP(A49,logos!$A$2:$A$10004,1,FALSE)</f>
        <v>#N/A</v>
      </c>
    </row>
    <row r="50" spans="1:13" hidden="1" x14ac:dyDescent="0.55000000000000004">
      <c r="A50" t="s">
        <v>1267</v>
      </c>
      <c r="B50" t="s">
        <v>1666</v>
      </c>
      <c r="C50" t="s">
        <v>2132</v>
      </c>
      <c r="D50" t="s">
        <v>1657</v>
      </c>
      <c r="E50" t="s">
        <v>2609</v>
      </c>
      <c r="F50" t="str">
        <f t="shared" si="0"/>
        <v>"C:\Program Files\VideoLAN\VLC\vlc.exe" "http://streaming.broadcastradio.com:10840/thisisthecoastdab"</v>
      </c>
      <c r="M50" t="str">
        <f>VLOOKUP(A50,logos!$A$2:$A$10004,1,FALSE)</f>
        <v>This is the Coast</v>
      </c>
    </row>
    <row r="51" spans="1:13" hidden="1" x14ac:dyDescent="0.55000000000000004">
      <c r="A51" t="s">
        <v>1033</v>
      </c>
      <c r="B51" t="s">
        <v>1670</v>
      </c>
      <c r="C51" t="s">
        <v>2061</v>
      </c>
      <c r="D51" t="s">
        <v>1657</v>
      </c>
      <c r="E51" t="s">
        <v>2609</v>
      </c>
      <c r="F51" t="str">
        <f t="shared" si="0"/>
        <v>"C:\Program Files\VideoLAN\VLC\vlc.exe" "http://media.radiojackie.com:5873/;"</v>
      </c>
      <c r="M51" t="e">
        <f>VLOOKUP(A51,logos!$A$2:$A$10004,1,FALSE)</f>
        <v>#N/A</v>
      </c>
    </row>
    <row r="52" spans="1:13" hidden="1" x14ac:dyDescent="0.55000000000000004">
      <c r="A52" t="s">
        <v>105</v>
      </c>
      <c r="B52" t="s">
        <v>1670</v>
      </c>
      <c r="C52" t="s">
        <v>4840</v>
      </c>
      <c r="D52" t="s">
        <v>1657</v>
      </c>
      <c r="E52" t="s">
        <v>2609</v>
      </c>
      <c r="F52" t="str">
        <f t="shared" si="0"/>
        <v>"C:\Program Files\VideoLAN\VLC\vlc.exe" "http://stream.live.vc.bbcmedia.co.uk/bbc_radio_three_hd"</v>
      </c>
      <c r="M52" t="str">
        <f>VLOOKUP(A52,logos!$A$2:$A$10004,1,FALSE)</f>
        <v>BBC Radio 3</v>
      </c>
    </row>
    <row r="53" spans="1:13" hidden="1" x14ac:dyDescent="0.55000000000000004">
      <c r="A53" t="s">
        <v>1688</v>
      </c>
      <c r="B53" t="s">
        <v>1670</v>
      </c>
      <c r="C53" t="s">
        <v>2130</v>
      </c>
      <c r="D53" t="s">
        <v>1657</v>
      </c>
      <c r="E53" t="s">
        <v>2609</v>
      </c>
      <c r="F53" t="str">
        <f t="shared" si="0"/>
        <v>"C:\Program Files\VideoLAN\VLC\vlc.exe" "http://streaming.galaxywebsolutions.com:9046/stream"</v>
      </c>
      <c r="M53" t="e">
        <f>VLOOKUP(A53,logos!$A$2:$A$10004,1,FALSE)</f>
        <v>#N/A</v>
      </c>
    </row>
    <row r="54" spans="1:13" hidden="1" x14ac:dyDescent="0.55000000000000004">
      <c r="A54" t="s">
        <v>1239</v>
      </c>
      <c r="B54" t="s">
        <v>1687</v>
      </c>
      <c r="C54" t="s">
        <v>2123</v>
      </c>
      <c r="D54" t="s">
        <v>1657</v>
      </c>
      <c r="E54" t="s">
        <v>2609</v>
      </c>
      <c r="F54" t="str">
        <f t="shared" si="0"/>
        <v>"C:\Program Files\VideoLAN\VLC\vlc.exe" "http://radio.talkradio.co.uk/stream-mobile?ref=rf"</v>
      </c>
      <c r="M54" t="str">
        <f>VLOOKUP(A54,logos!$A$2:$A$10004,1,FALSE)</f>
        <v>TalkRadio</v>
      </c>
    </row>
    <row r="55" spans="1:13" hidden="1" x14ac:dyDescent="0.55000000000000004">
      <c r="A55" t="s">
        <v>2830</v>
      </c>
      <c r="B55" t="s">
        <v>1687</v>
      </c>
      <c r="C55" t="s">
        <v>2124</v>
      </c>
      <c r="D55" t="s">
        <v>1657</v>
      </c>
      <c r="E55" t="s">
        <v>2609</v>
      </c>
      <c r="F55" t="str">
        <f t="shared" si="0"/>
        <v>"C:\Program Files\VideoLAN\VLC\vlc.exe" "http://radio.talksport.com/stream-mobile?ref=rf"</v>
      </c>
      <c r="M55" t="str">
        <f>VLOOKUP(A55,logos!$A$2:$A$10004,1,FALSE)</f>
        <v>talkSPORT (UK)</v>
      </c>
    </row>
    <row r="56" spans="1:13" hidden="1" x14ac:dyDescent="0.55000000000000004">
      <c r="A56" t="s">
        <v>1033</v>
      </c>
      <c r="B56" t="s">
        <v>1679</v>
      </c>
      <c r="C56" t="s">
        <v>2059</v>
      </c>
      <c r="D56" t="s">
        <v>1657</v>
      </c>
      <c r="E56" t="s">
        <v>2609</v>
      </c>
      <c r="F56" t="str">
        <f t="shared" si="0"/>
        <v>"C:\Program Files\VideoLAN\VLC\vlc.exe" "http://media.radiojackie.com:11289/"</v>
      </c>
      <c r="M56" t="e">
        <f>VLOOKUP(A56,logos!$A$2:$A$10004,1,FALSE)</f>
        <v>#N/A</v>
      </c>
    </row>
    <row r="57" spans="1:13" hidden="1" x14ac:dyDescent="0.55000000000000004">
      <c r="A57" t="s">
        <v>1678</v>
      </c>
      <c r="B57" t="s">
        <v>1679</v>
      </c>
      <c r="C57" t="s">
        <v>1818</v>
      </c>
      <c r="D57" t="s">
        <v>1657</v>
      </c>
      <c r="E57" t="s">
        <v>2609</v>
      </c>
      <c r="F57" t="str">
        <f t="shared" si="0"/>
        <v>"C:\Program Files\VideoLAN\VLC\vlc.exe" "http://www.friskradio.com:8000/stream1"</v>
      </c>
      <c r="M57" t="e">
        <f>VLOOKUP(A57,logos!$A$2:$A$10004,1,FALSE)</f>
        <v>#N/A</v>
      </c>
    </row>
    <row r="58" spans="1:13" hidden="1" x14ac:dyDescent="0.55000000000000004">
      <c r="A58" t="s">
        <v>2792</v>
      </c>
      <c r="B58" t="s">
        <v>1679</v>
      </c>
      <c r="C58" t="s">
        <v>2035</v>
      </c>
      <c r="D58" t="s">
        <v>1657</v>
      </c>
      <c r="E58" t="s">
        <v>2609</v>
      </c>
      <c r="F58" t="str">
        <f t="shared" si="0"/>
        <v>"C:\Program Files\VideoLAN\VLC\vlc.exe" "http://live.streamlojik.com:11170/outreachdance.aac"</v>
      </c>
      <c r="M58" t="e">
        <f>VLOOKUP(A58,logos!$A$2:$A$10004,1,FALSE)</f>
        <v>#N/A</v>
      </c>
    </row>
    <row r="59" spans="1:13" hidden="1" x14ac:dyDescent="0.55000000000000004">
      <c r="A59" t="s">
        <v>935</v>
      </c>
      <c r="B59" t="s">
        <v>1679</v>
      </c>
      <c r="C59" t="s">
        <v>2036</v>
      </c>
      <c r="D59" t="s">
        <v>1657</v>
      </c>
      <c r="E59" t="s">
        <v>2609</v>
      </c>
      <c r="F59" t="str">
        <f t="shared" si="0"/>
        <v>"C:\Program Files\VideoLAN\VLC\vlc.exe" "http://live.streamlojik.com:11070/outreachradio.aac"</v>
      </c>
      <c r="M59" t="e">
        <f>VLOOKUP(A59,logos!$A$2:$A$10004,1,FALSE)</f>
        <v>#N/A</v>
      </c>
    </row>
    <row r="60" spans="1:13" hidden="1" x14ac:dyDescent="0.55000000000000004">
      <c r="A60" t="s">
        <v>1262</v>
      </c>
      <c r="B60" t="s">
        <v>1679</v>
      </c>
      <c r="C60" t="s">
        <v>2129</v>
      </c>
      <c r="D60" t="s">
        <v>1657</v>
      </c>
      <c r="E60" t="s">
        <v>2609</v>
      </c>
      <c r="F60" t="str">
        <f t="shared" si="0"/>
        <v>"C:\Program Files\VideoLAN\VLC\vlc.exe" "http://icecast3.rosisystems.com:8000/thevoice32.aac"</v>
      </c>
      <c r="M60" t="e">
        <f>VLOOKUP(A60,logos!$A$2:$A$10004,1,FALSE)</f>
        <v>#N/A</v>
      </c>
    </row>
    <row r="61" spans="1:13" hidden="1" x14ac:dyDescent="0.55000000000000004">
      <c r="A61" t="s">
        <v>2831</v>
      </c>
      <c r="B61" t="s">
        <v>1679</v>
      </c>
      <c r="C61" t="s">
        <v>2135</v>
      </c>
      <c r="D61" t="s">
        <v>1657</v>
      </c>
      <c r="E61" t="s">
        <v>2609</v>
      </c>
      <c r="F61" t="str">
        <f t="shared" si="0"/>
        <v>"C:\Program Files\VideoLAN\VLC\vlc.exe" "http://streaming02.zfast.co.uk:8034/stream"</v>
      </c>
      <c r="M61" t="e">
        <f>VLOOKUP(A61,logos!$A$2:$A$10004,1,FALSE)</f>
        <v>#N/A</v>
      </c>
    </row>
    <row r="62" spans="1:13" hidden="1" x14ac:dyDescent="0.55000000000000004">
      <c r="A62" t="s">
        <v>1298</v>
      </c>
      <c r="B62" t="s">
        <v>1679</v>
      </c>
      <c r="C62" t="s">
        <v>2138</v>
      </c>
      <c r="D62" t="s">
        <v>1657</v>
      </c>
      <c r="E62" t="s">
        <v>2609</v>
      </c>
      <c r="F62" t="str">
        <f t="shared" si="0"/>
        <v>"C:\Program Files\VideoLAN\VLC\vlc.exe" "http://stream.v2radio.co.uk:80/V2RadioLQAACP"</v>
      </c>
      <c r="M62" t="str">
        <f>VLOOKUP(A62,logos!$A$2:$A$10004,1,FALSE)</f>
        <v>V2 Radio</v>
      </c>
    </row>
    <row r="63" spans="1:13" hidden="1" x14ac:dyDescent="0.55000000000000004">
      <c r="A63" t="s">
        <v>54</v>
      </c>
      <c r="B63" t="s">
        <v>1664</v>
      </c>
      <c r="C63" t="s">
        <v>1720</v>
      </c>
      <c r="D63" t="s">
        <v>1657</v>
      </c>
      <c r="E63" t="s">
        <v>2609</v>
      </c>
      <c r="F63" t="str">
        <f t="shared" si="0"/>
        <v>"C:\Program Files\VideoLAN\VLC\vlc.exe" "http://listen-actualradio.sharp-stream.com/actualradio.aac?ref=RF"</v>
      </c>
      <c r="M63" t="e">
        <f>VLOOKUP(A63,logos!$A$2:$A$10004,1,FALSE)</f>
        <v>#N/A</v>
      </c>
    </row>
    <row r="64" spans="1:13" hidden="1" x14ac:dyDescent="0.55000000000000004">
      <c r="A64" t="s">
        <v>1674</v>
      </c>
      <c r="B64" t="s">
        <v>1662</v>
      </c>
      <c r="C64" t="s">
        <v>1783</v>
      </c>
      <c r="D64" t="s">
        <v>1657</v>
      </c>
      <c r="E64" t="s">
        <v>2609</v>
      </c>
      <c r="F64" t="str">
        <f t="shared" si="0"/>
        <v>"C:\Program Files\VideoLAN\VLC\vlc.exe" "http://stream4.radiomonitor.com/CentralFM?token=Y4iDZ2mLhGhqi4d0l8DBo5O+k34="</v>
      </c>
      <c r="M64" t="e">
        <f>VLOOKUP(A64,logos!$A$2:$A$10004,1,FALSE)</f>
        <v>#N/A</v>
      </c>
    </row>
    <row r="65" spans="1:13" hidden="1" x14ac:dyDescent="0.55000000000000004">
      <c r="A65" t="s">
        <v>1336</v>
      </c>
      <c r="B65" t="s">
        <v>1662</v>
      </c>
      <c r="C65" t="s">
        <v>2153</v>
      </c>
      <c r="D65" t="s">
        <v>1657</v>
      </c>
      <c r="E65" t="s">
        <v>2609</v>
      </c>
      <c r="F65" t="str">
        <f t="shared" si="0"/>
        <v>"C:\Program Files\VideoLAN\VLC\vlc.exe" "http://icecast.thisisdax.com/RealXSManchester"</v>
      </c>
      <c r="M65" t="e">
        <f>VLOOKUP(A65,logos!$A$2:$A$10004,1,FALSE)</f>
        <v>#N/A</v>
      </c>
    </row>
    <row r="66" spans="1:13" hidden="1" x14ac:dyDescent="0.55000000000000004">
      <c r="A66" t="s">
        <v>1661</v>
      </c>
      <c r="B66" t="s">
        <v>1662</v>
      </c>
      <c r="C66" t="s">
        <v>1699</v>
      </c>
      <c r="D66" t="s">
        <v>1657</v>
      </c>
      <c r="E66" t="s">
        <v>2609</v>
      </c>
      <c r="F66" t="str">
        <f t="shared" si="0"/>
        <v>"C:\Program Files\VideoLAN\VLC\vlc.exe" "http://n02a-eu.rcs.revma.com:80/0kv9v43t87zuv"</v>
      </c>
      <c r="M66" t="e">
        <f>VLOOKUP(A66,logos!$A$2:$A$10004,1,FALSE)</f>
        <v>#N/A</v>
      </c>
    </row>
    <row r="67" spans="1:13" hidden="1" x14ac:dyDescent="0.55000000000000004">
      <c r="A67" t="s">
        <v>30</v>
      </c>
      <c r="B67" t="s">
        <v>1662</v>
      </c>
      <c r="C67" t="s">
        <v>1700</v>
      </c>
      <c r="D67" t="s">
        <v>1657</v>
      </c>
      <c r="E67" t="s">
        <v>2609</v>
      </c>
      <c r="F67" t="str">
        <f t="shared" ref="F67:F130" si="1">"""C:\Program Files\VideoLAN\VLC\vlc.exe"" """&amp;C67&amp;""""</f>
        <v>"C:\Program Files\VideoLAN\VLC\vlc.exe" "http://stream.mybroadbandradio.com/80srhythm?ref=RF"</v>
      </c>
      <c r="M67" t="e">
        <f>VLOOKUP(A67,logos!$A$2:$A$10004,1,FALSE)</f>
        <v>#N/A</v>
      </c>
    </row>
    <row r="68" spans="1:13" hidden="1" x14ac:dyDescent="0.55000000000000004">
      <c r="A68" t="s">
        <v>34</v>
      </c>
      <c r="B68" t="s">
        <v>1662</v>
      </c>
      <c r="C68" t="s">
        <v>1701</v>
      </c>
      <c r="D68" t="s">
        <v>1657</v>
      </c>
      <c r="E68" t="s">
        <v>2609</v>
      </c>
      <c r="F68" t="str">
        <f t="shared" si="1"/>
        <v>"C:\Program Files\VideoLAN\VLC\vlc.exe" "http://edge-bauerabsolute-05-gos2.sharp-stream.com/absoluteclassicrock.aac?aw_0_1st.skey=1666797679&amp;aw_0_1st.playerid=BMUK_RPi"</v>
      </c>
      <c r="M68" t="str">
        <f>VLOOKUP(A68,logos!$A$2:$A$10004,1,FALSE)</f>
        <v>Absolute Classic Rock</v>
      </c>
    </row>
    <row r="69" spans="1:13" hidden="1" x14ac:dyDescent="0.55000000000000004">
      <c r="A69" t="s">
        <v>38</v>
      </c>
      <c r="B69" t="s">
        <v>1662</v>
      </c>
      <c r="C69" t="s">
        <v>1703</v>
      </c>
      <c r="D69" t="s">
        <v>1657</v>
      </c>
      <c r="E69" t="s">
        <v>2609</v>
      </c>
      <c r="F69" t="str">
        <f t="shared" si="1"/>
        <v>"C:\Program Files\VideoLAN\VLC\vlc.exe" "http://edge-bauerabsolute-05-gos2.sharp-stream.com/absoluteradio.aac?aw_0_1st.skey=1666797679&amp;aw_0_1st.playerid=BMUK_RPi"</v>
      </c>
      <c r="M69" t="str">
        <f>VLOOKUP(A69,logos!$A$2:$A$10004,1,FALSE)</f>
        <v>Absolute Radio</v>
      </c>
    </row>
    <row r="70" spans="1:13" hidden="1" x14ac:dyDescent="0.55000000000000004">
      <c r="A70" t="s">
        <v>48</v>
      </c>
      <c r="B70" t="s">
        <v>1662</v>
      </c>
      <c r="C70" t="s">
        <v>1713</v>
      </c>
      <c r="D70" t="s">
        <v>1657</v>
      </c>
      <c r="E70" t="s">
        <v>2609</v>
      </c>
      <c r="F70" t="str">
        <f t="shared" si="1"/>
        <v>"C:\Program Files\VideoLAN\VLC\vlc.exe" "http://edge-bauerabsolute-05-gos2.sharp-stream.com/absolute00s.aac?aw_0_1st.skey=1666797681&amp;aw_0_1st.playerid=BMUK_RPi"</v>
      </c>
      <c r="M70" t="str">
        <f>VLOOKUP(A70,logos!$A$2:$A$10004,1,FALSE)</f>
        <v>Absolute Radio 00s</v>
      </c>
    </row>
    <row r="71" spans="1:13" hidden="1" x14ac:dyDescent="0.55000000000000004">
      <c r="A71" t="s">
        <v>50</v>
      </c>
      <c r="B71" t="s">
        <v>1662</v>
      </c>
      <c r="C71" t="s">
        <v>1715</v>
      </c>
      <c r="D71" t="s">
        <v>1657</v>
      </c>
      <c r="E71" t="s">
        <v>2609</v>
      </c>
      <c r="F71" t="str">
        <f t="shared" si="1"/>
        <v>"C:\Program Files\VideoLAN\VLC\vlc.exe" "http://edge-bauerabsolute-05-gos2.sharp-stream.com/absolute10s.aac?aw_0_1st.skey=1666797681&amp;aw_0_1st.playerid=BMUK_RPi"</v>
      </c>
      <c r="M71" t="str">
        <f>VLOOKUP(A71,logos!$A$2:$A$10004,1,FALSE)</f>
        <v>Absolute Radio 10s</v>
      </c>
    </row>
    <row r="72" spans="1:13" hidden="1" x14ac:dyDescent="0.55000000000000004">
      <c r="A72" t="s">
        <v>1545</v>
      </c>
      <c r="B72" t="s">
        <v>1662</v>
      </c>
      <c r="C72" t="s">
        <v>1717</v>
      </c>
      <c r="D72" t="s">
        <v>1657</v>
      </c>
      <c r="E72" t="s">
        <v>2609</v>
      </c>
      <c r="F72" t="str">
        <f t="shared" si="1"/>
        <v>"C:\Program Files\VideoLAN\VLC\vlc.exe" "http://edge-bauermz-01-gos2.sharp-stream.com/webcast3.aac?aw_0_1st.skey=1666797681"</v>
      </c>
      <c r="M72" t="str">
        <f>VLOOKUP(A72,logos!$A$2:$A$10004,1,FALSE)</f>
        <v>Absolute Radio 20s</v>
      </c>
    </row>
    <row r="73" spans="1:13" hidden="1" x14ac:dyDescent="0.55000000000000004">
      <c r="A73" t="s">
        <v>40</v>
      </c>
      <c r="B73" t="s">
        <v>1662</v>
      </c>
      <c r="C73" t="s">
        <v>1705</v>
      </c>
      <c r="D73" t="s">
        <v>1657</v>
      </c>
      <c r="E73" t="s">
        <v>2609</v>
      </c>
      <c r="F73" t="str">
        <f t="shared" si="1"/>
        <v>"C:\Program Files\VideoLAN\VLC\vlc.exe" "http://edge-bauerabsolute-05-gos2.sharp-stream.com/absolute60s.aac?aw_0_1st.skey=1666797679&amp;aw_0_1st.playerid=BMUK_RPi"</v>
      </c>
      <c r="M73" t="str">
        <f>VLOOKUP(A73,logos!$A$2:$A$10004,1,FALSE)</f>
        <v>Absolute Radio 60s</v>
      </c>
    </row>
    <row r="74" spans="1:13" hidden="1" x14ac:dyDescent="0.55000000000000004">
      <c r="A74" t="s">
        <v>42</v>
      </c>
      <c r="B74" t="s">
        <v>1662</v>
      </c>
      <c r="C74" t="s">
        <v>1707</v>
      </c>
      <c r="D74" t="s">
        <v>1657</v>
      </c>
      <c r="E74" t="s">
        <v>2609</v>
      </c>
      <c r="F74" t="str">
        <f t="shared" si="1"/>
        <v>"C:\Program Files\VideoLAN\VLC\vlc.exe" "http://edge-bauerabsolute-05-gos2.sharp-stream.com/absolute70s.aac?aw_0_1st.skey=1666797680&amp;aw_0_1st.playerid=BMUK_RPi"</v>
      </c>
      <c r="M74" t="str">
        <f>VLOOKUP(A74,logos!$A$2:$A$10004,1,FALSE)</f>
        <v>Absolute Radio 70s</v>
      </c>
    </row>
    <row r="75" spans="1:13" hidden="1" x14ac:dyDescent="0.55000000000000004">
      <c r="A75" t="s">
        <v>4811</v>
      </c>
      <c r="B75" t="s">
        <v>1662</v>
      </c>
      <c r="C75" t="s">
        <v>1709</v>
      </c>
      <c r="D75" t="s">
        <v>1657</v>
      </c>
      <c r="E75" t="s">
        <v>2609</v>
      </c>
      <c r="F75" t="str">
        <f t="shared" si="1"/>
        <v>"C:\Program Files\VideoLAN\VLC\vlc.exe" "http://edge-bauerabsolute-05-gos2.sharp-stream.com/absolute80s.aac?aw_0_1st.skey=1666797680&amp;aw_0_1st.playerid=BMUK_RPi"</v>
      </c>
      <c r="M75" t="str">
        <f>VLOOKUP(A75,logos!$A$2:$A$10004,1,FALSE)</f>
        <v>Absolute Radio 80s</v>
      </c>
    </row>
    <row r="76" spans="1:13" hidden="1" x14ac:dyDescent="0.55000000000000004">
      <c r="A76" t="s">
        <v>46</v>
      </c>
      <c r="B76" t="s">
        <v>1662</v>
      </c>
      <c r="C76" t="s">
        <v>1711</v>
      </c>
      <c r="D76" t="s">
        <v>1657</v>
      </c>
      <c r="E76" t="s">
        <v>2609</v>
      </c>
      <c r="F76" t="str">
        <f t="shared" si="1"/>
        <v>"C:\Program Files\VideoLAN\VLC\vlc.exe" "http://edge-bauerabsolute-05-gos2.sharp-stream.com/absolute90s.aac?aw_0_1st.skey=1666797680&amp;aw_0_1st.playerid=BMUK_RPi"</v>
      </c>
      <c r="M76" t="str">
        <f>VLOOKUP(A76,logos!$A$2:$A$10004,1,FALSE)</f>
        <v>Absolute Radio 90s</v>
      </c>
    </row>
    <row r="77" spans="1:13" hidden="1" x14ac:dyDescent="0.55000000000000004">
      <c r="A77" t="s">
        <v>52</v>
      </c>
      <c r="B77" t="s">
        <v>1662</v>
      </c>
      <c r="C77" t="s">
        <v>1719</v>
      </c>
      <c r="D77" t="s">
        <v>1657</v>
      </c>
      <c r="E77" t="s">
        <v>2609</v>
      </c>
      <c r="F77" t="str">
        <f t="shared" si="1"/>
        <v>"C:\Program Files\VideoLAN\VLC\vlc.exe" "http://edge-bauerabsolute-05-gos2.sharp-stream.com/absolutecountry.aac?aw_0_1st.skey=1666797682"</v>
      </c>
      <c r="M77" t="str">
        <f>VLOOKUP(A77,logos!$A$2:$A$10004,1,FALSE)</f>
        <v>Absolute Radio Country</v>
      </c>
    </row>
    <row r="78" spans="1:13" hidden="1" x14ac:dyDescent="0.55000000000000004">
      <c r="A78" t="s">
        <v>66</v>
      </c>
      <c r="B78" t="s">
        <v>1662</v>
      </c>
      <c r="C78" t="s">
        <v>1721</v>
      </c>
      <c r="D78" t="s">
        <v>1657</v>
      </c>
      <c r="E78" t="s">
        <v>2609</v>
      </c>
      <c r="F78" t="str">
        <f t="shared" si="1"/>
        <v>"C:\Program Files\VideoLAN\VLC\vlc.exe" "http://centauri.shoutca.st:8284/aac"</v>
      </c>
      <c r="M78" t="e">
        <f>VLOOKUP(A78,logos!$A$2:$A$10004,1,FALSE)</f>
        <v>#N/A</v>
      </c>
    </row>
    <row r="79" spans="1:13" hidden="1" x14ac:dyDescent="0.55000000000000004">
      <c r="A79" t="s">
        <v>73</v>
      </c>
      <c r="B79" t="s">
        <v>1662</v>
      </c>
      <c r="C79" t="s">
        <v>1724</v>
      </c>
      <c r="D79" t="s">
        <v>1657</v>
      </c>
      <c r="E79" t="s">
        <v>2609</v>
      </c>
      <c r="F79" t="str">
        <f t="shared" si="1"/>
        <v>"C:\Program Files\VideoLAN\VLC\vlc.exe" "http://listen-awaite.sharp-stream.com/aspenwaiteprem.aac?ref=RF"</v>
      </c>
      <c r="M79" t="str">
        <f>VLOOKUP(A79,logos!$A$2:$A$10004,1,FALSE)</f>
        <v>Aspen Waite Radio</v>
      </c>
    </row>
    <row r="80" spans="1:13" hidden="1" x14ac:dyDescent="0.55000000000000004">
      <c r="A80" t="s">
        <v>79</v>
      </c>
      <c r="B80" t="s">
        <v>1662</v>
      </c>
      <c r="C80" t="s">
        <v>1725</v>
      </c>
      <c r="D80" t="s">
        <v>1657</v>
      </c>
      <c r="E80" t="s">
        <v>2609</v>
      </c>
      <c r="F80" t="str">
        <f t="shared" si="1"/>
        <v>"C:\Program Files\VideoLAN\VLC\vlc.exe" "http://listen-atmosphere.sharp-stream.com/mangovibe.aac?ref=RF"</v>
      </c>
      <c r="M80" t="e">
        <f>VLOOKUP(A80,logos!$A$2:$A$10004,1,FALSE)</f>
        <v>#N/A</v>
      </c>
    </row>
    <row r="81" spans="1:13" hidden="1" x14ac:dyDescent="0.55000000000000004">
      <c r="A81" t="s">
        <v>86</v>
      </c>
      <c r="B81" t="s">
        <v>1662</v>
      </c>
      <c r="C81" t="s">
        <v>1728</v>
      </c>
      <c r="D81" t="s">
        <v>1657</v>
      </c>
      <c r="E81" t="s">
        <v>2609</v>
      </c>
      <c r="F81" t="str">
        <f t="shared" si="1"/>
        <v>"C:\Program Files\VideoLAN\VLC\vlc.exe" "http://hydra.shoutca.st:8064/stream2"</v>
      </c>
      <c r="M81" t="str">
        <f>VLOOKUP(A81,logos!$A$2:$A$10004,1,FALSE)</f>
        <v>Bay Trust Radio</v>
      </c>
    </row>
    <row r="82" spans="1:13" hidden="1" x14ac:dyDescent="0.55000000000000004">
      <c r="A82" t="s">
        <v>2616</v>
      </c>
      <c r="B82" t="s">
        <v>1662</v>
      </c>
      <c r="C82" t="s">
        <v>1732</v>
      </c>
      <c r="D82" t="s">
        <v>1657</v>
      </c>
      <c r="E82" t="s">
        <v>2609</v>
      </c>
      <c r="F82" t="str">
        <f t="shared" si="1"/>
        <v>"C:\Program Files\VideoLAN\VLC\vlc.exe" "http://edge-audio-02-thn.sharp-stream.com:80/ssvcbfbs11.aac"</v>
      </c>
      <c r="M82" t="e">
        <f>VLOOKUP(A82,logos!$A$2:$A$10004,1,FALSE)</f>
        <v>#N/A</v>
      </c>
    </row>
    <row r="83" spans="1:13" hidden="1" x14ac:dyDescent="0.55000000000000004">
      <c r="A83" t="s">
        <v>243</v>
      </c>
      <c r="B83" t="s">
        <v>1662</v>
      </c>
      <c r="C83" t="s">
        <v>1740</v>
      </c>
      <c r="D83" t="s">
        <v>1657</v>
      </c>
      <c r="E83" t="s">
        <v>2609</v>
      </c>
      <c r="F83" t="str">
        <f t="shared" si="1"/>
        <v>"C:\Program Files\VideoLAN\VLC\vlc.exe" "http://listen-boomradio.sharp-stream.com/65_boom_light_48_aac?ref=RF"</v>
      </c>
      <c r="M83" t="str">
        <f>VLOOKUP(A83,logos!$A$2:$A$10004,1,FALSE)</f>
        <v>Boom Light</v>
      </c>
    </row>
    <row r="84" spans="1:13" hidden="1" x14ac:dyDescent="0.55000000000000004">
      <c r="A84" t="s">
        <v>245</v>
      </c>
      <c r="B84" t="s">
        <v>1662</v>
      </c>
      <c r="C84" t="s">
        <v>1743</v>
      </c>
      <c r="D84" t="s">
        <v>1657</v>
      </c>
      <c r="E84" t="s">
        <v>2609</v>
      </c>
      <c r="F84" t="str">
        <f t="shared" si="1"/>
        <v>"C:\Program Files\VideoLAN\VLC\vlc.exe" "http://listen-boomradio.sharp-stream.com/65_boom_radio_live_48?ref=RF"</v>
      </c>
      <c r="M84" t="str">
        <f>VLOOKUP(A84,logos!$A$2:$A$10004,1,FALSE)</f>
        <v>Boom Radio</v>
      </c>
    </row>
    <row r="85" spans="1:13" hidden="1" x14ac:dyDescent="0.55000000000000004">
      <c r="A85" t="s">
        <v>2618</v>
      </c>
      <c r="B85" t="s">
        <v>1662</v>
      </c>
      <c r="C85" t="s">
        <v>1746</v>
      </c>
      <c r="D85" t="s">
        <v>1657</v>
      </c>
      <c r="E85" t="s">
        <v>2609</v>
      </c>
      <c r="F85" t="str">
        <f t="shared" si="1"/>
        <v>"C:\Program Files\VideoLAN\VLC\vlc.exe" "http://listen-nation.sharp-stream.com/tcbridge.aac?ref=RF"</v>
      </c>
      <c r="M85" t="e">
        <f>VLOOKUP(A85,logos!$A$2:$A$10004,1,FALSE)</f>
        <v>#N/A</v>
      </c>
    </row>
    <row r="86" spans="1:13" hidden="1" x14ac:dyDescent="0.55000000000000004">
      <c r="A86" t="s">
        <v>1673</v>
      </c>
      <c r="B86" t="s">
        <v>1662</v>
      </c>
      <c r="C86" t="s">
        <v>1748</v>
      </c>
      <c r="D86" t="s">
        <v>1657</v>
      </c>
      <c r="E86" t="s">
        <v>2609</v>
      </c>
      <c r="F86" t="str">
        <f t="shared" si="1"/>
        <v>"C:\Program Files\VideoLAN\VLC\vlc.exe" "http://149.255.59.162:8128/stream"</v>
      </c>
      <c r="M86" t="str">
        <f>VLOOKUP(A86,logos!$A$2:$A$10004,1,FALSE)</f>
        <v>CandoFM</v>
      </c>
    </row>
    <row r="87" spans="1:13" hidden="1" x14ac:dyDescent="0.55000000000000004">
      <c r="A87" t="s">
        <v>2619</v>
      </c>
      <c r="B87" t="s">
        <v>1662</v>
      </c>
      <c r="C87" t="s">
        <v>1749</v>
      </c>
      <c r="D87" t="s">
        <v>1657</v>
      </c>
      <c r="E87" t="s">
        <v>2609</v>
      </c>
      <c r="F87" t="str">
        <f t="shared" si="1"/>
        <v>"C:\Program Files\VideoLAN\VLC\vlc.exe" "http://icecast.thisisdax.com/CapitalCymru"</v>
      </c>
      <c r="M87" t="str">
        <f>VLOOKUP(A87,logos!$A$2:$A$10004,1,FALSE)</f>
        <v>Capital (Anglesey &amp; Gwynedd)</v>
      </c>
    </row>
    <row r="88" spans="1:13" hidden="1" x14ac:dyDescent="0.55000000000000004">
      <c r="A88" t="s">
        <v>2620</v>
      </c>
      <c r="B88" t="s">
        <v>1662</v>
      </c>
      <c r="C88" t="s">
        <v>1750</v>
      </c>
      <c r="D88" t="s">
        <v>1657</v>
      </c>
      <c r="E88" t="s">
        <v>2609</v>
      </c>
      <c r="F88" t="str">
        <f t="shared" si="1"/>
        <v>"C:\Program Files\VideoLAN\VLC\vlc.exe" "http://icecast.thisisdax.com/CapitalLiverpool"</v>
      </c>
      <c r="M88" t="str">
        <f>VLOOKUP(A88,logos!$A$2:$A$10004,1,FALSE)</f>
        <v>Capital (Liverpool)</v>
      </c>
    </row>
    <row r="89" spans="1:13" hidden="1" x14ac:dyDescent="0.55000000000000004">
      <c r="A89" t="s">
        <v>2621</v>
      </c>
      <c r="B89" t="s">
        <v>1662</v>
      </c>
      <c r="C89" t="s">
        <v>1751</v>
      </c>
      <c r="D89" t="s">
        <v>1657</v>
      </c>
      <c r="E89" t="s">
        <v>2609</v>
      </c>
      <c r="F89" t="str">
        <f t="shared" si="1"/>
        <v>"C:\Program Files\VideoLAN\VLC\vlc.exe" "http://icecast.thisisdax.com/Capital"</v>
      </c>
      <c r="M89" t="str">
        <f>VLOOKUP(A89,logos!$A$2:$A$10004,1,FALSE)</f>
        <v>Capital (London)</v>
      </c>
    </row>
    <row r="90" spans="1:13" hidden="1" x14ac:dyDescent="0.55000000000000004">
      <c r="A90" t="s">
        <v>2622</v>
      </c>
      <c r="B90" t="s">
        <v>1662</v>
      </c>
      <c r="C90" t="s">
        <v>1752</v>
      </c>
      <c r="D90" t="s">
        <v>1657</v>
      </c>
      <c r="E90" t="s">
        <v>2609</v>
      </c>
      <c r="F90" t="str">
        <f t="shared" si="1"/>
        <v>"C:\Program Files\VideoLAN\VLC\vlc.exe" "http://icecast.thisisdax.com/CapitalBirmingham"</v>
      </c>
      <c r="M90" t="str">
        <f>VLOOKUP(A90,logos!$A$2:$A$10004,1,FALSE)</f>
        <v>Capital (Midlands) (Birmingham)</v>
      </c>
    </row>
    <row r="91" spans="1:13" hidden="1" x14ac:dyDescent="0.55000000000000004">
      <c r="A91" t="s">
        <v>2623</v>
      </c>
      <c r="B91" t="s">
        <v>1662</v>
      </c>
      <c r="C91" t="s">
        <v>1753</v>
      </c>
      <c r="D91" t="s">
        <v>1657</v>
      </c>
      <c r="E91" t="s">
        <v>2609</v>
      </c>
      <c r="F91" t="str">
        <f t="shared" si="1"/>
        <v>"C:\Program Files\VideoLAN\VLC\vlc.exe" "http://icecast.thisisdax.com/CapitalCoventry"</v>
      </c>
      <c r="M91" t="str">
        <f>VLOOKUP(A91,logos!$A$2:$A$10004,1,FALSE)</f>
        <v>Capital (Midlands) (Coventry)</v>
      </c>
    </row>
    <row r="92" spans="1:13" hidden="1" x14ac:dyDescent="0.55000000000000004">
      <c r="A92" t="s">
        <v>2624</v>
      </c>
      <c r="B92" t="s">
        <v>1662</v>
      </c>
      <c r="C92" t="s">
        <v>1754</v>
      </c>
      <c r="D92" t="s">
        <v>1657</v>
      </c>
      <c r="E92" t="s">
        <v>2609</v>
      </c>
      <c r="F92" t="str">
        <f t="shared" si="1"/>
        <v>"C:\Program Files\VideoLAN\VLC\vlc.exe" "http://icecast.thisisdax.com/CapitalDerbyshire"</v>
      </c>
      <c r="M92" t="str">
        <f>VLOOKUP(A92,logos!$A$2:$A$10004,1,FALSE)</f>
        <v>Capital (Midlands) (Derbyshire)</v>
      </c>
    </row>
    <row r="93" spans="1:13" hidden="1" x14ac:dyDescent="0.55000000000000004">
      <c r="A93" t="s">
        <v>2625</v>
      </c>
      <c r="B93" t="s">
        <v>1662</v>
      </c>
      <c r="C93" t="s">
        <v>1755</v>
      </c>
      <c r="D93" t="s">
        <v>1657</v>
      </c>
      <c r="E93" t="s">
        <v>2609</v>
      </c>
      <c r="F93" t="str">
        <f t="shared" si="1"/>
        <v>"C:\Program Files\VideoLAN\VLC\vlc.exe" "http://icecast.thisisdax.com/CapitalLeicestershire"</v>
      </c>
      <c r="M93" t="str">
        <f>VLOOKUP(A93,logos!$A$2:$A$10004,1,FALSE)</f>
        <v>Capital (Midlands) (Leicestershire)</v>
      </c>
    </row>
    <row r="94" spans="1:13" hidden="1" x14ac:dyDescent="0.55000000000000004">
      <c r="A94" t="s">
        <v>2626</v>
      </c>
      <c r="B94" t="s">
        <v>1662</v>
      </c>
      <c r="C94" t="s">
        <v>1756</v>
      </c>
      <c r="D94" t="s">
        <v>1657</v>
      </c>
      <c r="E94" t="s">
        <v>2609</v>
      </c>
      <c r="F94" t="str">
        <f t="shared" si="1"/>
        <v>"C:\Program Files\VideoLAN\VLC\vlc.exe" "http://icecast.thisisdax.com/CapitalNorthOxfordshire"</v>
      </c>
      <c r="M94" t="str">
        <f>VLOOKUP(A94,logos!$A$2:$A$10004,1,FALSE)</f>
        <v>Capital (Midlands) (North Oxfordshire)</v>
      </c>
    </row>
    <row r="95" spans="1:13" hidden="1" x14ac:dyDescent="0.55000000000000004">
      <c r="A95" t="s">
        <v>2627</v>
      </c>
      <c r="B95" t="s">
        <v>1662</v>
      </c>
      <c r="C95" t="s">
        <v>1757</v>
      </c>
      <c r="D95" t="s">
        <v>1657</v>
      </c>
      <c r="E95" t="s">
        <v>2609</v>
      </c>
      <c r="F95" t="str">
        <f t="shared" si="1"/>
        <v>"C:\Program Files\VideoLAN\VLC\vlc.exe" "http://icecast.thisisdax.com/CapitalNottinghamshire"</v>
      </c>
      <c r="M95" t="str">
        <f>VLOOKUP(A95,logos!$A$2:$A$10004,1,FALSE)</f>
        <v>Capital (Midlands) (Nottinghamshire)</v>
      </c>
    </row>
    <row r="96" spans="1:13" hidden="1" x14ac:dyDescent="0.55000000000000004">
      <c r="A96" t="s">
        <v>2628</v>
      </c>
      <c r="B96" t="s">
        <v>1662</v>
      </c>
      <c r="C96" t="s">
        <v>1758</v>
      </c>
      <c r="D96" t="s">
        <v>1657</v>
      </c>
      <c r="E96" t="s">
        <v>2609</v>
      </c>
      <c r="F96" t="str">
        <f t="shared" si="1"/>
        <v>"C:\Program Files\VideoLAN\VLC\vlc.exe" "http://icecast.thisisdax.com/CapitalRugby"</v>
      </c>
      <c r="M96" t="str">
        <f>VLOOKUP(A96,logos!$A$2:$A$10004,1,FALSE)</f>
        <v>Capital (Midlands) (Rugby)</v>
      </c>
    </row>
    <row r="97" spans="1:13" hidden="1" x14ac:dyDescent="0.55000000000000004">
      <c r="A97" t="s">
        <v>2629</v>
      </c>
      <c r="B97" t="s">
        <v>1662</v>
      </c>
      <c r="C97" t="s">
        <v>1759</v>
      </c>
      <c r="D97" t="s">
        <v>1657</v>
      </c>
      <c r="E97" t="s">
        <v>2609</v>
      </c>
      <c r="F97" t="str">
        <f t="shared" si="1"/>
        <v>"C:\Program Files\VideoLAN\VLC\vlc.exe" "http://icecast.thisisdax.com/CapitalSouthEastStaffordshire"</v>
      </c>
      <c r="M97" t="str">
        <f>VLOOKUP(A97,logos!$A$2:$A$10004,1,FALSE)</f>
        <v>Capital (Midlands) (South East Staffordshire)</v>
      </c>
    </row>
    <row r="98" spans="1:13" hidden="1" x14ac:dyDescent="0.55000000000000004">
      <c r="A98" t="s">
        <v>2630</v>
      </c>
      <c r="B98" t="s">
        <v>1662</v>
      </c>
      <c r="C98" t="s">
        <v>1760</v>
      </c>
      <c r="D98" t="s">
        <v>1657</v>
      </c>
      <c r="E98" t="s">
        <v>2609</v>
      </c>
      <c r="F98" t="str">
        <f t="shared" si="1"/>
        <v>"C:\Program Files\VideoLAN\VLC\vlc.exe" "http://icecast.thisisdax.com/CapitalStratford"</v>
      </c>
      <c r="M98" t="str">
        <f>VLOOKUP(A98,logos!$A$2:$A$10004,1,FALSE)</f>
        <v>Capital (Midlands) (Stratford-upon-Avon)</v>
      </c>
    </row>
    <row r="99" spans="1:13" hidden="1" x14ac:dyDescent="0.55000000000000004">
      <c r="A99" t="s">
        <v>2631</v>
      </c>
      <c r="B99" t="s">
        <v>1662</v>
      </c>
      <c r="C99" t="s">
        <v>1761</v>
      </c>
      <c r="D99" t="s">
        <v>1657</v>
      </c>
      <c r="E99" t="s">
        <v>2609</v>
      </c>
      <c r="F99" t="str">
        <f t="shared" si="1"/>
        <v>"C:\Program Files\VideoLAN\VLC\vlc.exe" "http://icecast.thisisdax.com/CapitalWarwick"</v>
      </c>
      <c r="M99" t="str">
        <f>VLOOKUP(A99,logos!$A$2:$A$10004,1,FALSE)</f>
        <v>Capital (Midlands) (Warwick)</v>
      </c>
    </row>
    <row r="100" spans="1:13" hidden="1" x14ac:dyDescent="0.55000000000000004">
      <c r="A100" t="s">
        <v>2632</v>
      </c>
      <c r="B100" t="s">
        <v>1662</v>
      </c>
      <c r="C100" t="s">
        <v>1762</v>
      </c>
      <c r="D100" t="s">
        <v>1657</v>
      </c>
      <c r="E100" t="s">
        <v>2609</v>
      </c>
      <c r="F100" t="str">
        <f t="shared" si="1"/>
        <v>"C:\Program Files\VideoLAN\VLC\vlc.exe" "http://icecast.thisisdax.com/CapitalTeesside"</v>
      </c>
      <c r="M100" t="str">
        <f>VLOOKUP(A100,logos!$A$2:$A$10004,1,FALSE)</f>
        <v>Capital (North East England) (Teesside)</v>
      </c>
    </row>
    <row r="101" spans="1:13" hidden="1" x14ac:dyDescent="0.55000000000000004">
      <c r="A101" t="s">
        <v>2633</v>
      </c>
      <c r="B101" t="s">
        <v>1662</v>
      </c>
      <c r="C101" t="s">
        <v>1763</v>
      </c>
      <c r="D101" t="s">
        <v>1657</v>
      </c>
      <c r="E101" t="s">
        <v>2609</v>
      </c>
      <c r="F101" t="str">
        <f t="shared" si="1"/>
        <v>"C:\Program Files\VideoLAN\VLC\vlc.exe" "http://icecast.thisisdax.com/CapitalTyneWear"</v>
      </c>
      <c r="M101" t="str">
        <f>VLOOKUP(A101,logos!$A$2:$A$10004,1,FALSE)</f>
        <v>Capital (North East England) (Tyne &amp; Wear)</v>
      </c>
    </row>
    <row r="102" spans="1:13" hidden="1" x14ac:dyDescent="0.55000000000000004">
      <c r="A102" t="s">
        <v>2634</v>
      </c>
      <c r="B102" t="s">
        <v>1662</v>
      </c>
      <c r="C102" t="s">
        <v>1764</v>
      </c>
      <c r="D102" t="s">
        <v>1657</v>
      </c>
      <c r="E102" t="s">
        <v>2609</v>
      </c>
      <c r="F102" t="str">
        <f t="shared" si="1"/>
        <v>"C:\Program Files\VideoLAN\VLC\vlc.exe" "http://icecast.thisisdax.com/CapitalWalesCoast"</v>
      </c>
      <c r="M102" t="str">
        <f>VLOOKUP(A102,logos!$A$2:$A$10004,1,FALSE)</f>
        <v>Capital (North West &amp; North Wales) (North Wales Coast)</v>
      </c>
    </row>
    <row r="103" spans="1:13" hidden="1" x14ac:dyDescent="0.55000000000000004">
      <c r="A103" t="s">
        <v>2635</v>
      </c>
      <c r="B103" t="s">
        <v>1662</v>
      </c>
      <c r="C103" t="s">
        <v>1765</v>
      </c>
      <c r="D103" t="s">
        <v>1657</v>
      </c>
      <c r="E103" t="s">
        <v>2609</v>
      </c>
      <c r="F103" t="str">
        <f t="shared" si="1"/>
        <v>"C:\Program Files\VideoLAN\VLC\vlc.exe" "http://icecast.thisisdax.com/CapitalWirral"</v>
      </c>
      <c r="M103" t="str">
        <f>VLOOKUP(A103,logos!$A$2:$A$10004,1,FALSE)</f>
        <v>Capital (North West &amp; North Wales) (The Wirral)</v>
      </c>
    </row>
    <row r="104" spans="1:13" hidden="1" x14ac:dyDescent="0.55000000000000004">
      <c r="A104" t="s">
        <v>2636</v>
      </c>
      <c r="B104" t="s">
        <v>1662</v>
      </c>
      <c r="C104" t="s">
        <v>1766</v>
      </c>
      <c r="D104" t="s">
        <v>1657</v>
      </c>
      <c r="E104" t="s">
        <v>2609</v>
      </c>
      <c r="F104" t="str">
        <f t="shared" si="1"/>
        <v>"C:\Program Files\VideoLAN\VLC\vlc.exe" "http://icecast.thisisdax.com/CapitalWrexham"</v>
      </c>
      <c r="M104" t="str">
        <f>VLOOKUP(A104,logos!$A$2:$A$10004,1,FALSE)</f>
        <v>Capital (North West &amp; North Wales) (Wrexham &amp; Cheshire)</v>
      </c>
    </row>
    <row r="105" spans="1:13" hidden="1" x14ac:dyDescent="0.55000000000000004">
      <c r="A105" t="s">
        <v>2637</v>
      </c>
      <c r="B105" t="s">
        <v>1662</v>
      </c>
      <c r="C105" t="s">
        <v>1767</v>
      </c>
      <c r="D105" t="s">
        <v>1657</v>
      </c>
      <c r="E105" t="s">
        <v>2609</v>
      </c>
      <c r="F105" t="str">
        <f t="shared" si="1"/>
        <v>"C:\Program Files\VideoLAN\VLC\vlc.exe" "http://icecast.thisisdax.com/CapitalBurnley"</v>
      </c>
      <c r="M105" t="str">
        <f>VLOOKUP(A105,logos!$A$2:$A$10004,1,FALSE)</f>
        <v>Capital (North West England) (Burnley &amp; Pendle)</v>
      </c>
    </row>
    <row r="106" spans="1:13" hidden="1" x14ac:dyDescent="0.55000000000000004">
      <c r="A106" t="s">
        <v>2638</v>
      </c>
      <c r="B106" t="s">
        <v>1662</v>
      </c>
      <c r="C106" t="s">
        <v>1768</v>
      </c>
      <c r="D106" t="s">
        <v>1657</v>
      </c>
      <c r="E106" t="s">
        <v>2609</v>
      </c>
      <c r="F106" t="str">
        <f t="shared" si="1"/>
        <v>"C:\Program Files\VideoLAN\VLC\vlc.exe" "http://icecast.thisisdax.com/CapitalManchester"</v>
      </c>
      <c r="M106" t="str">
        <f>VLOOKUP(A106,logos!$A$2:$A$10004,1,FALSE)</f>
        <v>Capital (North West England) (Manchester)</v>
      </c>
    </row>
    <row r="107" spans="1:13" hidden="1" x14ac:dyDescent="0.55000000000000004">
      <c r="A107" t="s">
        <v>2639</v>
      </c>
      <c r="B107" t="s">
        <v>1662</v>
      </c>
      <c r="C107" t="s">
        <v>1769</v>
      </c>
      <c r="D107" t="s">
        <v>1657</v>
      </c>
      <c r="E107" t="s">
        <v>2609</v>
      </c>
      <c r="F107" t="str">
        <f t="shared" si="1"/>
        <v>"C:\Program Files\VideoLAN\VLC\vlc.exe" "http://icecast.thisisdax.com/CapitalPreston"</v>
      </c>
      <c r="M107" t="str">
        <f>VLOOKUP(A107,logos!$A$2:$A$10004,1,FALSE)</f>
        <v>Capital (North West England) (Preston &amp; Blackburn)</v>
      </c>
    </row>
    <row r="108" spans="1:13" hidden="1" x14ac:dyDescent="0.55000000000000004">
      <c r="A108" t="s">
        <v>2640</v>
      </c>
      <c r="B108" t="s">
        <v>1662</v>
      </c>
      <c r="C108" t="s">
        <v>1770</v>
      </c>
      <c r="D108" t="s">
        <v>1657</v>
      </c>
      <c r="E108" t="s">
        <v>2609</v>
      </c>
      <c r="F108" t="str">
        <f t="shared" si="1"/>
        <v>"C:\Program Files\VideoLAN\VLC\vlc.exe" "http://icecast.thisisdax.com/CapitalEdinburgh"</v>
      </c>
      <c r="M108" t="str">
        <f>VLOOKUP(A108,logos!$A$2:$A$10004,1,FALSE)</f>
        <v>Capital (Scotland) (East)</v>
      </c>
    </row>
    <row r="109" spans="1:13" hidden="1" x14ac:dyDescent="0.55000000000000004">
      <c r="A109" t="s">
        <v>2641</v>
      </c>
      <c r="B109" t="s">
        <v>1662</v>
      </c>
      <c r="C109" t="s">
        <v>1771</v>
      </c>
      <c r="D109" t="s">
        <v>1657</v>
      </c>
      <c r="E109" t="s">
        <v>2609</v>
      </c>
      <c r="F109" t="str">
        <f t="shared" si="1"/>
        <v>"C:\Program Files\VideoLAN\VLC\vlc.exe" "http://icecast.thisisdax.com/CapitalGlasgow"</v>
      </c>
      <c r="M109" t="str">
        <f>VLOOKUP(A109,logos!$A$2:$A$10004,1,FALSE)</f>
        <v>Capital (Scotland) (West)</v>
      </c>
    </row>
    <row r="110" spans="1:13" hidden="1" x14ac:dyDescent="0.55000000000000004">
      <c r="A110" t="s">
        <v>2644</v>
      </c>
      <c r="B110" t="s">
        <v>1662</v>
      </c>
      <c r="C110" t="s">
        <v>1774</v>
      </c>
      <c r="D110" t="s">
        <v>1657</v>
      </c>
      <c r="E110" t="s">
        <v>2609</v>
      </c>
      <c r="F110" t="str">
        <f t="shared" si="1"/>
        <v>"C:\Program Files\VideoLAN\VLC\vlc.exe" "http://icecast.thisisdax.com/CapitalSouthWales"</v>
      </c>
      <c r="M110" t="str">
        <f>VLOOKUP(A110,logos!$A$2:$A$10004,1,FALSE)</f>
        <v>Capital (South Wales)</v>
      </c>
    </row>
    <row r="111" spans="1:13" hidden="1" x14ac:dyDescent="0.55000000000000004">
      <c r="A111" t="s">
        <v>2642</v>
      </c>
      <c r="B111" t="s">
        <v>1662</v>
      </c>
      <c r="C111" t="s">
        <v>1772</v>
      </c>
      <c r="D111" t="s">
        <v>1657</v>
      </c>
      <c r="E111" t="s">
        <v>2609</v>
      </c>
      <c r="F111" t="str">
        <f t="shared" si="1"/>
        <v>"C:\Program Files\VideoLAN\VLC\vlc.exe" "http://icecast.thisisdax.com/CapitalBrighton"</v>
      </c>
      <c r="M111" t="str">
        <f>VLOOKUP(A111,logos!$A$2:$A$10004,1,FALSE)</f>
        <v>Capital (South) (Brighton)</v>
      </c>
    </row>
    <row r="112" spans="1:13" hidden="1" x14ac:dyDescent="0.55000000000000004">
      <c r="A112" t="s">
        <v>2643</v>
      </c>
      <c r="B112" t="s">
        <v>1662</v>
      </c>
      <c r="C112" t="s">
        <v>1773</v>
      </c>
      <c r="D112" t="s">
        <v>1657</v>
      </c>
      <c r="E112" t="s">
        <v>2609</v>
      </c>
      <c r="F112" t="str">
        <f t="shared" si="1"/>
        <v>"C:\Program Files\VideoLAN\VLC\vlc.exe" "http://icecast.thisisdax.com/CapitalSouthCoast"</v>
      </c>
      <c r="M112" t="str">
        <f>VLOOKUP(A112,logos!$A$2:$A$10004,1,FALSE)</f>
        <v>Capital (South) (South Coast)</v>
      </c>
    </row>
    <row r="113" spans="1:13" hidden="1" x14ac:dyDescent="0.55000000000000004">
      <c r="A113" t="s">
        <v>2645</v>
      </c>
      <c r="B113" t="s">
        <v>1662</v>
      </c>
      <c r="C113" t="s">
        <v>1775</v>
      </c>
      <c r="D113" t="s">
        <v>1657</v>
      </c>
      <c r="E113" t="s">
        <v>2609</v>
      </c>
      <c r="F113" t="str">
        <f t="shared" si="1"/>
        <v>"C:\Program Files\VideoLAN\VLC\vlc.exe" "http://icecast.thisisdax.com/CapitalUK"</v>
      </c>
      <c r="M113" t="str">
        <f>VLOOKUP(A113,logos!$A$2:$A$10004,1,FALSE)</f>
        <v>Capital (UK)</v>
      </c>
    </row>
    <row r="114" spans="1:13" hidden="1" x14ac:dyDescent="0.55000000000000004">
      <c r="A114" t="s">
        <v>2646</v>
      </c>
      <c r="B114" t="s">
        <v>1662</v>
      </c>
      <c r="C114" t="s">
        <v>1776</v>
      </c>
      <c r="D114" t="s">
        <v>1657</v>
      </c>
      <c r="E114" t="s">
        <v>2609</v>
      </c>
      <c r="F114" t="str">
        <f t="shared" si="1"/>
        <v>"C:\Program Files\VideoLAN\VLC\vlc.exe" "http://icecast.thisisdax.com/CapitalYorkshireEast"</v>
      </c>
      <c r="M114" t="str">
        <f>VLOOKUP(A114,logos!$A$2:$A$10004,1,FALSE)</f>
        <v>Capital (Yorkshire) (East)</v>
      </c>
    </row>
    <row r="115" spans="1:13" hidden="1" x14ac:dyDescent="0.55000000000000004">
      <c r="A115" t="s">
        <v>2647</v>
      </c>
      <c r="B115" t="s">
        <v>1662</v>
      </c>
      <c r="C115" t="s">
        <v>1777</v>
      </c>
      <c r="D115" t="s">
        <v>1657</v>
      </c>
      <c r="E115" t="s">
        <v>2609</v>
      </c>
      <c r="F115" t="str">
        <f t="shared" si="1"/>
        <v>"C:\Program Files\VideoLAN\VLC\vlc.exe" "http://icecast.thisisdax.com/CapitalYorkshireSouthWest"</v>
      </c>
      <c r="M115" t="str">
        <f>VLOOKUP(A115,logos!$A$2:$A$10004,1,FALSE)</f>
        <v>Capital (Yorkshire) (South &amp; West)</v>
      </c>
    </row>
    <row r="116" spans="1:13" hidden="1" x14ac:dyDescent="0.55000000000000004">
      <c r="A116" t="s">
        <v>314</v>
      </c>
      <c r="B116" t="s">
        <v>1662</v>
      </c>
      <c r="C116" t="s">
        <v>1778</v>
      </c>
      <c r="D116" t="s">
        <v>1657</v>
      </c>
      <c r="E116" t="s">
        <v>2609</v>
      </c>
      <c r="F116" t="str">
        <f t="shared" si="1"/>
        <v>"C:\Program Files\VideoLAN\VLC\vlc.exe" "http://icecast.thisisdax.com/CapitalDance"</v>
      </c>
      <c r="M116" t="str">
        <f>VLOOKUP(A116,logos!$A$2:$A$10004,1,FALSE)</f>
        <v>Capital Dance</v>
      </c>
    </row>
    <row r="117" spans="1:13" hidden="1" x14ac:dyDescent="0.55000000000000004">
      <c r="A117" t="s">
        <v>2648</v>
      </c>
      <c r="B117" t="s">
        <v>1662</v>
      </c>
      <c r="C117" t="s">
        <v>1779</v>
      </c>
      <c r="D117" t="s">
        <v>1657</v>
      </c>
      <c r="E117" t="s">
        <v>2609</v>
      </c>
      <c r="F117" t="str">
        <f t="shared" si="1"/>
        <v>"C:\Program Files\VideoLAN\VLC\vlc.exe" "http://icecast.thisisdax.com/CapitalXTRALondon"</v>
      </c>
      <c r="M117" t="str">
        <f>VLOOKUP(A117,logos!$A$2:$A$10004,1,FALSE)</f>
        <v>Capital XTRA (London)</v>
      </c>
    </row>
    <row r="118" spans="1:13" hidden="1" x14ac:dyDescent="0.55000000000000004">
      <c r="A118" t="s">
        <v>2649</v>
      </c>
      <c r="B118" t="s">
        <v>1662</v>
      </c>
      <c r="C118" t="s">
        <v>1780</v>
      </c>
      <c r="D118" t="s">
        <v>1657</v>
      </c>
      <c r="E118" t="s">
        <v>2609</v>
      </c>
      <c r="F118" t="str">
        <f t="shared" si="1"/>
        <v>"C:\Program Files\VideoLAN\VLC\vlc.exe" "http://icecast.thisisdax.com/CapitalXTRANational"</v>
      </c>
      <c r="M118" t="str">
        <f>VLOOKUP(A118,logos!$A$2:$A$10004,1,FALSE)</f>
        <v>Capital XTRA (UK)</v>
      </c>
    </row>
    <row r="119" spans="1:13" hidden="1" x14ac:dyDescent="0.55000000000000004">
      <c r="A119" t="s">
        <v>320</v>
      </c>
      <c r="B119" t="s">
        <v>1662</v>
      </c>
      <c r="C119" t="s">
        <v>1781</v>
      </c>
      <c r="D119" t="s">
        <v>1657</v>
      </c>
      <c r="E119" t="s">
        <v>2609</v>
      </c>
      <c r="F119" t="str">
        <f t="shared" si="1"/>
        <v>"C:\Program Files\VideoLAN\VLC\vlc.exe" "http://icecast.thisisdax.com/CapitalXTRAReloaded"</v>
      </c>
      <c r="M119" t="str">
        <f>VLOOKUP(A119,logos!$A$2:$A$10004,1,FALSE)</f>
        <v>Capital XTRA Reloaded</v>
      </c>
    </row>
    <row r="120" spans="1:13" hidden="1" x14ac:dyDescent="0.55000000000000004">
      <c r="A120" t="s">
        <v>322</v>
      </c>
      <c r="B120" t="s">
        <v>1662</v>
      </c>
      <c r="C120" t="s">
        <v>1782</v>
      </c>
      <c r="D120" t="s">
        <v>1657</v>
      </c>
      <c r="E120" t="s">
        <v>2609</v>
      </c>
      <c r="F120" t="str">
        <f t="shared" si="1"/>
        <v>"C:\Program Files\VideoLAN\VLC\vlc.exe" "http://listen-careradio.sharp-stream.com/120_care_radio_48_aac?ref=RF"</v>
      </c>
      <c r="M120" t="e">
        <f>VLOOKUP(A120,logos!$A$2:$A$10004,1,FALSE)</f>
        <v>#N/A</v>
      </c>
    </row>
    <row r="121" spans="1:13" hidden="1" x14ac:dyDescent="0.55000000000000004">
      <c r="A121" t="s">
        <v>2650</v>
      </c>
      <c r="B121" t="s">
        <v>1662</v>
      </c>
      <c r="C121" t="s">
        <v>1784</v>
      </c>
      <c r="D121" t="s">
        <v>1657</v>
      </c>
      <c r="E121" t="s">
        <v>2609</v>
      </c>
      <c r="F121" t="str">
        <f t="shared" si="1"/>
        <v>"C:\Program Files\VideoLAN\VLC\vlc.exe" "http://stream.central.radio:8000/low"</v>
      </c>
      <c r="M121" t="e">
        <f>VLOOKUP(A121,logos!$A$2:$A$10004,1,FALSE)</f>
        <v>#N/A</v>
      </c>
    </row>
    <row r="122" spans="1:13" hidden="1" x14ac:dyDescent="0.55000000000000004">
      <c r="A122" t="s">
        <v>2651</v>
      </c>
      <c r="B122" t="s">
        <v>1662</v>
      </c>
      <c r="C122" t="s">
        <v>1786</v>
      </c>
      <c r="D122" t="s">
        <v>1657</v>
      </c>
      <c r="E122" t="s">
        <v>2609</v>
      </c>
      <c r="F122" t="str">
        <f t="shared" si="1"/>
        <v>"C:\Program Files\VideoLAN\VLC\vlc.exe" "http://edge-bauerall-01-gos2.sharp-stream.com/cfm.aac?aw_0_1st.skey=1666797689"</v>
      </c>
      <c r="M122" t="str">
        <f>VLOOKUP(A122,logos!$A$2:$A$10004,1,FALSE)</f>
        <v>CFM (East)</v>
      </c>
    </row>
    <row r="123" spans="1:13" hidden="1" x14ac:dyDescent="0.55000000000000004">
      <c r="A123" t="s">
        <v>339</v>
      </c>
      <c r="B123" t="s">
        <v>1662</v>
      </c>
      <c r="C123" t="s">
        <v>1788</v>
      </c>
      <c r="D123" t="s">
        <v>1657</v>
      </c>
      <c r="E123" t="s">
        <v>2609</v>
      </c>
      <c r="F123" t="str">
        <f t="shared" si="1"/>
        <v>"C:\Program Files\VideoLAN\VLC\vlc.exe" "http://listen-cheesyfm.sharp-stream.com/cheesyfm.aac?ref=RF"</v>
      </c>
      <c r="M123" t="e">
        <f>VLOOKUP(A123,logos!$A$2:$A$10004,1,FALSE)</f>
        <v>#N/A</v>
      </c>
    </row>
    <row r="124" spans="1:13" hidden="1" x14ac:dyDescent="0.55000000000000004">
      <c r="A124" t="s">
        <v>2652</v>
      </c>
      <c r="B124" t="s">
        <v>1662</v>
      </c>
      <c r="C124" t="s">
        <v>1789</v>
      </c>
      <c r="D124" t="s">
        <v>1657</v>
      </c>
      <c r="E124" t="s">
        <v>2609</v>
      </c>
      <c r="F124" t="str">
        <f t="shared" si="1"/>
        <v>"C:\Program Files\VideoLAN\VLC\vlc.exe" "http://icecast.thisisdax.com/ClassicFM"</v>
      </c>
      <c r="M124" t="str">
        <f>VLOOKUP(A124,logos!$A$2:$A$10004,1,FALSE)</f>
        <v>Classic FM (UK)</v>
      </c>
    </row>
    <row r="125" spans="1:13" hidden="1" x14ac:dyDescent="0.55000000000000004">
      <c r="A125" t="s">
        <v>2653</v>
      </c>
      <c r="B125" t="s">
        <v>1662</v>
      </c>
      <c r="C125" t="s">
        <v>1790</v>
      </c>
      <c r="D125" t="s">
        <v>1657</v>
      </c>
      <c r="E125" t="s">
        <v>2609</v>
      </c>
      <c r="F125" t="str">
        <f t="shared" si="1"/>
        <v>"C:\Program Files\VideoLAN\VLC\vlc.exe" "http://n02.radiojar.com:80/q8wauz467reuv"</v>
      </c>
      <c r="M125" t="e">
        <f>VLOOKUP(A125,logos!$A$2:$A$10004,1,FALSE)</f>
        <v>#N/A</v>
      </c>
    </row>
    <row r="126" spans="1:13" hidden="1" x14ac:dyDescent="0.55000000000000004">
      <c r="A126" t="s">
        <v>347</v>
      </c>
      <c r="B126" t="s">
        <v>1662</v>
      </c>
      <c r="C126" t="s">
        <v>1792</v>
      </c>
      <c r="D126" t="s">
        <v>1657</v>
      </c>
      <c r="E126" t="s">
        <v>2609</v>
      </c>
      <c r="F126" t="str">
        <f t="shared" si="1"/>
        <v>"C:\Program Files\VideoLAN\VLC\vlc.exe" "http://edge-bauerall-01-gos2.sharp-stream.com/clyde1.aac?aw_0_1st.skey=1666797690"</v>
      </c>
      <c r="M126" t="str">
        <f>VLOOKUP(A126,logos!$A$2:$A$10004,1,FALSE)</f>
        <v>Clyde 1</v>
      </c>
    </row>
    <row r="127" spans="1:13" hidden="1" x14ac:dyDescent="0.55000000000000004">
      <c r="A127" t="s">
        <v>349</v>
      </c>
      <c r="B127" t="s">
        <v>1662</v>
      </c>
      <c r="C127" t="s">
        <v>1793</v>
      </c>
      <c r="D127" t="s">
        <v>1657</v>
      </c>
      <c r="E127" t="s">
        <v>2609</v>
      </c>
      <c r="F127" t="str">
        <f t="shared" si="1"/>
        <v>"C:\Program Files\VideoLAN\VLC\vlc.exe" "http://edge-bauerall-01-gos2.sharp-stream.com/clyde2.aac?aw_0_1st.skey=1666797690"</v>
      </c>
      <c r="M127" t="str">
        <f>VLOOKUP(A127,logos!$A$2:$A$10004,1,FALSE)</f>
        <v>Clyde 2</v>
      </c>
    </row>
    <row r="128" spans="1:13" hidden="1" x14ac:dyDescent="0.55000000000000004">
      <c r="A128" t="s">
        <v>355</v>
      </c>
      <c r="B128" t="s">
        <v>1662</v>
      </c>
      <c r="C128" t="s">
        <v>1794</v>
      </c>
      <c r="D128" t="s">
        <v>1657</v>
      </c>
      <c r="E128" t="s">
        <v>2609</v>
      </c>
      <c r="F128" t="str">
        <f t="shared" si="1"/>
        <v>"C:\Program Files\VideoLAN\VLC\vlc.exe" "http://edge-bauerall-01-gos2.sharp-stream.com/coolfm.aac?aw_0_1st.skey=1666797691"</v>
      </c>
      <c r="M128" t="str">
        <f>VLOOKUP(A128,logos!$A$2:$A$10004,1,FALSE)</f>
        <v>Cool FM</v>
      </c>
    </row>
    <row r="129" spans="1:13" hidden="1" x14ac:dyDescent="0.55000000000000004">
      <c r="A129" t="s">
        <v>377</v>
      </c>
      <c r="B129" t="s">
        <v>1662</v>
      </c>
      <c r="C129" t="s">
        <v>1797</v>
      </c>
      <c r="D129" t="s">
        <v>1657</v>
      </c>
      <c r="E129" t="s">
        <v>2609</v>
      </c>
      <c r="F129" t="str">
        <f t="shared" si="1"/>
        <v>"C:\Program Files\VideoLAN\VLC\vlc.exe" "http://edge-bauerall-01-gos2.sharp-stream.com/downtowncountry.aac?aw_0_1st.skey=1666797691"</v>
      </c>
      <c r="M129" t="str">
        <f>VLOOKUP(A129,logos!$A$2:$A$10004,1,FALSE)</f>
        <v>Downtown Country</v>
      </c>
    </row>
    <row r="130" spans="1:13" hidden="1" x14ac:dyDescent="0.55000000000000004">
      <c r="A130" t="s">
        <v>379</v>
      </c>
      <c r="B130" t="s">
        <v>1662</v>
      </c>
      <c r="C130" t="s">
        <v>1798</v>
      </c>
      <c r="D130" t="s">
        <v>1657</v>
      </c>
      <c r="E130" t="s">
        <v>2609</v>
      </c>
      <c r="F130" t="str">
        <f t="shared" si="1"/>
        <v>"C:\Program Files\VideoLAN\VLC\vlc.exe" "http://edge-bauerall-01-gos2.sharp-stream.com/downtown.aac?aw_0_1st.skey=1666797691"</v>
      </c>
      <c r="M130" t="str">
        <f>VLOOKUP(A130,logos!$A$2:$A$10004,1,FALSE)</f>
        <v>Downtown Radio</v>
      </c>
    </row>
    <row r="131" spans="1:13" hidden="1" x14ac:dyDescent="0.55000000000000004">
      <c r="A131" t="s">
        <v>381</v>
      </c>
      <c r="B131" t="s">
        <v>1662</v>
      </c>
      <c r="C131" t="s">
        <v>1799</v>
      </c>
      <c r="D131" t="s">
        <v>1657</v>
      </c>
      <c r="E131" t="s">
        <v>2609</v>
      </c>
      <c r="F131" t="str">
        <f t="shared" ref="F131:F194" si="2">"""C:\Program Files\VideoLAN\VLC\vlc.exe"" """&amp;C131&amp;""""</f>
        <v>"C:\Program Files\VideoLAN\VLC\vlc.exe" "http://listen-nation.sharp-stream.com/tcnationdigital.aac?ref=RF"</v>
      </c>
      <c r="M131" t="e">
        <f>VLOOKUP(A131,logos!$A$2:$A$10004,1,FALSE)</f>
        <v>#N/A</v>
      </c>
    </row>
    <row r="132" spans="1:13" hidden="1" x14ac:dyDescent="0.55000000000000004">
      <c r="A132" t="s">
        <v>1675</v>
      </c>
      <c r="B132" t="s">
        <v>1662</v>
      </c>
      <c r="C132" t="s">
        <v>1800</v>
      </c>
      <c r="D132" t="s">
        <v>1657</v>
      </c>
      <c r="E132" t="s">
        <v>2609</v>
      </c>
      <c r="F132" t="str">
        <f t="shared" si="2"/>
        <v>"C:\Program Files\VideoLAN\VLC\vlc.exe" "http://n02a-eu.rcs.revma.com:80/69v2m2q5xhruv"</v>
      </c>
      <c r="M132" t="e">
        <f>VLOOKUP(A132,logos!$A$2:$A$10004,1,FALSE)</f>
        <v>#N/A</v>
      </c>
    </row>
    <row r="133" spans="1:13" hidden="1" x14ac:dyDescent="0.55000000000000004">
      <c r="A133" t="s">
        <v>384</v>
      </c>
      <c r="B133" t="s">
        <v>1662</v>
      </c>
      <c r="C133" t="s">
        <v>1801</v>
      </c>
      <c r="D133" t="s">
        <v>1657</v>
      </c>
      <c r="E133" t="s">
        <v>2609</v>
      </c>
      <c r="F133" t="str">
        <f t="shared" si="2"/>
        <v>"C:\Program Files\VideoLAN\VLC\vlc.exe" "http://fra-ranger01.dedicateware.com:18010/mobile"</v>
      </c>
      <c r="M133" t="e">
        <f>VLOOKUP(A133,logos!$A$2:$A$10004,1,FALSE)</f>
        <v>#N/A</v>
      </c>
    </row>
    <row r="134" spans="1:13" hidden="1" x14ac:dyDescent="0.55000000000000004">
      <c r="A134" t="s">
        <v>2655</v>
      </c>
      <c r="B134" t="s">
        <v>1662</v>
      </c>
      <c r="C134" t="s">
        <v>1802</v>
      </c>
      <c r="D134" t="s">
        <v>1657</v>
      </c>
      <c r="E134" t="s">
        <v>2609</v>
      </c>
      <c r="F134" t="str">
        <f t="shared" si="2"/>
        <v>"C:\Program Files\VideoLAN\VLC\vlc.exe" "http://listen-nation.sharp-stream.com/nationeasyports.aac?ref=RF"</v>
      </c>
      <c r="M134" t="e">
        <f>VLOOKUP(A134,logos!$A$2:$A$10004,1,FALSE)</f>
        <v>#N/A</v>
      </c>
    </row>
    <row r="135" spans="1:13" hidden="1" x14ac:dyDescent="0.55000000000000004">
      <c r="A135" t="s">
        <v>2656</v>
      </c>
      <c r="B135" t="s">
        <v>1662</v>
      </c>
      <c r="C135" t="s">
        <v>1803</v>
      </c>
      <c r="D135" t="s">
        <v>1657</v>
      </c>
      <c r="E135" t="s">
        <v>2609</v>
      </c>
      <c r="F135" t="str">
        <f t="shared" si="2"/>
        <v>"C:\Program Files\VideoLAN\VLC\vlc.exe" "http://listen-nation.sharp-stream.com/nationeasysoton.aac?ref=RF"</v>
      </c>
      <c r="M135" t="e">
        <f>VLOOKUP(A135,logos!$A$2:$A$10004,1,FALSE)</f>
        <v>#N/A</v>
      </c>
    </row>
    <row r="136" spans="1:13" hidden="1" x14ac:dyDescent="0.55000000000000004">
      <c r="A136" t="s">
        <v>2657</v>
      </c>
      <c r="B136" t="s">
        <v>1662</v>
      </c>
      <c r="C136" t="s">
        <v>1804</v>
      </c>
      <c r="D136" t="s">
        <v>1657</v>
      </c>
      <c r="E136" t="s">
        <v>2609</v>
      </c>
      <c r="F136" t="str">
        <f t="shared" si="2"/>
        <v>"C:\Program Files\VideoLAN\VLC\vlc.exe" "http://listen-nation.sharp-stream.com/breezyradiouk.aac?ref=RF"</v>
      </c>
      <c r="M136" t="e">
        <f>VLOOKUP(A136,logos!$A$2:$A$10004,1,FALSE)</f>
        <v>#N/A</v>
      </c>
    </row>
    <row r="137" spans="1:13" hidden="1" x14ac:dyDescent="0.55000000000000004">
      <c r="A137" t="s">
        <v>2658</v>
      </c>
      <c r="B137" t="s">
        <v>1662</v>
      </c>
      <c r="C137" t="s">
        <v>1805</v>
      </c>
      <c r="D137" t="s">
        <v>1657</v>
      </c>
      <c r="E137" t="s">
        <v>2609</v>
      </c>
      <c r="F137" t="str">
        <f t="shared" si="2"/>
        <v>"C:\Program Files\VideoLAN\VLC\vlc.exe" "http://listen-nation.sharp-stream.com/tcbay.aac?ref=RF"</v>
      </c>
      <c r="M137" t="e">
        <f>VLOOKUP(A137,logos!$A$2:$A$10004,1,FALSE)</f>
        <v>#N/A</v>
      </c>
    </row>
    <row r="138" spans="1:13" hidden="1" x14ac:dyDescent="0.55000000000000004">
      <c r="A138" t="s">
        <v>412</v>
      </c>
      <c r="B138" t="s">
        <v>1662</v>
      </c>
      <c r="C138" t="s">
        <v>1808</v>
      </c>
      <c r="D138" t="s">
        <v>1657</v>
      </c>
      <c r="E138" t="s">
        <v>2609</v>
      </c>
      <c r="F138" t="str">
        <f t="shared" si="2"/>
        <v>"C:\Program Files\VideoLAN\VLC\vlc.exe" "http://edge-audio-02-thn.sharp-stream.com:80/fixradio.aac"</v>
      </c>
      <c r="M138" t="e">
        <f>VLOOKUP(A138,logos!$A$2:$A$10004,1,FALSE)</f>
        <v>#N/A</v>
      </c>
    </row>
    <row r="139" spans="1:13" hidden="1" x14ac:dyDescent="0.55000000000000004">
      <c r="A139" t="s">
        <v>414</v>
      </c>
      <c r="B139" t="s">
        <v>1662</v>
      </c>
      <c r="C139" t="s">
        <v>4836</v>
      </c>
      <c r="D139" t="s">
        <v>1657</v>
      </c>
      <c r="E139" t="s">
        <v>2609</v>
      </c>
      <c r="F139" t="str">
        <f t="shared" si="2"/>
        <v>"C:\Program Files\VideoLAN\VLC\vlc.exe" "http://edge-bauerall-01-gos2.sharp-stream.com/forth1.aac"</v>
      </c>
      <c r="M139" t="str">
        <f>VLOOKUP(A139,logos!$A$2:$A$10004,1,FALSE)</f>
        <v>Forth 1</v>
      </c>
    </row>
    <row r="140" spans="1:13" hidden="1" x14ac:dyDescent="0.55000000000000004">
      <c r="A140" t="s">
        <v>416</v>
      </c>
      <c r="B140" t="s">
        <v>1662</v>
      </c>
      <c r="C140" t="s">
        <v>4839</v>
      </c>
      <c r="D140" t="s">
        <v>1657</v>
      </c>
      <c r="E140" t="s">
        <v>2609</v>
      </c>
      <c r="F140" t="str">
        <f t="shared" si="2"/>
        <v>"C:\Program Files\VideoLAN\VLC\vlc.exe" "http://edge-bauerall-01-gos2.sharp-stream.com/forth2.aac"</v>
      </c>
      <c r="M140" t="str">
        <f>VLOOKUP(A140,logos!$A$2:$A$10004,1,FALSE)</f>
        <v>Forth 2</v>
      </c>
    </row>
    <row r="141" spans="1:13" hidden="1" x14ac:dyDescent="0.55000000000000004">
      <c r="A141" t="s">
        <v>1576</v>
      </c>
      <c r="B141" t="s">
        <v>1662</v>
      </c>
      <c r="C141" t="s">
        <v>1813</v>
      </c>
      <c r="D141" t="s">
        <v>1657</v>
      </c>
      <c r="E141" t="s">
        <v>2609</v>
      </c>
      <c r="F141" t="str">
        <f t="shared" si="2"/>
        <v>"C:\Program Files\VideoLAN\VLC\vlc.exe" "http://edge-bauerall-01-gos2.sharp-stream.com/freebirmingham.aac?aw_0_1st.skey=1666797694"</v>
      </c>
      <c r="M141" t="str">
        <f>VLOOKUP(A141,logos!$A$2:$A$10004,1,FALSE)</f>
        <v>Free Radio (Birmingham)</v>
      </c>
    </row>
    <row r="142" spans="1:13" hidden="1" x14ac:dyDescent="0.55000000000000004">
      <c r="A142" t="s">
        <v>1577</v>
      </c>
      <c r="B142" t="s">
        <v>1662</v>
      </c>
      <c r="C142" t="s">
        <v>1814</v>
      </c>
      <c r="D142" t="s">
        <v>1657</v>
      </c>
      <c r="E142" t="s">
        <v>2609</v>
      </c>
      <c r="F142" t="str">
        <f t="shared" si="2"/>
        <v>"C:\Program Files\VideoLAN\VLC\vlc.exe" "http://edge-bauerall-01-gos2.sharp-stream.com/freeblackcountry.aac?aw_0_1st.skey=1666797694"</v>
      </c>
      <c r="M142" t="str">
        <f>VLOOKUP(A142,logos!$A$2:$A$10004,1,FALSE)</f>
        <v>Free Radio (Black Country)</v>
      </c>
    </row>
    <row r="143" spans="1:13" hidden="1" x14ac:dyDescent="0.55000000000000004">
      <c r="A143" t="s">
        <v>1578</v>
      </c>
      <c r="B143" t="s">
        <v>1662</v>
      </c>
      <c r="C143" t="s">
        <v>1815</v>
      </c>
      <c r="D143" t="s">
        <v>1657</v>
      </c>
      <c r="E143" t="s">
        <v>2609</v>
      </c>
      <c r="F143" t="str">
        <f t="shared" si="2"/>
        <v>"C:\Program Files\VideoLAN\VLC\vlc.exe" "http://edge-bauerall-01-gos2.sharp-stream.com/freecoventry.aac?aw_0_1st.skey=1666797694"</v>
      </c>
      <c r="M143" t="str">
        <f>VLOOKUP(A143,logos!$A$2:$A$10004,1,FALSE)</f>
        <v>Free Radio (Coventry &amp; Warwickshire)</v>
      </c>
    </row>
    <row r="144" spans="1:13" hidden="1" x14ac:dyDescent="0.55000000000000004">
      <c r="A144" t="s">
        <v>2661</v>
      </c>
      <c r="B144" t="s">
        <v>1662</v>
      </c>
      <c r="C144" t="s">
        <v>1816</v>
      </c>
      <c r="D144" t="s">
        <v>1657</v>
      </c>
      <c r="E144" t="s">
        <v>2609</v>
      </c>
      <c r="F144" t="str">
        <f t="shared" si="2"/>
        <v>"C:\Program Files\VideoLAN\VLC\vlc.exe" "http://edge-bauerall-01-gos2.sharp-stream.com/freehereford.aac?aw_0_1st.skey=1666797694"</v>
      </c>
      <c r="M144" t="e">
        <f>VLOOKUP(A144,logos!$A$2:$A$10004,1,FALSE)</f>
        <v>#N/A</v>
      </c>
    </row>
    <row r="145" spans="1:13" hidden="1" x14ac:dyDescent="0.55000000000000004">
      <c r="A145" t="s">
        <v>1580</v>
      </c>
      <c r="B145" t="s">
        <v>1662</v>
      </c>
      <c r="C145" t="s">
        <v>1817</v>
      </c>
      <c r="D145" t="s">
        <v>1657</v>
      </c>
      <c r="E145" t="s">
        <v>2609</v>
      </c>
      <c r="F145" t="str">
        <f t="shared" si="2"/>
        <v>"C:\Program Files\VideoLAN\VLC\vlc.exe" "http://edge-bauerall-01-gos2.sharp-stream.com/freeshropshire.aac?aw_0_1st.skey=1666797694"</v>
      </c>
      <c r="M145" t="str">
        <f>VLOOKUP(A145,logos!$A$2:$A$10004,1,FALSE)</f>
        <v>Free Radio (Shropshire)</v>
      </c>
    </row>
    <row r="146" spans="1:13" hidden="1" x14ac:dyDescent="0.55000000000000004">
      <c r="A146" t="s">
        <v>428</v>
      </c>
      <c r="B146" t="s">
        <v>1662</v>
      </c>
      <c r="C146" t="s">
        <v>1819</v>
      </c>
      <c r="D146" t="s">
        <v>1657</v>
      </c>
      <c r="E146" t="s">
        <v>2609</v>
      </c>
      <c r="F146" t="str">
        <f t="shared" si="2"/>
        <v>"C:\Program Files\VideoLAN\VLC\vlc.exe" "http://listen-funkids.sharp-stream.com/funkids.aac?ref=RF"</v>
      </c>
      <c r="M146" t="e">
        <f>VLOOKUP(A146,logos!$A$2:$A$10004,1,FALSE)</f>
        <v>#N/A</v>
      </c>
    </row>
    <row r="147" spans="1:13" hidden="1" x14ac:dyDescent="0.55000000000000004">
      <c r="A147" t="s">
        <v>434</v>
      </c>
      <c r="B147" t="s">
        <v>1662</v>
      </c>
      <c r="C147" t="s">
        <v>1822</v>
      </c>
      <c r="D147" t="s">
        <v>1657</v>
      </c>
      <c r="E147" t="s">
        <v>2609</v>
      </c>
      <c r="F147" t="str">
        <f t="shared" si="2"/>
        <v>"C:\Program Files\VideoLAN\VLC\vlc.exe" "http://n02a-eu.rcs.revma.com:80/d3xb3hq3tm0uv"</v>
      </c>
      <c r="M147" t="e">
        <f>VLOOKUP(A147,logos!$A$2:$A$10004,1,FALSE)</f>
        <v>#N/A</v>
      </c>
    </row>
    <row r="148" spans="1:13" hidden="1" x14ac:dyDescent="0.55000000000000004">
      <c r="A148" t="s">
        <v>2662</v>
      </c>
      <c r="B148" t="s">
        <v>1662</v>
      </c>
      <c r="C148" t="s">
        <v>1823</v>
      </c>
      <c r="D148" t="s">
        <v>1657</v>
      </c>
      <c r="E148" t="s">
        <v>2609</v>
      </c>
      <c r="F148" t="str">
        <f t="shared" si="2"/>
        <v>"C:\Program Files\VideoLAN\VLC\vlc.exe" "http://listen-gaydio.sharp-stream.com/467_gaydio_birmingham_48_aac?ref=RF"</v>
      </c>
      <c r="M148" t="e">
        <f>VLOOKUP(A148,logos!$A$2:$A$10004,1,FALSE)</f>
        <v>#N/A</v>
      </c>
    </row>
    <row r="149" spans="1:13" hidden="1" x14ac:dyDescent="0.55000000000000004">
      <c r="A149" t="s">
        <v>2663</v>
      </c>
      <c r="B149" t="s">
        <v>1662</v>
      </c>
      <c r="C149" t="s">
        <v>1824</v>
      </c>
      <c r="D149" t="s">
        <v>1657</v>
      </c>
      <c r="E149" t="s">
        <v>2609</v>
      </c>
      <c r="F149" t="str">
        <f t="shared" si="2"/>
        <v>"C:\Program Files\VideoLAN\VLC\vlc.exe" "http://listen-gaydio.sharp-stream.com/76_gaydio_scotland_48_aac?ref=RF"</v>
      </c>
      <c r="M149" t="e">
        <f>VLOOKUP(A149,logos!$A$2:$A$10004,1,FALSE)</f>
        <v>#N/A</v>
      </c>
    </row>
    <row r="150" spans="1:13" hidden="1" x14ac:dyDescent="0.55000000000000004">
      <c r="A150" t="s">
        <v>2664</v>
      </c>
      <c r="B150" t="s">
        <v>1662</v>
      </c>
      <c r="C150" t="s">
        <v>1825</v>
      </c>
      <c r="D150" t="s">
        <v>1657</v>
      </c>
      <c r="E150" t="s">
        <v>2609</v>
      </c>
      <c r="F150" t="str">
        <f t="shared" si="2"/>
        <v>"C:\Program Files\VideoLAN\VLC\vlc.exe" "http://listen-gaydio.sharp-stream.com/472_gaydio_london_48_aac?ref=RF"</v>
      </c>
      <c r="M150" t="e">
        <f>VLOOKUP(A150,logos!$A$2:$A$10004,1,FALSE)</f>
        <v>#N/A</v>
      </c>
    </row>
    <row r="151" spans="1:13" hidden="1" x14ac:dyDescent="0.55000000000000004">
      <c r="A151" t="s">
        <v>2665</v>
      </c>
      <c r="B151" t="s">
        <v>1662</v>
      </c>
      <c r="C151" t="s">
        <v>1826</v>
      </c>
      <c r="D151" t="s">
        <v>1657</v>
      </c>
      <c r="E151" t="s">
        <v>2609</v>
      </c>
      <c r="F151" t="str">
        <f t="shared" si="2"/>
        <v>"C:\Program Files\VideoLAN\VLC\vlc.exe" "http://listen-gaydio.sharp-stream.com/gaydiouk.aac?ref=RF"</v>
      </c>
      <c r="M151" t="e">
        <f>VLOOKUP(A151,logos!$A$2:$A$10004,1,FALSE)</f>
        <v>#N/A</v>
      </c>
    </row>
    <row r="152" spans="1:13" hidden="1" x14ac:dyDescent="0.55000000000000004">
      <c r="A152" t="s">
        <v>449</v>
      </c>
      <c r="B152" t="s">
        <v>1662</v>
      </c>
      <c r="C152" t="s">
        <v>1827</v>
      </c>
      <c r="D152" t="s">
        <v>1657</v>
      </c>
      <c r="E152" t="s">
        <v>2609</v>
      </c>
      <c r="F152" t="str">
        <f t="shared" si="2"/>
        <v>"C:\Program Files\VideoLAN\VLC\vlc.exe" "http://listen-gbnews.sharp-stream.com/gbnews.aac?ref=RF"</v>
      </c>
      <c r="M152" t="e">
        <f>VLOOKUP(A152,logos!$A$2:$A$10004,1,FALSE)</f>
        <v>#N/A</v>
      </c>
    </row>
    <row r="153" spans="1:13" hidden="1" x14ac:dyDescent="0.55000000000000004">
      <c r="A153" t="s">
        <v>451</v>
      </c>
      <c r="B153" t="s">
        <v>1662</v>
      </c>
      <c r="C153" t="s">
        <v>1828</v>
      </c>
      <c r="D153" t="s">
        <v>1657</v>
      </c>
      <c r="E153" t="s">
        <v>2609</v>
      </c>
      <c r="F153" t="str">
        <f t="shared" si="2"/>
        <v>"C:\Program Files\VideoLAN\VLC\vlc.exe" "http://edge-bauerall-01-gos2.sharp-stream.com/gem106.aac?aw_0_1st.skey=1666797698"</v>
      </c>
      <c r="M153" t="str">
        <f>VLOOKUP(A153,logos!$A$2:$A$10004,1,FALSE)</f>
        <v>Gem</v>
      </c>
    </row>
    <row r="154" spans="1:13" hidden="1" x14ac:dyDescent="0.55000000000000004">
      <c r="A154" t="s">
        <v>459</v>
      </c>
      <c r="B154" t="s">
        <v>1662</v>
      </c>
      <c r="C154" t="s">
        <v>1831</v>
      </c>
      <c r="D154" t="s">
        <v>1657</v>
      </c>
      <c r="E154" t="s">
        <v>2609</v>
      </c>
      <c r="F154" t="str">
        <f t="shared" si="2"/>
        <v>"C:\Program Files\VideoLAN\VLC\vlc.exe" "http://icecast.thisisdax.com/Gold"</v>
      </c>
      <c r="M154" t="str">
        <f>VLOOKUP(A154,logos!$A$2:$A$10004,1,FALSE)</f>
        <v>Gold</v>
      </c>
    </row>
    <row r="155" spans="1:13" hidden="1" x14ac:dyDescent="0.55000000000000004">
      <c r="A155" t="s">
        <v>463</v>
      </c>
      <c r="B155" t="s">
        <v>1662</v>
      </c>
      <c r="C155" t="s">
        <v>1833</v>
      </c>
      <c r="D155" t="s">
        <v>1657</v>
      </c>
      <c r="E155" t="s">
        <v>2609</v>
      </c>
      <c r="F155" t="str">
        <f t="shared" si="2"/>
        <v>"C:\Program Files\VideoLAN\VLC\vlc.exe" "http://n02a-eu.rcs.revma.com:80/xb30qqsuvrhvv"</v>
      </c>
      <c r="M155" t="e">
        <f>VLOOKUP(A155,logos!$A$2:$A$10004,1,FALSE)</f>
        <v>#N/A</v>
      </c>
    </row>
    <row r="156" spans="1:13" hidden="1" x14ac:dyDescent="0.55000000000000004">
      <c r="A156" t="s">
        <v>2666</v>
      </c>
      <c r="B156" t="s">
        <v>1662</v>
      </c>
      <c r="C156" t="s">
        <v>4784</v>
      </c>
      <c r="D156" t="s">
        <v>1657</v>
      </c>
      <c r="E156" t="s">
        <v>2609</v>
      </c>
      <c r="F156" t="str">
        <f t="shared" si="2"/>
        <v>"C:\Program Files\VideoLAN\VLC\vlc.exe" "https://stream-mz.planetradio.co.uk/net2essex.aac?aw_0_1st.skey=1667146286&amp;aw_0_1st.playerid=BMUK_ukrp"</v>
      </c>
      <c r="M156" t="str">
        <f>VLOOKUP(A156,logos!$A$2:$A$10004,1,FALSE)</f>
        <v>Greatest Hits Radio (East) (Essex)</v>
      </c>
    </row>
    <row r="157" spans="1:13" hidden="1" x14ac:dyDescent="0.55000000000000004">
      <c r="A157" t="s">
        <v>2667</v>
      </c>
      <c r="B157" t="s">
        <v>1662</v>
      </c>
      <c r="C157" t="s">
        <v>4804</v>
      </c>
      <c r="D157" t="s">
        <v>1657</v>
      </c>
      <c r="E157" t="s">
        <v>2609</v>
      </c>
      <c r="F157" t="str">
        <f t="shared" si="2"/>
        <v>"C:\Program Files\VideoLAN\VLC\vlc.exe" "https://stream-mz.planetradio.co.uk/net2suffolk.aac?aw_0_1st.skey=1667146352&amp;aw_0_1st.playerid=BMUK_ukrp"</v>
      </c>
      <c r="M157" t="str">
        <f>VLOOKUP(A157,logos!$A$2:$A$10004,1,FALSE)</f>
        <v>Greatest Hits Radio (East) (Ipswich &amp; Suffolk)</v>
      </c>
    </row>
    <row r="158" spans="1:13" hidden="1" x14ac:dyDescent="0.55000000000000004">
      <c r="A158" t="s">
        <v>2668</v>
      </c>
      <c r="B158" t="s">
        <v>1662</v>
      </c>
      <c r="C158" t="s">
        <v>4792</v>
      </c>
      <c r="D158" t="s">
        <v>1657</v>
      </c>
      <c r="E158" t="s">
        <v>2609</v>
      </c>
      <c r="F158" t="str">
        <f t="shared" si="2"/>
        <v>"C:\Program Files\VideoLAN\VLC\vlc.exe" "https://stream-mz.planetradio.co.uk/net2norfolk.aac?aw_0_1st.skey=1667146315&amp;aw_0_1st.playerid=BMUK_ukrp"</v>
      </c>
      <c r="M158" t="str">
        <f>VLOOKUP(A158,logos!$A$2:$A$10004,1,FALSE)</f>
        <v>Greatest Hits Radio (East) (Norfolk &amp; North Suffolk)</v>
      </c>
    </row>
    <row r="159" spans="1:13" hidden="1" x14ac:dyDescent="0.55000000000000004">
      <c r="A159" t="s">
        <v>2669</v>
      </c>
      <c r="B159" t="s">
        <v>1662</v>
      </c>
      <c r="C159" t="s">
        <v>4808</v>
      </c>
      <c r="D159" t="s">
        <v>1657</v>
      </c>
      <c r="E159" t="s">
        <v>2609</v>
      </c>
      <c r="F159" t="str">
        <f t="shared" si="2"/>
        <v>"C:\Program Files\VideoLAN\VLC\vlc.exe" "https://stream-mz.planetradio.co.uk/net2westnorfolk.aac?aw_0_1st.skey=1667146361&amp;aw_0_1st.playerid=BMUK_ukrp"</v>
      </c>
      <c r="M159" t="str">
        <f>VLOOKUP(A159,logos!$A$2:$A$10004,1,FALSE)</f>
        <v>Greatest Hits Radio (East) (West Norfolk)</v>
      </c>
    </row>
    <row r="160" spans="1:13" hidden="1" x14ac:dyDescent="0.55000000000000004">
      <c r="A160" t="s">
        <v>1590</v>
      </c>
      <c r="B160" t="s">
        <v>1662</v>
      </c>
      <c r="C160" t="s">
        <v>4820</v>
      </c>
      <c r="D160" t="s">
        <v>1657</v>
      </c>
      <c r="E160" t="s">
        <v>2609</v>
      </c>
      <c r="F160" t="str">
        <f t="shared" si="2"/>
        <v>"C:\Program Files\VideoLAN\VLC\vlc.exe" "https://stream-mz.planetradio.co.uk/net2london.aac?aw_0_1st.skey=1667318790&amp;aw_0_1st.playerid=BMUK_ukrp"</v>
      </c>
      <c r="M160" t="str">
        <f>VLOOKUP(A160,logos!$A$2:$A$10004,1,FALSE)</f>
        <v>Greatest Hits Radio (London)</v>
      </c>
    </row>
    <row r="161" spans="1:13" hidden="1" x14ac:dyDescent="0.55000000000000004">
      <c r="A161" t="s">
        <v>2670</v>
      </c>
      <c r="B161" t="s">
        <v>1662</v>
      </c>
      <c r="C161" t="s">
        <v>4774</v>
      </c>
      <c r="D161" t="s">
        <v>1657</v>
      </c>
      <c r="E161" t="s">
        <v>2609</v>
      </c>
      <c r="F161" t="str">
        <f t="shared" si="2"/>
        <v>"C:\Program Files\VideoLAN\VLC\vlc.exe" "https://stream-mz.planetradio.co.uk/net2westmidlands.aac?aw_0_1st.skey=1667146253&amp;aw_0_1st.playerid=BMUK_ukrp"</v>
      </c>
      <c r="M161" t="str">
        <f>VLOOKUP(A161,logos!$A$2:$A$10004,1,FALSE)</f>
        <v>Greatest Hits Radio (Midlands) (Birmingham &amp; the West Midlands)</v>
      </c>
    </row>
    <row r="162" spans="1:13" hidden="1" x14ac:dyDescent="0.55000000000000004">
      <c r="A162" t="s">
        <v>2671</v>
      </c>
      <c r="B162" t="s">
        <v>1662</v>
      </c>
      <c r="C162" t="s">
        <v>4775</v>
      </c>
      <c r="D162" t="s">
        <v>1657</v>
      </c>
      <c r="E162" t="s">
        <v>2609</v>
      </c>
      <c r="F162" t="str">
        <f t="shared" si="2"/>
        <v>"C:\Program Files\VideoLAN\VLC\vlc.exe" "https://stream-mz.planetradio.co.uk/net2wolverhampton.aac?aw_0_1st.skey=1667146256&amp;aw_0_1st.playerid=BMUK_ukrp"</v>
      </c>
      <c r="M162" t="str">
        <f>VLOOKUP(A162,logos!$A$2:$A$10004,1,FALSE)</f>
        <v>Greatest Hits Radio (Midlands) (Black Country &amp; Shropshire) (Black Country)</v>
      </c>
    </row>
    <row r="163" spans="1:13" hidden="1" x14ac:dyDescent="0.55000000000000004">
      <c r="A163" t="s">
        <v>2672</v>
      </c>
      <c r="B163" t="s">
        <v>1662</v>
      </c>
      <c r="C163" t="s">
        <v>4780</v>
      </c>
      <c r="D163" t="s">
        <v>1657</v>
      </c>
      <c r="E163" t="s">
        <v>2609</v>
      </c>
      <c r="F163" t="str">
        <f t="shared" si="2"/>
        <v>"C:\Program Files\VideoLAN\VLC\vlc.exe" "https://stream-mz.planetradio.co.uk/net2coventry.aac?aw_0_1st.skey=1667146271&amp;aw_0_1st.playerid=BMUK_ukrp"</v>
      </c>
      <c r="M163" t="str">
        <f>VLOOKUP(A163,logos!$A$2:$A$10004,1,FALSE)</f>
        <v>Greatest Hits Radio (Midlands) (Coventry &amp; Warwickshire)</v>
      </c>
    </row>
    <row r="164" spans="1:13" hidden="1" x14ac:dyDescent="0.55000000000000004">
      <c r="A164" t="s">
        <v>2673</v>
      </c>
      <c r="B164" t="s">
        <v>1662</v>
      </c>
      <c r="C164" t="s">
        <v>4783</v>
      </c>
      <c r="D164" t="s">
        <v>1657</v>
      </c>
      <c r="E164" t="s">
        <v>2609</v>
      </c>
      <c r="F164" t="str">
        <f t="shared" si="2"/>
        <v>"C:\Program Files\VideoLAN\VLC\vlc.exe" "https://stream-mz.planetradio.co.uk/net2eastmidlands.aac?aw_0_1st.skey=1667146280&amp;aw_0_1st.playerid=BMUK_ukrp"</v>
      </c>
      <c r="M164" t="str">
        <f>VLOOKUP(A164,logos!$A$2:$A$10004,1,FALSE)</f>
        <v>Greatest Hits Radio (Midlands) (East Midlands)</v>
      </c>
    </row>
    <row r="165" spans="1:13" hidden="1" x14ac:dyDescent="0.55000000000000004">
      <c r="A165" t="s">
        <v>2674</v>
      </c>
      <c r="B165" t="s">
        <v>1662</v>
      </c>
      <c r="C165" t="s">
        <v>4788</v>
      </c>
      <c r="D165" t="s">
        <v>1657</v>
      </c>
      <c r="E165" t="s">
        <v>2609</v>
      </c>
      <c r="F165" t="str">
        <f t="shared" si="2"/>
        <v>"C:\Program Files\VideoLAN\VLC\vlc.exe" "https://stream-mz.planetradio.co.uk/net2worcester.aac?aw_0_1st.skey=1667146297&amp;aw_0_1st.playerid=BMUK_ukrp"</v>
      </c>
      <c r="M165" t="str">
        <f>VLOOKUP(A165,logos!$A$2:$A$10004,1,FALSE)</f>
        <v>Greatest Hits Radio (Midlands) (Herefordshire &amp; Worcestershire)</v>
      </c>
    </row>
    <row r="166" spans="1:13" hidden="1" x14ac:dyDescent="0.55000000000000004">
      <c r="A166" t="s">
        <v>2675</v>
      </c>
      <c r="B166" t="s">
        <v>1662</v>
      </c>
      <c r="C166" t="s">
        <v>4794</v>
      </c>
      <c r="D166" t="s">
        <v>1657</v>
      </c>
      <c r="E166" t="s">
        <v>2609</v>
      </c>
      <c r="F166" t="str">
        <f t="shared" si="2"/>
        <v>"C:\Program Files\VideoLAN\VLC\vlc.exe" "https://stream-mz.planetradio.co.uk/net2chesterfield.aac?aw_0_1st.skey=1667146319&amp;aw_0_1st.playerid=BMUK_ukrp"</v>
      </c>
      <c r="M166" t="str">
        <f>VLOOKUP(A166,logos!$A$2:$A$10004,1,FALSE)</f>
        <v>Greatest Hits Radio (Midlands) (South Derbyshire)</v>
      </c>
    </row>
    <row r="167" spans="1:13" hidden="1" x14ac:dyDescent="0.55000000000000004">
      <c r="A167" t="s">
        <v>2676</v>
      </c>
      <c r="B167" t="s">
        <v>1662</v>
      </c>
      <c r="C167" t="s">
        <v>4802</v>
      </c>
      <c r="D167" t="s">
        <v>1657</v>
      </c>
      <c r="E167" t="s">
        <v>2609</v>
      </c>
      <c r="F167" t="str">
        <f t="shared" si="2"/>
        <v>"C:\Program Files\VideoLAN\VLC\vlc.exe" "https://stream-mz.planetradio.co.uk/net2stoke.aac?aw_0_1st.skey=1667146346&amp;aw_0_1st.playerid=BMUK_ukrp"</v>
      </c>
      <c r="M167" t="str">
        <f>VLOOKUP(A167,logos!$A$2:$A$10004,1,FALSE)</f>
        <v>Greatest Hits Radio (Midlands) (Staffordshire &amp; Cheshire)</v>
      </c>
    </row>
    <row r="168" spans="1:13" hidden="1" x14ac:dyDescent="0.55000000000000004">
      <c r="A168" t="s">
        <v>2677</v>
      </c>
      <c r="B168" t="s">
        <v>1662</v>
      </c>
      <c r="C168" t="s">
        <v>4801</v>
      </c>
      <c r="D168" t="s">
        <v>1657</v>
      </c>
      <c r="E168" t="s">
        <v>2609</v>
      </c>
      <c r="F168" t="str">
        <f t="shared" si="2"/>
        <v>"C:\Program Files\VideoLAN\VLC\vlc.exe" "https://stream-mz.planetradio.co.uk/net2rutland.aac?aw_0_1st.skey=1667146343&amp;aw_0_1st.playerid=BMUK_ukrp"</v>
      </c>
      <c r="M168" t="str">
        <f>VLOOKUP(A168,logos!$A$2:$A$10004,1,FALSE)</f>
        <v>Greatest Hits Radio (Midlands) (Stamford &amp; Rutland)</v>
      </c>
    </row>
    <row r="169" spans="1:13" hidden="1" x14ac:dyDescent="0.55000000000000004">
      <c r="A169" t="s">
        <v>2678</v>
      </c>
      <c r="B169" t="s">
        <v>1662</v>
      </c>
      <c r="C169" t="s">
        <v>4806</v>
      </c>
      <c r="D169" t="s">
        <v>1657</v>
      </c>
      <c r="E169" t="s">
        <v>2609</v>
      </c>
      <c r="F169" t="str">
        <f t="shared" si="2"/>
        <v>"C:\Program Files\VideoLAN\VLC\vlc.exe" "https://stream-mz.planetradio.co.uk/magic1170.aac?aw_0_1st.skey=1667146357&amp;aw_0_1st.playerid=BMUK_ukrp"</v>
      </c>
      <c r="M169" t="str">
        <f>VLOOKUP(A169,logos!$A$2:$A$10004,1,FALSE)</f>
        <v>Greatest Hits Radio (North East) (Teesside)</v>
      </c>
    </row>
    <row r="170" spans="1:13" hidden="1" x14ac:dyDescent="0.55000000000000004">
      <c r="A170" t="s">
        <v>2679</v>
      </c>
      <c r="B170" t="s">
        <v>1662</v>
      </c>
      <c r="C170" t="s">
        <v>4793</v>
      </c>
      <c r="D170" t="s">
        <v>1657</v>
      </c>
      <c r="E170" t="s">
        <v>2609</v>
      </c>
      <c r="F170" t="str">
        <f t="shared" si="2"/>
        <v>"C:\Program Files\VideoLAN\VLC\vlc.exe" "https://stream-mz.planetradio.co.uk/magic1152n.aac?aw_0_1st.skey=1667146316&amp;aw_0_1st.playerid=BMUK_ukrp"</v>
      </c>
      <c r="M170" t="str">
        <f>VLOOKUP(A170,logos!$A$2:$A$10004,1,FALSE)</f>
        <v>Greatest Hits Radio (North East) (Tyne &amp; Wear)</v>
      </c>
    </row>
    <row r="171" spans="1:13" hidden="1" x14ac:dyDescent="0.55000000000000004">
      <c r="A171" t="s">
        <v>2680</v>
      </c>
      <c r="B171" t="s">
        <v>1662</v>
      </c>
      <c r="C171" t="s">
        <v>4819</v>
      </c>
      <c r="D171" t="s">
        <v>1657</v>
      </c>
      <c r="E171" t="s">
        <v>2609</v>
      </c>
      <c r="F171" t="str">
        <f t="shared" si="2"/>
        <v>"C:\Program Files\VideoLAN\VLC\vlc.exe" "https://stream-mz.planetradio.co.uk/net2cumbria.aac?aw_0_1st.skey=1667318487&amp;aw_0_1st.playerid=BMUK_html5"</v>
      </c>
      <c r="M171" t="str">
        <f>VLOOKUP(A171,logos!$A$2:$A$10004,1,FALSE)</f>
        <v>Greatest Hits Radio (North West) (Cumbria)</v>
      </c>
    </row>
    <row r="172" spans="1:13" hidden="1" x14ac:dyDescent="0.55000000000000004">
      <c r="A172" t="s">
        <v>2681</v>
      </c>
      <c r="B172" t="s">
        <v>1662</v>
      </c>
      <c r="C172" t="s">
        <v>4789</v>
      </c>
      <c r="D172" t="s">
        <v>1657</v>
      </c>
      <c r="E172" t="s">
        <v>2609</v>
      </c>
      <c r="F172" t="str">
        <f t="shared" si="2"/>
        <v>"C:\Program Files\VideoLAN\VLC\vlc.exe" "https://stream-mz.planetradio.co.uk/magic999.aac?aw_0_1st.skey=1667146300&amp;aw_0_1st.playerid=BMUK_ukrp"</v>
      </c>
      <c r="M172" t="str">
        <f>VLOOKUP(A172,logos!$A$2:$A$10004,1,FALSE)</f>
        <v>Greatest Hits Radio (North West) (Lancashire) (DAB)</v>
      </c>
    </row>
    <row r="173" spans="1:13" hidden="1" x14ac:dyDescent="0.55000000000000004">
      <c r="A173" t="s">
        <v>2682</v>
      </c>
      <c r="B173" t="s">
        <v>1662</v>
      </c>
      <c r="C173" t="s">
        <v>4821</v>
      </c>
      <c r="D173" t="s">
        <v>1657</v>
      </c>
      <c r="E173" t="s">
        <v>2609</v>
      </c>
      <c r="F173" t="str">
        <f t="shared" si="2"/>
        <v>"C:\Program Files\VideoLAN\VLC\vlc.exe" "https://stream-mz.planetradio.co.uk/magic1548.aac?aw_0_1st.skey=1667319023&amp;aw_0_1st.playerid=BMUK_html5"</v>
      </c>
      <c r="M173" t="str">
        <f>VLOOKUP(A173,logos!$A$2:$A$10004,1,FALSE)</f>
        <v>Greatest Hits Radio (North West) (Liverpool &amp; the North West) (Liverpool)</v>
      </c>
    </row>
    <row r="174" spans="1:13" hidden="1" x14ac:dyDescent="0.55000000000000004">
      <c r="A174" t="s">
        <v>2683</v>
      </c>
      <c r="B174" t="s">
        <v>1662</v>
      </c>
      <c r="C174" t="s">
        <v>4822</v>
      </c>
      <c r="D174" t="s">
        <v>1657</v>
      </c>
      <c r="E174" t="s">
        <v>2609</v>
      </c>
      <c r="F174" t="str">
        <f t="shared" si="2"/>
        <v>"C:\Program Files\VideoLAN\VLC\vlc.exe" "https://stream-mz.planetradio.co.uk/magic1152m.aac?aw_0_1st.skey=1667319096&amp;aw_0_1st.playerid=BMUK_html5"</v>
      </c>
      <c r="M174" t="str">
        <f>VLOOKUP(A174,logos!$A$2:$A$10004,1,FALSE)</f>
        <v>Greatest Hits Radio (North West) (Manchester &amp; the North West) (DAB &amp; Oldham)</v>
      </c>
    </row>
    <row r="175" spans="1:13" hidden="1" x14ac:dyDescent="0.55000000000000004">
      <c r="A175" t="s">
        <v>2685</v>
      </c>
      <c r="B175" t="s">
        <v>1662</v>
      </c>
      <c r="C175" t="s">
        <v>4809</v>
      </c>
      <c r="D175" t="s">
        <v>1657</v>
      </c>
      <c r="E175" t="s">
        <v>2609</v>
      </c>
      <c r="F175" t="str">
        <f t="shared" si="2"/>
        <v>"C:\Program Files\VideoLAN\VLC\vlc.exe" "https://stream-mz.planetradio.co.uk/net2wigan.aac?aw_0_1st.skey=1667146364&amp;aw_0_1st.playerid=BMUK_ukrp"</v>
      </c>
      <c r="M175" t="str">
        <f>VLOOKUP(A175,logos!$A$2:$A$10004,1,FALSE)</f>
        <v>Greatest Hits Radio (North West) (Wigan &amp; St Helens)</v>
      </c>
    </row>
    <row r="176" spans="1:13" hidden="1" x14ac:dyDescent="0.55000000000000004">
      <c r="A176" t="s">
        <v>1592</v>
      </c>
      <c r="B176" t="s">
        <v>1662</v>
      </c>
      <c r="C176" t="s">
        <v>4800</v>
      </c>
      <c r="D176" t="s">
        <v>1657</v>
      </c>
      <c r="E176" t="s">
        <v>2609</v>
      </c>
      <c r="F176" t="str">
        <f t="shared" si="2"/>
        <v>"C:\Program Files\VideoLAN\VLC\vlc.exe" "https://stream-mz.planetradio.co.uk/net2southwales.aac?aw_0_1st.skey=1667146340&amp;aw_0_1st.playerid=BMUK_ukrp"</v>
      </c>
      <c r="M176" t="str">
        <f>VLOOKUP(A176,logos!$A$2:$A$10004,1,FALSE)</f>
        <v>Greatest Hits Radio (South Wales)</v>
      </c>
    </row>
    <row r="177" spans="1:13" hidden="1" x14ac:dyDescent="0.55000000000000004">
      <c r="A177" t="s">
        <v>2694</v>
      </c>
      <c r="B177" t="s">
        <v>1662</v>
      </c>
      <c r="C177" t="s">
        <v>4772</v>
      </c>
      <c r="D177" t="s">
        <v>1657</v>
      </c>
      <c r="E177" t="s">
        <v>2609</v>
      </c>
      <c r="F177" t="str">
        <f t="shared" si="2"/>
        <v>"C:\Program Files\VideoLAN\VLC\vlc.exe" "https://stream-mz.planetradio.co.uk/net2bath.aac?aw_0_1st.skey=1667146249&amp;aw_0_1st.playerid=BMUK_ukrp"</v>
      </c>
      <c r="M177" t="str">
        <f>VLOOKUP(A177,logos!$A$2:$A$10004,1,FALSE)</f>
        <v>Greatest Hits Radio (South West) (Bath &amp; the South West)</v>
      </c>
    </row>
    <row r="178" spans="1:13" hidden="1" x14ac:dyDescent="0.55000000000000004">
      <c r="A178" t="s">
        <v>2695</v>
      </c>
      <c r="B178" t="s">
        <v>1662</v>
      </c>
      <c r="C178" t="s">
        <v>4776</v>
      </c>
      <c r="D178" t="s">
        <v>1657</v>
      </c>
      <c r="E178" t="s">
        <v>2609</v>
      </c>
      <c r="F178" t="str">
        <f t="shared" si="2"/>
        <v>"C:\Program Files\VideoLAN\VLC\vlc.exe" "https://stream-mz.planetradio.co.uk/net2bristol.aac?aw_0_1st.skey=1667146259&amp;aw_0_1st.playerid=BMUK_ukrp"</v>
      </c>
      <c r="M178" t="str">
        <f>VLOOKUP(A178,logos!$A$2:$A$10004,1,FALSE)</f>
        <v>Greatest Hits Radio (South West) (Bristol &amp; the South West)</v>
      </c>
    </row>
    <row r="179" spans="1:13" hidden="1" x14ac:dyDescent="0.55000000000000004">
      <c r="A179" t="s">
        <v>2696</v>
      </c>
      <c r="B179" t="s">
        <v>1662</v>
      </c>
      <c r="C179" t="s">
        <v>4779</v>
      </c>
      <c r="D179" t="s">
        <v>1657</v>
      </c>
      <c r="E179" t="s">
        <v>2609</v>
      </c>
      <c r="F179" t="str">
        <f t="shared" si="2"/>
        <v>"C:\Program Files\VideoLAN\VLC\vlc.exe" "https://stream-mz.planetradio.co.uk/net2cornwall.aac?aw_0_1st.skey=1667146268&amp;aw_0_1st.playerid=BMUK_ukrp"</v>
      </c>
      <c r="M179" t="str">
        <f>VLOOKUP(A179,logos!$A$2:$A$10004,1,FALSE)</f>
        <v>Greatest Hits Radio (South West) (Cornwall)</v>
      </c>
    </row>
    <row r="180" spans="1:13" hidden="1" x14ac:dyDescent="0.55000000000000004">
      <c r="A180" t="s">
        <v>2697</v>
      </c>
      <c r="B180" t="s">
        <v>1662</v>
      </c>
      <c r="C180" t="s">
        <v>4781</v>
      </c>
      <c r="D180" t="s">
        <v>1657</v>
      </c>
      <c r="E180" t="s">
        <v>2609</v>
      </c>
      <c r="F180" t="str">
        <f t="shared" si="2"/>
        <v>"C:\Program Files\VideoLAN\VLC\vlc.exe" "https://stream-mz.planetradio.co.uk/net2devon.aac?aw_0_1st.skey=1667146274&amp;aw_0_1st.playerid=BMUK_ukrp"</v>
      </c>
      <c r="M180" t="str">
        <f>VLOOKUP(A180,logos!$A$2:$A$10004,1,FALSE)</f>
        <v>Greatest Hits Radio (South West) (Devon)</v>
      </c>
    </row>
    <row r="181" spans="1:13" hidden="1" x14ac:dyDescent="0.55000000000000004">
      <c r="A181" t="s">
        <v>2698</v>
      </c>
      <c r="B181" t="s">
        <v>1662</v>
      </c>
      <c r="C181" t="s">
        <v>4785</v>
      </c>
      <c r="D181" t="s">
        <v>1657</v>
      </c>
      <c r="E181" t="s">
        <v>2609</v>
      </c>
      <c r="F181" t="str">
        <f t="shared" si="2"/>
        <v>"C:\Program Files\VideoLAN\VLC\vlc.exe" "https://stream-mz.planetradio.co.uk/net2gloucester.aac?aw_0_1st.skey=1667146288&amp;aw_0_1st.playerid=BMUK_ukrp"</v>
      </c>
      <c r="M181" t="str">
        <f>VLOOKUP(A181,logos!$A$2:$A$10004,1,FALSE)</f>
        <v>Greatest Hits Radio (South West) (Gloucestershire)</v>
      </c>
    </row>
    <row r="182" spans="1:13" hidden="1" x14ac:dyDescent="0.55000000000000004">
      <c r="A182" t="s">
        <v>2699</v>
      </c>
      <c r="B182" t="s">
        <v>1662</v>
      </c>
      <c r="C182" t="s">
        <v>4795</v>
      </c>
      <c r="D182" t="s">
        <v>1657</v>
      </c>
      <c r="E182" t="s">
        <v>2609</v>
      </c>
      <c r="F182" t="str">
        <f t="shared" si="2"/>
        <v>"C:\Program Files\VideoLAN\VLC\vlc.exe" "https://stream-mz.planetradio.co.uk/net2plymouth.aac?aw_0_1st.skey=1667146322&amp;aw_0_1st.playerid=BMUK_ukrp"</v>
      </c>
      <c r="M182" t="str">
        <f>VLOOKUP(A182,logos!$A$2:$A$10004,1,FALSE)</f>
        <v>Greatest Hits Radio (South West) (Plymouth)</v>
      </c>
    </row>
    <row r="183" spans="1:13" hidden="1" x14ac:dyDescent="0.55000000000000004">
      <c r="A183" t="s">
        <v>2700</v>
      </c>
      <c r="B183" t="s">
        <v>1662</v>
      </c>
      <c r="C183" t="s">
        <v>4796</v>
      </c>
      <c r="D183" t="s">
        <v>1657</v>
      </c>
      <c r="E183" t="s">
        <v>2609</v>
      </c>
      <c r="F183" t="str">
        <f t="shared" si="2"/>
        <v>"C:\Program Files\VideoLAN\VLC\vlc.exe" "https://stream-mz.planetradio.co.uk/net2somerset.aac?aw_0_1st.skey=1667146325&amp;aw_0_1st.playerid=BMUK_ukrp"</v>
      </c>
      <c r="M183" t="str">
        <f>VLOOKUP(A183,logos!$A$2:$A$10004,1,FALSE)</f>
        <v>Greatest Hits Radio (South West) (Somerset)</v>
      </c>
    </row>
    <row r="184" spans="1:13" hidden="1" x14ac:dyDescent="0.55000000000000004">
      <c r="A184" t="s">
        <v>2701</v>
      </c>
      <c r="B184" t="s">
        <v>1662</v>
      </c>
      <c r="C184" t="s">
        <v>4805</v>
      </c>
      <c r="D184" t="s">
        <v>1657</v>
      </c>
      <c r="E184" t="s">
        <v>2609</v>
      </c>
      <c r="F184" t="str">
        <f t="shared" si="2"/>
        <v>"C:\Program Files\VideoLAN\VLC\vlc.exe" "https://stream-mz.planetradio.co.uk/net2swindon.aac?aw_0_1st.skey=1667146354&amp;aw_0_1st.playerid=BMUK_ukrp"</v>
      </c>
      <c r="M184" t="str">
        <f>VLOOKUP(A184,logos!$A$2:$A$10004,1,FALSE)</f>
        <v>Greatest Hits Radio (South West) (Swindon)</v>
      </c>
    </row>
    <row r="185" spans="1:13" hidden="1" x14ac:dyDescent="0.55000000000000004">
      <c r="A185" t="s">
        <v>2686</v>
      </c>
      <c r="B185" t="s">
        <v>1662</v>
      </c>
      <c r="C185" t="s">
        <v>4773</v>
      </c>
      <c r="D185" t="s">
        <v>1657</v>
      </c>
      <c r="E185" t="s">
        <v>2609</v>
      </c>
      <c r="F185" t="str">
        <f t="shared" si="2"/>
        <v>"C:\Program Files\VideoLAN\VLC\vlc.exe" "https://stream-mz.planetradio.co.uk/net2berkshire.aac?aw_0_1st.skey=1667146251&amp;aw_0_1st.playerid=BMUK_ukrp"</v>
      </c>
      <c r="M185" t="str">
        <f>VLOOKUP(A185,logos!$A$2:$A$10004,1,FALSE)</f>
        <v>Greatest Hits Radio (South) (Berkshire &amp; North Hampshire)</v>
      </c>
    </row>
    <row r="186" spans="1:13" hidden="1" x14ac:dyDescent="0.55000000000000004">
      <c r="A186" t="s">
        <v>2687</v>
      </c>
      <c r="B186" t="s">
        <v>1662</v>
      </c>
      <c r="C186" t="s">
        <v>4797</v>
      </c>
      <c r="D186" t="s">
        <v>1657</v>
      </c>
      <c r="E186" t="s">
        <v>2609</v>
      </c>
      <c r="F186" t="str">
        <f t="shared" si="2"/>
        <v>"C:\Program Files\VideoLAN\VLC\vlc.exe" "https://stream-mz.planetradio.co.uk/net2southcoast.aac?aw_0_1st.skey=1667146327&amp;aw_0_1st.playerid=BMUK_ukrp"</v>
      </c>
      <c r="M186" t="str">
        <f>VLOOKUP(A186,logos!$A$2:$A$10004,1,FALSE)</f>
        <v>Greatest Hits Radio (South) (Bournemouth &amp; Poole)</v>
      </c>
    </row>
    <row r="187" spans="1:13" hidden="1" x14ac:dyDescent="0.55000000000000004">
      <c r="A187" t="s">
        <v>2688</v>
      </c>
      <c r="B187" t="s">
        <v>1662</v>
      </c>
      <c r="C187" t="s">
        <v>4777</v>
      </c>
      <c r="D187" t="s">
        <v>1657</v>
      </c>
      <c r="E187" t="s">
        <v>2609</v>
      </c>
      <c r="F187" t="str">
        <f t="shared" si="2"/>
        <v>"C:\Program Files\VideoLAN\VLC\vlc.exe" "https://stream-mz.planetradio.co.uk/net2aylesbury.aac?aw_0_1st.skey=1667146262&amp;aw_0_1st.playerid=BMUK_ukrp"</v>
      </c>
      <c r="M187" t="str">
        <f>VLOOKUP(A187,logos!$A$2:$A$10004,1,FALSE)</f>
        <v>Greatest Hits Radio (South) (Bucks, Beds &amp; Herts)</v>
      </c>
    </row>
    <row r="188" spans="1:13" hidden="1" x14ac:dyDescent="0.55000000000000004">
      <c r="A188" t="s">
        <v>2689</v>
      </c>
      <c r="B188" t="s">
        <v>1662</v>
      </c>
      <c r="C188" t="s">
        <v>4782</v>
      </c>
      <c r="D188" t="s">
        <v>1657</v>
      </c>
      <c r="E188" t="s">
        <v>2609</v>
      </c>
      <c r="F188" t="str">
        <f t="shared" si="2"/>
        <v>"C:\Program Files\VideoLAN\VLC\vlc.exe" "https://stream.apollo.audio/gwd/hi/aac/?aw_0_1st.skey=1667146277&amp;aw_0_1st.playerid=BMUK_ukrp"</v>
      </c>
      <c r="M188" t="str">
        <f>VLOOKUP(A188,logos!$A$2:$A$10004,1,FALSE)</f>
        <v>Greatest Hits Radio (South) (North &amp; West Dorset) (East)</v>
      </c>
    </row>
    <row r="189" spans="1:13" hidden="1" x14ac:dyDescent="0.55000000000000004">
      <c r="A189" t="s">
        <v>2690</v>
      </c>
      <c r="B189" t="s">
        <v>1662</v>
      </c>
      <c r="C189" t="s">
        <v>4798</v>
      </c>
      <c r="D189" t="s">
        <v>1657</v>
      </c>
      <c r="E189" t="s">
        <v>2609</v>
      </c>
      <c r="F189" t="str">
        <f t="shared" si="2"/>
        <v>"C:\Program Files\VideoLAN\VLC\vlc.exe" "https://stream-mz.planetradio.co.uk/net2salisbury.aac?aw_0_1st.skey=1667146332&amp;aw_0_1st.playerid=BMUK_ukrp"</v>
      </c>
      <c r="M189" t="str">
        <f>VLOOKUP(A189,logos!$A$2:$A$10004,1,FALSE)</f>
        <v>Greatest Hits Radio (South) (Salisbury)</v>
      </c>
    </row>
    <row r="190" spans="1:13" hidden="1" x14ac:dyDescent="0.55000000000000004">
      <c r="A190" t="s">
        <v>2692</v>
      </c>
      <c r="B190" t="s">
        <v>1662</v>
      </c>
      <c r="C190" t="s">
        <v>4803</v>
      </c>
      <c r="D190" t="s">
        <v>1657</v>
      </c>
      <c r="E190" t="s">
        <v>2609</v>
      </c>
      <c r="F190" t="str">
        <f t="shared" si="2"/>
        <v>"C:\Program Files\VideoLAN\VLC\vlc.exe" "https://stream-mz.planetradio.co.uk/net2surrey.aac?aw_0_1st.skey=1667146349&amp;aw_0_1st.playerid=BMUK_ukrp"</v>
      </c>
      <c r="M190" t="str">
        <f>VLOOKUP(A190,logos!$A$2:$A$10004,1,FALSE)</f>
        <v>Greatest Hits Radio (South) (Surrey &amp; East Hampshire)</v>
      </c>
    </row>
    <row r="191" spans="1:13" hidden="1" x14ac:dyDescent="0.55000000000000004">
      <c r="A191" t="s">
        <v>2693</v>
      </c>
      <c r="B191" t="s">
        <v>1662</v>
      </c>
      <c r="C191" t="s">
        <v>4807</v>
      </c>
      <c r="D191" t="s">
        <v>1657</v>
      </c>
      <c r="E191" t="s">
        <v>2609</v>
      </c>
      <c r="F191" t="str">
        <f t="shared" si="2"/>
        <v>"C:\Program Files\VideoLAN\VLC\vlc.exe" "https://stream-mz.planetradio.co.uk/net2sussex.aac?aw_0_1st.skey=1667146359&amp;aw_0_1st.playerid=BMUK_ukrp"</v>
      </c>
      <c r="M191" t="str">
        <f>VLOOKUP(A191,logos!$A$2:$A$10004,1,FALSE)</f>
        <v>Greatest Hits Radio (South) (West Sussex) (South)</v>
      </c>
    </row>
    <row r="192" spans="1:13" hidden="1" x14ac:dyDescent="0.55000000000000004">
      <c r="A192" t="s">
        <v>2702</v>
      </c>
      <c r="B192" t="s">
        <v>1662</v>
      </c>
      <c r="C192" t="s">
        <v>4778</v>
      </c>
      <c r="D192" t="s">
        <v>1657</v>
      </c>
      <c r="E192" t="s">
        <v>2609</v>
      </c>
      <c r="F192" t="str">
        <f t="shared" si="2"/>
        <v>"C:\Program Files\VideoLAN\VLC\vlc.exe" "https://stream.apollo.audio/gh0/hi/aac/?aw_0_1st.skey=1667146265&amp;aw_0_1st.playerid=BMUK_ukrp"</v>
      </c>
      <c r="M192" t="str">
        <f>VLOOKUP(A192,logos!$A$2:$A$10004,1,FALSE)</f>
        <v>Greatest Hits Radio (UK)</v>
      </c>
    </row>
    <row r="193" spans="1:13" hidden="1" x14ac:dyDescent="0.55000000000000004">
      <c r="A193" t="s">
        <v>2703</v>
      </c>
      <c r="B193" t="s">
        <v>1662</v>
      </c>
      <c r="C193" t="s">
        <v>4823</v>
      </c>
      <c r="D193" t="s">
        <v>1657</v>
      </c>
      <c r="E193" t="s">
        <v>2609</v>
      </c>
      <c r="F193" t="str">
        <f t="shared" si="2"/>
        <v>"C:\Program Files\VideoLAN\VLC\vlc.exe" "https://stream-mz.planetradio.co.uk/net2hull.aac?aw_0_1st.skey=1667319304&amp;aw_0_1st.playerid=BMUK_html5"</v>
      </c>
      <c r="M193" t="str">
        <f>VLOOKUP(A193,logos!$A$2:$A$10004,1,FALSE)</f>
        <v>Greatest Hits Radio (Yorkshire) (East Yorkshire &amp; Northern Lincolnshire)</v>
      </c>
    </row>
    <row r="194" spans="1:13" hidden="1" x14ac:dyDescent="0.55000000000000004">
      <c r="A194" t="s">
        <v>2704</v>
      </c>
      <c r="B194" t="s">
        <v>1662</v>
      </c>
      <c r="C194" t="s">
        <v>4786</v>
      </c>
      <c r="D194" t="s">
        <v>1657</v>
      </c>
      <c r="E194" t="s">
        <v>2609</v>
      </c>
      <c r="F194" t="str">
        <f t="shared" si="2"/>
        <v>"C:\Program Files\VideoLAN\VLC\vlc.exe" "https://stream-mz.planetradio.co.uk/net2grimsby.aac?aw_0_1st.skey=1667146291&amp;aw_0_1st.playerid=BMUK_ukrp"</v>
      </c>
      <c r="M194" t="str">
        <f>VLOOKUP(A194,logos!$A$2:$A$10004,1,FALSE)</f>
        <v>Greatest Hits Radio (Yorkshire) (Grimsby)</v>
      </c>
    </row>
    <row r="195" spans="1:13" hidden="1" x14ac:dyDescent="0.55000000000000004">
      <c r="A195" t="s">
        <v>2705</v>
      </c>
      <c r="B195" t="s">
        <v>1662</v>
      </c>
      <c r="C195" t="s">
        <v>4787</v>
      </c>
      <c r="D195" t="s">
        <v>1657</v>
      </c>
      <c r="E195" t="s">
        <v>2609</v>
      </c>
      <c r="F195" t="str">
        <f t="shared" ref="F195:F258" si="3">"""C:\Program Files\VideoLAN\VLC\vlc.exe"" """&amp;C195&amp;""""</f>
        <v>"C:\Program Files\VideoLAN\VLC\vlc.exe" "https://stream-mz.planetradio.co.uk/net2harrogate.aac?aw_0_1st.skey=1667146294&amp;aw_0_1st.playerid=BMUK_ukrp"</v>
      </c>
      <c r="M195" t="str">
        <f>VLOOKUP(A195,logos!$A$2:$A$10004,1,FALSE)</f>
        <v>Greatest Hits Radio (Yorkshire) (Harrogate &amp; the Yorkshire Dales) (Harrogate)</v>
      </c>
    </row>
    <row r="196" spans="1:13" hidden="1" x14ac:dyDescent="0.55000000000000004">
      <c r="A196" t="s">
        <v>2706</v>
      </c>
      <c r="B196" t="s">
        <v>1662</v>
      </c>
      <c r="C196" t="s">
        <v>4791</v>
      </c>
      <c r="D196" t="s">
        <v>1657</v>
      </c>
      <c r="E196" t="s">
        <v>2609</v>
      </c>
      <c r="F196" t="str">
        <f t="shared" si="3"/>
        <v>"C:\Program Files\VideoLAN\VLC\vlc.exe" "https://stream-mz.planetradio.co.uk/net2lincoln.aac?aw_0_1st.skey=1667146309&amp;aw_0_1st.playerid=BMUK_ukrp"</v>
      </c>
      <c r="M196" t="str">
        <f>VLOOKUP(A196,logos!$A$2:$A$10004,1,FALSE)</f>
        <v>Greatest Hits Radio (Yorkshire) (Lincolnshire)</v>
      </c>
    </row>
    <row r="197" spans="1:13" hidden="1" x14ac:dyDescent="0.55000000000000004">
      <c r="A197" t="s">
        <v>2708</v>
      </c>
      <c r="B197" t="s">
        <v>1662</v>
      </c>
      <c r="C197" t="s">
        <v>4799</v>
      </c>
      <c r="D197" t="s">
        <v>1657</v>
      </c>
      <c r="E197" t="s">
        <v>2609</v>
      </c>
      <c r="F197" t="str">
        <f t="shared" si="3"/>
        <v>"C:\Program Files\VideoLAN\VLC\vlc.exe" "https://stream-mz.planetradio.co.uk/magicam.aac?aw_0_1st.skey=1667146335&amp;aw_0_1st.playerid=BMUK_ukrp"</v>
      </c>
      <c r="M197" t="str">
        <f>VLOOKUP(A197,logos!$A$2:$A$10004,1,FALSE)</f>
        <v>Greatest Hits Radio (Yorkshire) (South Yorkshire)</v>
      </c>
    </row>
    <row r="198" spans="1:13" hidden="1" x14ac:dyDescent="0.55000000000000004">
      <c r="A198" t="s">
        <v>2709</v>
      </c>
      <c r="B198" t="s">
        <v>1662</v>
      </c>
      <c r="C198" t="s">
        <v>4790</v>
      </c>
      <c r="D198" t="s">
        <v>1657</v>
      </c>
      <c r="E198" t="s">
        <v>2609</v>
      </c>
      <c r="F198" t="str">
        <f t="shared" si="3"/>
        <v>"C:\Program Files\VideoLAN\VLC\vlc.exe" "https://stream-mz.planetradio.co.uk/magic828.aac?aw_0_1st.skey=1667146303&amp;aw_0_1st.playerid=BMUK_ukrp"</v>
      </c>
      <c r="M198" t="str">
        <f>VLOOKUP(A198,logos!$A$2:$A$10004,1,FALSE)</f>
        <v>Greatest Hits Radio (Yorkshire) (West Yorkshire) (Leeds)</v>
      </c>
    </row>
    <row r="199" spans="1:13" hidden="1" x14ac:dyDescent="0.55000000000000004">
      <c r="A199" t="s">
        <v>2710</v>
      </c>
      <c r="B199" t="s">
        <v>1662</v>
      </c>
      <c r="C199" t="s">
        <v>4824</v>
      </c>
      <c r="D199" t="s">
        <v>1657</v>
      </c>
      <c r="E199" t="s">
        <v>2609</v>
      </c>
      <c r="F199" t="str">
        <f t="shared" si="3"/>
        <v>"C:\Program Files\VideoLAN\VLC\vlc.exe" "https://stream-mz.planetradio.co.uk/net2york.aac?aw_0_1st.skey=1667319449&amp;aw_0_1st.playerid=BMUK_html5"</v>
      </c>
      <c r="M199" t="str">
        <f>VLOOKUP(A199,logos!$A$2:$A$10004,1,FALSE)</f>
        <v>Greatest Hits Radio (Yorkshire) (York &amp; North Yorkshire) (York)</v>
      </c>
    </row>
    <row r="200" spans="1:13" hidden="1" x14ac:dyDescent="0.55000000000000004">
      <c r="A200" t="s">
        <v>2711</v>
      </c>
      <c r="B200" t="s">
        <v>1662</v>
      </c>
      <c r="C200" t="s">
        <v>4810</v>
      </c>
      <c r="D200" t="s">
        <v>1657</v>
      </c>
      <c r="E200" t="s">
        <v>2609</v>
      </c>
      <c r="F200" t="str">
        <f t="shared" si="3"/>
        <v>"C:\Program Files\VideoLAN\VLC\vlc.exe" "https://stream-mz.planetradio.co.uk/net2yorkshirecoast.aac?aw_0_1st.skey=1667146368&amp;aw_0_1st.playerid=BMUK_ukrp"</v>
      </c>
      <c r="M200" t="str">
        <f>VLOOKUP(A200,logos!$A$2:$A$10004,1,FALSE)</f>
        <v>Greatest Hits Radio (Yorkshire) (Yorkshire Coast) (Scarborough)</v>
      </c>
    </row>
    <row r="201" spans="1:13" hidden="1" x14ac:dyDescent="0.55000000000000004">
      <c r="A201" t="s">
        <v>566</v>
      </c>
      <c r="B201" t="s">
        <v>1662</v>
      </c>
      <c r="C201" t="s">
        <v>1882</v>
      </c>
      <c r="D201" t="s">
        <v>1657</v>
      </c>
      <c r="E201" t="s">
        <v>2609</v>
      </c>
      <c r="F201" t="str">
        <f t="shared" si="3"/>
        <v>"C:\Program Files\VideoLAN\VLC\vlc.exe" "http://edge-bauerall-01-gos2.sharp-stream.com/hallam.aac?aw_0_1st.skey=1666797708"</v>
      </c>
      <c r="M201" t="str">
        <f>VLOOKUP(A201,logos!$A$2:$A$10004,1,FALSE)</f>
        <v>Hallam FM</v>
      </c>
    </row>
    <row r="202" spans="1:13" hidden="1" x14ac:dyDescent="0.55000000000000004">
      <c r="A202" t="s">
        <v>2712</v>
      </c>
      <c r="B202" t="s">
        <v>1662</v>
      </c>
      <c r="C202" t="s">
        <v>1883</v>
      </c>
      <c r="D202" t="s">
        <v>1657</v>
      </c>
      <c r="E202" t="s">
        <v>2609</v>
      </c>
      <c r="F202" t="str">
        <f t="shared" si="3"/>
        <v>"C:\Program Files\VideoLAN\VLC\vlc.exe" "http://icecast.thisisdax.com/HeartBedfordshire"</v>
      </c>
      <c r="M202" t="str">
        <f>VLOOKUP(A202,logos!$A$2:$A$10004,1,FALSE)</f>
        <v>Heart (East) (Bedfordshire)</v>
      </c>
    </row>
    <row r="203" spans="1:13" hidden="1" x14ac:dyDescent="0.55000000000000004">
      <c r="A203" t="s">
        <v>2713</v>
      </c>
      <c r="B203" t="s">
        <v>1662</v>
      </c>
      <c r="C203" t="s">
        <v>1884</v>
      </c>
      <c r="D203" t="s">
        <v>1657</v>
      </c>
      <c r="E203" t="s">
        <v>2609</v>
      </c>
      <c r="F203" t="str">
        <f t="shared" si="3"/>
        <v>"C:\Program Files\VideoLAN\VLC\vlc.exe" "http://icecast.thisisdax.com/HeartBedsBucksHerts"</v>
      </c>
      <c r="M203" t="str">
        <f>VLOOKUP(A203,logos!$A$2:$A$10004,1,FALSE)</f>
        <v>Heart (East) (Beds, Bucks &amp; Herts)</v>
      </c>
    </row>
    <row r="204" spans="1:13" hidden="1" x14ac:dyDescent="0.55000000000000004">
      <c r="A204" t="s">
        <v>2714</v>
      </c>
      <c r="B204" t="s">
        <v>1662</v>
      </c>
      <c r="C204" t="s">
        <v>1885</v>
      </c>
      <c r="D204" t="s">
        <v>1657</v>
      </c>
      <c r="E204" t="s">
        <v>2609</v>
      </c>
      <c r="F204" t="str">
        <f t="shared" si="3"/>
        <v>"C:\Program Files\VideoLAN\VLC\vlc.exe" "http://icecast.thisisdax.com/HeartCambridge"</v>
      </c>
      <c r="M204" t="str">
        <f>VLOOKUP(A204,logos!$A$2:$A$10004,1,FALSE)</f>
        <v>Heart (East) (Cambridge &amp; Newmarket)</v>
      </c>
    </row>
    <row r="205" spans="1:13" hidden="1" x14ac:dyDescent="0.55000000000000004">
      <c r="A205" t="s">
        <v>2715</v>
      </c>
      <c r="B205" t="s">
        <v>1662</v>
      </c>
      <c r="C205" t="s">
        <v>1886</v>
      </c>
      <c r="D205" t="s">
        <v>1657</v>
      </c>
      <c r="E205" t="s">
        <v>2609</v>
      </c>
      <c r="F205" t="str">
        <f t="shared" si="3"/>
        <v>"C:\Program Files\VideoLAN\VLC\vlc.exe" "http://icecast.thisisdax.com/HeartColchester"</v>
      </c>
      <c r="M205" t="str">
        <f>VLOOKUP(A205,logos!$A$2:$A$10004,1,FALSE)</f>
        <v>Heart (East) (Colchester)</v>
      </c>
    </row>
    <row r="206" spans="1:13" hidden="1" x14ac:dyDescent="0.55000000000000004">
      <c r="A206" t="s">
        <v>2716</v>
      </c>
      <c r="B206" t="s">
        <v>1662</v>
      </c>
      <c r="C206" t="s">
        <v>1887</v>
      </c>
      <c r="D206" t="s">
        <v>1657</v>
      </c>
      <c r="E206" t="s">
        <v>2609</v>
      </c>
      <c r="F206" t="str">
        <f t="shared" si="3"/>
        <v>"C:\Program Files\VideoLAN\VLC\vlc.exe" "http://icecast.thisisdax.com/HeartPeterborough"</v>
      </c>
      <c r="M206" t="str">
        <f>VLOOKUP(A206,logos!$A$2:$A$10004,1,FALSE)</f>
        <v>Heart (East) (Greater Peterborough)</v>
      </c>
    </row>
    <row r="207" spans="1:13" hidden="1" x14ac:dyDescent="0.55000000000000004">
      <c r="A207" t="s">
        <v>2717</v>
      </c>
      <c r="B207" t="s">
        <v>1662</v>
      </c>
      <c r="C207" t="s">
        <v>1888</v>
      </c>
      <c r="D207" t="s">
        <v>1657</v>
      </c>
      <c r="E207" t="s">
        <v>2609</v>
      </c>
      <c r="F207" t="str">
        <f t="shared" si="3"/>
        <v>"C:\Program Files\VideoLAN\VLC\vlc.exe" "http://icecast.thisisdax.com/HeartHarlow"</v>
      </c>
      <c r="M207" t="str">
        <f>VLOOKUP(A207,logos!$A$2:$A$10004,1,FALSE)</f>
        <v>Heart (East) (Harlow)</v>
      </c>
    </row>
    <row r="208" spans="1:13" hidden="1" x14ac:dyDescent="0.55000000000000004">
      <c r="A208" t="s">
        <v>2718</v>
      </c>
      <c r="B208" t="s">
        <v>1662</v>
      </c>
      <c r="C208" t="s">
        <v>1889</v>
      </c>
      <c r="D208" t="s">
        <v>1657</v>
      </c>
      <c r="E208" t="s">
        <v>2609</v>
      </c>
      <c r="F208" t="str">
        <f t="shared" si="3"/>
        <v>"C:\Program Files\VideoLAN\VLC\vlc.exe" "http://icecast.thisisdax.com/HeartMiltonKeynes"</v>
      </c>
      <c r="M208" t="str">
        <f>VLOOKUP(A208,logos!$A$2:$A$10004,1,FALSE)</f>
        <v>Heart (East) (Milton Keynes)</v>
      </c>
    </row>
    <row r="209" spans="1:13" hidden="1" x14ac:dyDescent="0.55000000000000004">
      <c r="A209" t="s">
        <v>2719</v>
      </c>
      <c r="B209" t="s">
        <v>1662</v>
      </c>
      <c r="C209" t="s">
        <v>1890</v>
      </c>
      <c r="D209" t="s">
        <v>1657</v>
      </c>
      <c r="E209" t="s">
        <v>2609</v>
      </c>
      <c r="F209" t="str">
        <f t="shared" si="3"/>
        <v>"C:\Program Files\VideoLAN\VLC\vlc.exe" "http://icecast.thisisdax.com/HeartNorfolk"</v>
      </c>
      <c r="M209" t="str">
        <f>VLOOKUP(A209,logos!$A$2:$A$10004,1,FALSE)</f>
        <v>Heart (East) (Norfolk &amp; North Suffolk)</v>
      </c>
    </row>
    <row r="210" spans="1:13" hidden="1" x14ac:dyDescent="0.55000000000000004">
      <c r="A210" t="s">
        <v>2720</v>
      </c>
      <c r="B210" t="s">
        <v>1662</v>
      </c>
      <c r="C210" t="s">
        <v>1891</v>
      </c>
      <c r="D210" t="s">
        <v>1657</v>
      </c>
      <c r="E210" t="s">
        <v>2609</v>
      </c>
      <c r="F210" t="str">
        <f t="shared" si="3"/>
        <v>"C:\Program Files\VideoLAN\VLC\vlc.exe" "http://icecast.thisisdax.com/HeartNorthamptonshire"</v>
      </c>
      <c r="M210" t="str">
        <f>VLOOKUP(A210,logos!$A$2:$A$10004,1,FALSE)</f>
        <v>Heart (East) (Northamptonshire)</v>
      </c>
    </row>
    <row r="211" spans="1:13" hidden="1" x14ac:dyDescent="0.55000000000000004">
      <c r="A211" t="s">
        <v>2721</v>
      </c>
      <c r="B211" t="s">
        <v>1662</v>
      </c>
      <c r="C211" t="s">
        <v>1892</v>
      </c>
      <c r="D211" t="s">
        <v>1657</v>
      </c>
      <c r="E211" t="s">
        <v>2609</v>
      </c>
      <c r="F211" t="str">
        <f t="shared" si="3"/>
        <v>"C:\Program Files\VideoLAN\VLC\vlc.exe" "http://icecast.thisisdax.com/HeartEssex"</v>
      </c>
      <c r="M211" t="str">
        <f>VLOOKUP(A211,logos!$A$2:$A$10004,1,FALSE)</f>
        <v>Heart (East) (Southend &amp; Chelmsford)</v>
      </c>
    </row>
    <row r="212" spans="1:13" hidden="1" x14ac:dyDescent="0.55000000000000004">
      <c r="A212" t="s">
        <v>2722</v>
      </c>
      <c r="B212" t="s">
        <v>1662</v>
      </c>
      <c r="C212" t="s">
        <v>1893</v>
      </c>
      <c r="D212" t="s">
        <v>1657</v>
      </c>
      <c r="E212" t="s">
        <v>2609</v>
      </c>
      <c r="F212" t="str">
        <f t="shared" si="3"/>
        <v>"C:\Program Files\VideoLAN\VLC\vlc.exe" "http://icecast.thisisdax.com/HeartSuffolk"</v>
      </c>
      <c r="M212" t="str">
        <f>VLOOKUP(A212,logos!$A$2:$A$10004,1,FALSE)</f>
        <v>Heart (East) (Suffolk)</v>
      </c>
    </row>
    <row r="213" spans="1:13" hidden="1" x14ac:dyDescent="0.55000000000000004">
      <c r="A213" t="s">
        <v>2723</v>
      </c>
      <c r="B213" t="s">
        <v>1662</v>
      </c>
      <c r="C213" t="s">
        <v>1894</v>
      </c>
      <c r="D213" t="s">
        <v>1657</v>
      </c>
      <c r="E213" t="s">
        <v>2609</v>
      </c>
      <c r="F213" t="str">
        <f t="shared" si="3"/>
        <v>"C:\Program Files\VideoLAN\VLC\vlc.exe" "http://icecast.thisisdax.com/HeartHertsNorth"</v>
      </c>
      <c r="M213" t="str">
        <f>VLOOKUP(A213,logos!$A$2:$A$10004,1,FALSE)</f>
        <v>Heart (Hertfordshire) (North)</v>
      </c>
    </row>
    <row r="214" spans="1:13" hidden="1" x14ac:dyDescent="0.55000000000000004">
      <c r="A214" t="s">
        <v>2724</v>
      </c>
      <c r="B214" t="s">
        <v>1662</v>
      </c>
      <c r="C214" t="s">
        <v>1895</v>
      </c>
      <c r="D214" t="s">
        <v>1657</v>
      </c>
      <c r="E214" t="s">
        <v>2609</v>
      </c>
      <c r="F214" t="str">
        <f t="shared" si="3"/>
        <v>"C:\Program Files\VideoLAN\VLC\vlc.exe" "http://icecast.thisisdax.com/HeartWatford"</v>
      </c>
      <c r="M214" t="str">
        <f>VLOOKUP(A214,logos!$A$2:$A$10004,1,FALSE)</f>
        <v>Heart (Hertfordshire) (Watford &amp; Hemel)</v>
      </c>
    </row>
    <row r="215" spans="1:13" hidden="1" x14ac:dyDescent="0.55000000000000004">
      <c r="A215" t="s">
        <v>2725</v>
      </c>
      <c r="B215" t="s">
        <v>1662</v>
      </c>
      <c r="C215" t="s">
        <v>1896</v>
      </c>
      <c r="D215" t="s">
        <v>1657</v>
      </c>
      <c r="E215" t="s">
        <v>2609</v>
      </c>
      <c r="F215" t="str">
        <f t="shared" si="3"/>
        <v>"C:\Program Files\VideoLAN\VLC\vlc.exe" "http://icecast.thisisdax.com/HeartLondon"</v>
      </c>
      <c r="M215" t="str">
        <f>VLOOKUP(A215,logos!$A$2:$A$10004,1,FALSE)</f>
        <v>Heart (London)</v>
      </c>
    </row>
    <row r="216" spans="1:13" hidden="1" x14ac:dyDescent="0.55000000000000004">
      <c r="A216" t="s">
        <v>2726</v>
      </c>
      <c r="B216" t="s">
        <v>1662</v>
      </c>
      <c r="C216" t="s">
        <v>1897</v>
      </c>
      <c r="D216" t="s">
        <v>1657</v>
      </c>
      <c r="E216" t="s">
        <v>2609</v>
      </c>
      <c r="F216" t="str">
        <f t="shared" si="3"/>
        <v>"C:\Program Files\VideoLAN\VLC\vlc.exe" "http://icecast.thisisdax.com/HeartNorthWales"</v>
      </c>
      <c r="M216" t="str">
        <f>VLOOKUP(A216,logos!$A$2:$A$10004,1,FALSE)</f>
        <v>Heart (North &amp; Mid Wales)</v>
      </c>
    </row>
    <row r="217" spans="1:13" hidden="1" x14ac:dyDescent="0.55000000000000004">
      <c r="A217" t="s">
        <v>2727</v>
      </c>
      <c r="B217" t="s">
        <v>1662</v>
      </c>
      <c r="C217" t="s">
        <v>1898</v>
      </c>
      <c r="D217" t="s">
        <v>1657</v>
      </c>
      <c r="E217" t="s">
        <v>2609</v>
      </c>
      <c r="F217" t="str">
        <f t="shared" si="3"/>
        <v>"C:\Program Files\VideoLAN\VLC\vlc.exe" "http://icecast.thisisdax.com/HeartTeesside"</v>
      </c>
      <c r="M217" t="str">
        <f>VLOOKUP(A217,logos!$A$2:$A$10004,1,FALSE)</f>
        <v>Heart (North East England) (Teesside)</v>
      </c>
    </row>
    <row r="218" spans="1:13" hidden="1" x14ac:dyDescent="0.55000000000000004">
      <c r="A218" t="s">
        <v>2728</v>
      </c>
      <c r="B218" t="s">
        <v>1662</v>
      </c>
      <c r="C218" t="s">
        <v>1899</v>
      </c>
      <c r="D218" t="s">
        <v>1657</v>
      </c>
      <c r="E218" t="s">
        <v>2609</v>
      </c>
      <c r="F218" t="str">
        <f t="shared" si="3"/>
        <v>"C:\Program Files\VideoLAN\VLC\vlc.exe" "http://icecast.thisisdax.com/HeartTyneWear"</v>
      </c>
      <c r="M218" t="str">
        <f>VLOOKUP(A218,logos!$A$2:$A$10004,1,FALSE)</f>
        <v>Heart (North East England) (Tyne &amp; Wear)</v>
      </c>
    </row>
    <row r="219" spans="1:13" hidden="1" x14ac:dyDescent="0.55000000000000004">
      <c r="A219" t="s">
        <v>2729</v>
      </c>
      <c r="B219" t="s">
        <v>1662</v>
      </c>
      <c r="C219" t="s">
        <v>1900</v>
      </c>
      <c r="D219" t="s">
        <v>1657</v>
      </c>
      <c r="E219" t="s">
        <v>2609</v>
      </c>
      <c r="F219" t="str">
        <f t="shared" si="3"/>
        <v>"C:\Program Files\VideoLAN\VLC\vlc.exe" "http://icecast.thisisdax.com/HeartNorthLancsCumbria"</v>
      </c>
      <c r="M219" t="str">
        <f>VLOOKUP(A219,logos!$A$2:$A$10004,1,FALSE)</f>
        <v>Heart (North West England) (North Lancashire &amp; Cumbria)</v>
      </c>
    </row>
    <row r="220" spans="1:13" hidden="1" x14ac:dyDescent="0.55000000000000004">
      <c r="A220" t="s">
        <v>2730</v>
      </c>
      <c r="B220" t="s">
        <v>1662</v>
      </c>
      <c r="C220" t="s">
        <v>1901</v>
      </c>
      <c r="D220" t="s">
        <v>1657</v>
      </c>
      <c r="E220" t="s">
        <v>2609</v>
      </c>
      <c r="F220" t="str">
        <f t="shared" si="3"/>
        <v>"C:\Program Files\VideoLAN\VLC\vlc.exe" "http://icecast.thisisdax.com/HeartNorthWest"</v>
      </c>
      <c r="M220" t="str">
        <f>VLOOKUP(A220,logos!$A$2:$A$10004,1,FALSE)</f>
        <v>Heart (North West England) (North West England)</v>
      </c>
    </row>
    <row r="221" spans="1:13" hidden="1" x14ac:dyDescent="0.55000000000000004">
      <c r="A221" t="s">
        <v>2731</v>
      </c>
      <c r="B221" t="s">
        <v>1662</v>
      </c>
      <c r="C221" t="s">
        <v>1902</v>
      </c>
      <c r="D221" t="s">
        <v>1657</v>
      </c>
      <c r="E221" t="s">
        <v>2609</v>
      </c>
      <c r="F221" t="str">
        <f t="shared" si="3"/>
        <v>"C:\Program Files\VideoLAN\VLC\vlc.exe" "http://icecast.thisisdax.com/HeartEdinburgh"</v>
      </c>
      <c r="M221" t="str">
        <f>VLOOKUP(A221,logos!$A$2:$A$10004,1,FALSE)</f>
        <v>Heart (Scotland) (East)</v>
      </c>
    </row>
    <row r="222" spans="1:13" hidden="1" x14ac:dyDescent="0.55000000000000004">
      <c r="A222" t="s">
        <v>2732</v>
      </c>
      <c r="B222" t="s">
        <v>1662</v>
      </c>
      <c r="C222" t="s">
        <v>1903</v>
      </c>
      <c r="D222" t="s">
        <v>1657</v>
      </c>
      <c r="E222" t="s">
        <v>2609</v>
      </c>
      <c r="F222" t="str">
        <f t="shared" si="3"/>
        <v>"C:\Program Files\VideoLAN\VLC\vlc.exe" "http://icecast.thisisdax.com/HeartGlasgow"</v>
      </c>
      <c r="M222" t="str">
        <f>VLOOKUP(A222,logos!$A$2:$A$10004,1,FALSE)</f>
        <v>Heart (Scotland) (West)</v>
      </c>
    </row>
    <row r="223" spans="1:13" hidden="1" x14ac:dyDescent="0.55000000000000004">
      <c r="A223" t="s">
        <v>2740</v>
      </c>
      <c r="B223" t="s">
        <v>1662</v>
      </c>
      <c r="C223" t="s">
        <v>1911</v>
      </c>
      <c r="D223" t="s">
        <v>1657</v>
      </c>
      <c r="E223" t="s">
        <v>2609</v>
      </c>
      <c r="F223" t="str">
        <f t="shared" si="3"/>
        <v>"C:\Program Files\VideoLAN\VLC\vlc.exe" "http://icecast.thisisdax.com/HeartSouthWales"</v>
      </c>
      <c r="M223" t="str">
        <f>VLOOKUP(A223,logos!$A$2:$A$10004,1,FALSE)</f>
        <v>Heart (South Wales) (East)</v>
      </c>
    </row>
    <row r="224" spans="1:13" hidden="1" x14ac:dyDescent="0.55000000000000004">
      <c r="A224" t="s">
        <v>2741</v>
      </c>
      <c r="B224" t="s">
        <v>1662</v>
      </c>
      <c r="C224" t="s">
        <v>1912</v>
      </c>
      <c r="D224" t="s">
        <v>1657</v>
      </c>
      <c r="E224" t="s">
        <v>2609</v>
      </c>
      <c r="F224" t="str">
        <f t="shared" si="3"/>
        <v>"C:\Program Files\VideoLAN\VLC\vlc.exe" "http://icecast.thisisdax.com/HeartWestWales"</v>
      </c>
      <c r="M224" t="str">
        <f>VLOOKUP(A224,logos!$A$2:$A$10004,1,FALSE)</f>
        <v>Heart (South Wales) (West)</v>
      </c>
    </row>
    <row r="225" spans="1:13" hidden="1" x14ac:dyDescent="0.55000000000000004">
      <c r="A225" t="s">
        <v>2733</v>
      </c>
      <c r="B225" t="s">
        <v>1662</v>
      </c>
      <c r="C225" t="s">
        <v>1904</v>
      </c>
      <c r="D225" t="s">
        <v>1657</v>
      </c>
      <c r="E225" t="s">
        <v>2609</v>
      </c>
      <c r="F225" t="str">
        <f t="shared" si="3"/>
        <v>"C:\Program Files\VideoLAN\VLC\vlc.exe" "http://icecast.thisisdax.com/HeartBerkshire"</v>
      </c>
      <c r="M225" t="str">
        <f>VLOOKUP(A225,logos!$A$2:$A$10004,1,FALSE)</f>
        <v>Heart (South) (Berkshire &amp; North Hampshire)</v>
      </c>
    </row>
    <row r="226" spans="1:13" hidden="1" x14ac:dyDescent="0.55000000000000004">
      <c r="A226" t="s">
        <v>2734</v>
      </c>
      <c r="B226" t="s">
        <v>1662</v>
      </c>
      <c r="C226" t="s">
        <v>1905</v>
      </c>
      <c r="D226" t="s">
        <v>1657</v>
      </c>
      <c r="E226" t="s">
        <v>2609</v>
      </c>
      <c r="F226" t="str">
        <f t="shared" si="3"/>
        <v>"C:\Program Files\VideoLAN\VLC\vlc.exe" "http://icecast.thisisdax.com/HeartCrawley"</v>
      </c>
      <c r="M226" t="str">
        <f>VLOOKUP(A226,logos!$A$2:$A$10004,1,FALSE)</f>
        <v>Heart (South) (Crawley &amp; Surrey)</v>
      </c>
    </row>
    <row r="227" spans="1:13" hidden="1" x14ac:dyDescent="0.55000000000000004">
      <c r="A227" t="s">
        <v>2735</v>
      </c>
      <c r="B227" t="s">
        <v>1662</v>
      </c>
      <c r="C227" t="s">
        <v>1906</v>
      </c>
      <c r="D227" t="s">
        <v>1657</v>
      </c>
      <c r="E227" t="s">
        <v>2609</v>
      </c>
      <c r="F227" t="str">
        <f t="shared" si="3"/>
        <v>"C:\Program Files\VideoLAN\VLC\vlc.exe" "http://icecast.thisisdax.com/HeartDorset"</v>
      </c>
      <c r="M227" t="str">
        <f>VLOOKUP(A227,logos!$A$2:$A$10004,1,FALSE)</f>
        <v>Heart (South) (Dorset &amp; The New Forest)</v>
      </c>
    </row>
    <row r="228" spans="1:13" hidden="1" x14ac:dyDescent="0.55000000000000004">
      <c r="A228" t="s">
        <v>2736</v>
      </c>
      <c r="B228" t="s">
        <v>1662</v>
      </c>
      <c r="C228" t="s">
        <v>1907</v>
      </c>
      <c r="D228" t="s">
        <v>1657</v>
      </c>
      <c r="E228" t="s">
        <v>2609</v>
      </c>
      <c r="F228" t="str">
        <f t="shared" si="3"/>
        <v>"C:\Program Files\VideoLAN\VLC\vlc.exe" "http://icecast.thisisdax.com/HeartHampshire"</v>
      </c>
      <c r="M228" t="str">
        <f>VLOOKUP(A228,logos!$A$2:$A$10004,1,FALSE)</f>
        <v>Heart (South) (Hampshire &amp; West Sussex)</v>
      </c>
    </row>
    <row r="229" spans="1:13" hidden="1" x14ac:dyDescent="0.55000000000000004">
      <c r="A229" t="s">
        <v>2737</v>
      </c>
      <c r="B229" t="s">
        <v>1662</v>
      </c>
      <c r="C229" t="s">
        <v>1908</v>
      </c>
      <c r="D229" t="s">
        <v>1657</v>
      </c>
      <c r="E229" t="s">
        <v>2609</v>
      </c>
      <c r="F229" t="str">
        <f t="shared" si="3"/>
        <v>"C:\Program Files\VideoLAN\VLC\vlc.exe" "http://icecast.thisisdax.com/HeartKent"</v>
      </c>
      <c r="M229" t="str">
        <f>VLOOKUP(A229,logos!$A$2:$A$10004,1,FALSE)</f>
        <v>Heart (South) (Kent)</v>
      </c>
    </row>
    <row r="230" spans="1:13" hidden="1" x14ac:dyDescent="0.55000000000000004">
      <c r="A230" t="s">
        <v>2738</v>
      </c>
      <c r="B230" t="s">
        <v>1662</v>
      </c>
      <c r="C230" t="s">
        <v>1909</v>
      </c>
      <c r="D230" t="s">
        <v>1657</v>
      </c>
      <c r="E230" t="s">
        <v>2609</v>
      </c>
      <c r="F230" t="str">
        <f t="shared" si="3"/>
        <v>"C:\Program Files\VideoLAN\VLC\vlc.exe" "http://icecast.thisisdax.com/HeartOxfordshire"</v>
      </c>
      <c r="M230" t="str">
        <f>VLOOKUP(A230,logos!$A$2:$A$10004,1,FALSE)</f>
        <v>Heart (South) (Oxfordshire)</v>
      </c>
    </row>
    <row r="231" spans="1:13" hidden="1" x14ac:dyDescent="0.55000000000000004">
      <c r="A231" t="s">
        <v>2739</v>
      </c>
      <c r="B231" t="s">
        <v>1662</v>
      </c>
      <c r="C231" t="s">
        <v>1910</v>
      </c>
      <c r="D231" t="s">
        <v>1657</v>
      </c>
      <c r="E231" t="s">
        <v>2609</v>
      </c>
      <c r="F231" t="str">
        <f t="shared" si="3"/>
        <v>"C:\Program Files\VideoLAN\VLC\vlc.exe" "http://icecast.thisisdax.com/HeartSussex"</v>
      </c>
      <c r="M231" t="str">
        <f>VLOOKUP(A231,logos!$A$2:$A$10004,1,FALSE)</f>
        <v>Heart (South) (Sussex)</v>
      </c>
    </row>
    <row r="232" spans="1:13" hidden="1" x14ac:dyDescent="0.55000000000000004">
      <c r="A232" t="s">
        <v>2742</v>
      </c>
      <c r="B232" t="s">
        <v>1662</v>
      </c>
      <c r="C232" t="s">
        <v>1913</v>
      </c>
      <c r="D232" t="s">
        <v>1657</v>
      </c>
      <c r="E232" t="s">
        <v>2609</v>
      </c>
      <c r="F232" t="str">
        <f t="shared" si="3"/>
        <v>"C:\Program Files\VideoLAN\VLC\vlc.exe" "http://icecast.thisisdax.com/HeartUK"</v>
      </c>
      <c r="M232" t="str">
        <f>VLOOKUP(A232,logos!$A$2:$A$10004,1,FALSE)</f>
        <v>Heart (UK)</v>
      </c>
    </row>
    <row r="233" spans="1:13" hidden="1" x14ac:dyDescent="0.55000000000000004">
      <c r="A233" t="s">
        <v>2754</v>
      </c>
      <c r="B233" t="s">
        <v>1662</v>
      </c>
      <c r="C233" t="s">
        <v>1926</v>
      </c>
      <c r="D233" t="s">
        <v>1657</v>
      </c>
      <c r="E233" t="s">
        <v>2609</v>
      </c>
      <c r="F233" t="str">
        <f t="shared" si="3"/>
        <v>"C:\Program Files\VideoLAN\VLC\vlc.exe" "http://icecast.thisisdax.com/HeartWestMids"</v>
      </c>
      <c r="M233" t="str">
        <f>VLOOKUP(A233,logos!$A$2:$A$10004,1,FALSE)</f>
        <v>Heart (West Midlands)</v>
      </c>
    </row>
    <row r="234" spans="1:13" hidden="1" x14ac:dyDescent="0.55000000000000004">
      <c r="A234" t="s">
        <v>2743</v>
      </c>
      <c r="B234" t="s">
        <v>1662</v>
      </c>
      <c r="C234" t="s">
        <v>1915</v>
      </c>
      <c r="D234" t="s">
        <v>1657</v>
      </c>
      <c r="E234" t="s">
        <v>2609</v>
      </c>
      <c r="F234" t="str">
        <f t="shared" si="3"/>
        <v>"C:\Program Files\VideoLAN\VLC\vlc.exe" "http://icecast.thisisdax.com/HeartBath"</v>
      </c>
      <c r="M234" t="str">
        <f>VLOOKUP(A234,logos!$A$2:$A$10004,1,FALSE)</f>
        <v>Heart (West) (Bath)</v>
      </c>
    </row>
    <row r="235" spans="1:13" hidden="1" x14ac:dyDescent="0.55000000000000004">
      <c r="A235" t="s">
        <v>2744</v>
      </c>
      <c r="B235" t="s">
        <v>1662</v>
      </c>
      <c r="C235" t="s">
        <v>1916</v>
      </c>
      <c r="D235" t="s">
        <v>1657</v>
      </c>
      <c r="E235" t="s">
        <v>2609</v>
      </c>
      <c r="F235" t="str">
        <f t="shared" si="3"/>
        <v>"C:\Program Files\VideoLAN\VLC\vlc.exe" "http://icecast.thisisdax.com/HeartBristol"</v>
      </c>
      <c r="M235" t="str">
        <f>VLOOKUP(A235,logos!$A$2:$A$10004,1,FALSE)</f>
        <v>Heart (West) (Bristol)</v>
      </c>
    </row>
    <row r="236" spans="1:13" hidden="1" x14ac:dyDescent="0.55000000000000004">
      <c r="A236" t="s">
        <v>2745</v>
      </c>
      <c r="B236" t="s">
        <v>1662</v>
      </c>
      <c r="C236" t="s">
        <v>1917</v>
      </c>
      <c r="D236" t="s">
        <v>1657</v>
      </c>
      <c r="E236" t="s">
        <v>2609</v>
      </c>
      <c r="F236" t="str">
        <f t="shared" si="3"/>
        <v>"C:\Program Files\VideoLAN\VLC\vlc.exe" "http://icecast.thisisdax.com/HeartCornwall"</v>
      </c>
      <c r="M236" t="str">
        <f>VLOOKUP(A236,logos!$A$2:$A$10004,1,FALSE)</f>
        <v>Heart (West) (Cornwall)</v>
      </c>
    </row>
    <row r="237" spans="1:13" hidden="1" x14ac:dyDescent="0.55000000000000004">
      <c r="A237" t="s">
        <v>2746</v>
      </c>
      <c r="B237" t="s">
        <v>1662</v>
      </c>
      <c r="C237" t="s">
        <v>1918</v>
      </c>
      <c r="D237" t="s">
        <v>1657</v>
      </c>
      <c r="E237" t="s">
        <v>2609</v>
      </c>
      <c r="F237" t="str">
        <f t="shared" si="3"/>
        <v>"C:\Program Files\VideoLAN\VLC\vlc.exe" "http://icecast.thisisdax.com/HeartEastDevon"</v>
      </c>
      <c r="M237" t="str">
        <f>VLOOKUP(A237,logos!$A$2:$A$10004,1,FALSE)</f>
        <v>Heart (West) (Exeter &amp; East Devon)</v>
      </c>
    </row>
    <row r="238" spans="1:13" hidden="1" x14ac:dyDescent="0.55000000000000004">
      <c r="A238" t="s">
        <v>2747</v>
      </c>
      <c r="B238" t="s">
        <v>1662</v>
      </c>
      <c r="C238" t="s">
        <v>1919</v>
      </c>
      <c r="D238" t="s">
        <v>1657</v>
      </c>
      <c r="E238" t="s">
        <v>2609</v>
      </c>
      <c r="F238" t="str">
        <f t="shared" si="3"/>
        <v>"C:\Program Files\VideoLAN\VLC\vlc.exe" "http://icecast.thisisdax.com/HeartGloucestershire"</v>
      </c>
      <c r="M238" t="str">
        <f>VLOOKUP(A238,logos!$A$2:$A$10004,1,FALSE)</f>
        <v>Heart (West) (Gloucestershire)</v>
      </c>
    </row>
    <row r="239" spans="1:13" hidden="1" x14ac:dyDescent="0.55000000000000004">
      <c r="A239" t="s">
        <v>2748</v>
      </c>
      <c r="B239" t="s">
        <v>1662</v>
      </c>
      <c r="C239" t="s">
        <v>1920</v>
      </c>
      <c r="D239" t="s">
        <v>1657</v>
      </c>
      <c r="E239" t="s">
        <v>2609</v>
      </c>
      <c r="F239" t="str">
        <f t="shared" si="3"/>
        <v>"C:\Program Files\VideoLAN\VLC\vlc.exe" "http://icecast.thisisdax.com/HeartNorthDevon"</v>
      </c>
      <c r="M239" t="str">
        <f>VLOOKUP(A239,logos!$A$2:$A$10004,1,FALSE)</f>
        <v>Heart (West) (North Devon)</v>
      </c>
    </row>
    <row r="240" spans="1:13" hidden="1" x14ac:dyDescent="0.55000000000000004">
      <c r="A240" t="s">
        <v>2749</v>
      </c>
      <c r="B240" t="s">
        <v>1662</v>
      </c>
      <c r="C240" t="s">
        <v>1921</v>
      </c>
      <c r="D240" t="s">
        <v>1657</v>
      </c>
      <c r="E240" t="s">
        <v>2609</v>
      </c>
      <c r="F240" t="str">
        <f t="shared" si="3"/>
        <v>"C:\Program Files\VideoLAN\VLC\vlc.exe" "http://icecast.thisisdax.com/HeartPlymouth"</v>
      </c>
      <c r="M240" t="str">
        <f>VLOOKUP(A240,logos!$A$2:$A$10004,1,FALSE)</f>
        <v>Heart (West) (Plymouth)</v>
      </c>
    </row>
    <row r="241" spans="1:13" hidden="1" x14ac:dyDescent="0.55000000000000004">
      <c r="A241" t="s">
        <v>2750</v>
      </c>
      <c r="B241" t="s">
        <v>1662</v>
      </c>
      <c r="C241" t="s">
        <v>1922</v>
      </c>
      <c r="D241" t="s">
        <v>1657</v>
      </c>
      <c r="E241" t="s">
        <v>2609</v>
      </c>
      <c r="F241" t="str">
        <f t="shared" si="3"/>
        <v>"C:\Program Files\VideoLAN\VLC\vlc.exe" "http://icecast.thisisdax.com/HeartSomerset"</v>
      </c>
      <c r="M241" t="str">
        <f>VLOOKUP(A241,logos!$A$2:$A$10004,1,FALSE)</f>
        <v>Heart (West) (Somerset)</v>
      </c>
    </row>
    <row r="242" spans="1:13" hidden="1" x14ac:dyDescent="0.55000000000000004">
      <c r="A242" t="s">
        <v>2751</v>
      </c>
      <c r="B242" t="s">
        <v>1662</v>
      </c>
      <c r="C242" t="s">
        <v>1923</v>
      </c>
      <c r="D242" t="s">
        <v>1657</v>
      </c>
      <c r="E242" t="s">
        <v>2609</v>
      </c>
      <c r="F242" t="str">
        <f t="shared" si="3"/>
        <v>"C:\Program Files\VideoLAN\VLC\vlc.exe" "http://icecast.thisisdax.com/HeartSouthHams"</v>
      </c>
      <c r="M242" t="str">
        <f>VLOOKUP(A242,logos!$A$2:$A$10004,1,FALSE)</f>
        <v>Heart (West) (South Hams)</v>
      </c>
    </row>
    <row r="243" spans="1:13" hidden="1" x14ac:dyDescent="0.55000000000000004">
      <c r="A243" t="s">
        <v>2752</v>
      </c>
      <c r="B243" t="s">
        <v>1662</v>
      </c>
      <c r="C243" t="s">
        <v>1924</v>
      </c>
      <c r="D243" t="s">
        <v>1657</v>
      </c>
      <c r="E243" t="s">
        <v>2609</v>
      </c>
      <c r="F243" t="str">
        <f t="shared" si="3"/>
        <v>"C:\Program Files\VideoLAN\VLC\vlc.exe" "http://icecast.thisisdax.com/HeartTorbay"</v>
      </c>
      <c r="M243" t="str">
        <f>VLOOKUP(A243,logos!$A$2:$A$10004,1,FALSE)</f>
        <v>Heart (West) (Torbay)</v>
      </c>
    </row>
    <row r="244" spans="1:13" hidden="1" x14ac:dyDescent="0.55000000000000004">
      <c r="A244" t="s">
        <v>2753</v>
      </c>
      <c r="B244" t="s">
        <v>1662</v>
      </c>
      <c r="C244" t="s">
        <v>1925</v>
      </c>
      <c r="D244" t="s">
        <v>1657</v>
      </c>
      <c r="E244" t="s">
        <v>2609</v>
      </c>
      <c r="F244" t="str">
        <f t="shared" si="3"/>
        <v>"C:\Program Files\VideoLAN\VLC\vlc.exe" "http://icecast.thisisdax.com/HeartWiltshire"</v>
      </c>
      <c r="M244" t="str">
        <f>VLOOKUP(A244,logos!$A$2:$A$10004,1,FALSE)</f>
        <v>Heart (West) (Wiltshire)</v>
      </c>
    </row>
    <row r="245" spans="1:13" hidden="1" x14ac:dyDescent="0.55000000000000004">
      <c r="A245" t="s">
        <v>2755</v>
      </c>
      <c r="B245" t="s">
        <v>1662</v>
      </c>
      <c r="C245" t="s">
        <v>1927</v>
      </c>
      <c r="D245" t="s">
        <v>1657</v>
      </c>
      <c r="E245" t="s">
        <v>2609</v>
      </c>
      <c r="F245" t="str">
        <f t="shared" si="3"/>
        <v>"C:\Program Files\VideoLAN\VLC\vlc.exe" "http://icecast.thisisdax.com/HeartYorkshire"</v>
      </c>
      <c r="M245" t="str">
        <f>VLOOKUP(A245,logos!$A$2:$A$10004,1,FALSE)</f>
        <v>Heart (Yorkshire)</v>
      </c>
    </row>
    <row r="246" spans="1:13" hidden="1" x14ac:dyDescent="0.55000000000000004">
      <c r="A246" t="s">
        <v>671</v>
      </c>
      <c r="B246" t="s">
        <v>1662</v>
      </c>
      <c r="C246" t="s">
        <v>1931</v>
      </c>
      <c r="D246" t="s">
        <v>1657</v>
      </c>
      <c r="E246" t="s">
        <v>2609</v>
      </c>
      <c r="F246" t="str">
        <f t="shared" si="3"/>
        <v>"C:\Program Files\VideoLAN\VLC\vlc.exe" "http://icecast.thisisdax.com/Heart00s"</v>
      </c>
      <c r="M246" t="str">
        <f>VLOOKUP(A246,logos!$A$2:$A$10004,1,FALSE)</f>
        <v>Heart 00s</v>
      </c>
    </row>
    <row r="247" spans="1:13" hidden="1" x14ac:dyDescent="0.55000000000000004">
      <c r="A247" t="s">
        <v>665</v>
      </c>
      <c r="B247" t="s">
        <v>1662</v>
      </c>
      <c r="C247" t="s">
        <v>1928</v>
      </c>
      <c r="D247" t="s">
        <v>1657</v>
      </c>
      <c r="E247" t="s">
        <v>2609</v>
      </c>
      <c r="F247" t="str">
        <f t="shared" si="3"/>
        <v>"C:\Program Files\VideoLAN\VLC\vlc.exe" "http://icecast.thisisdax.com/Heart70s"</v>
      </c>
      <c r="M247" t="str">
        <f>VLOOKUP(A247,logos!$A$2:$A$10004,1,FALSE)</f>
        <v>Heart 70s</v>
      </c>
    </row>
    <row r="248" spans="1:13" hidden="1" x14ac:dyDescent="0.55000000000000004">
      <c r="A248" t="s">
        <v>667</v>
      </c>
      <c r="B248" t="s">
        <v>1662</v>
      </c>
      <c r="C248" t="s">
        <v>1929</v>
      </c>
      <c r="D248" t="s">
        <v>1657</v>
      </c>
      <c r="E248" t="s">
        <v>2609</v>
      </c>
      <c r="F248" t="str">
        <f t="shared" si="3"/>
        <v>"C:\Program Files\VideoLAN\VLC\vlc.exe" "http://icecast.thisisdax.com/Heart80s"</v>
      </c>
      <c r="M248" t="str">
        <f>VLOOKUP(A248,logos!$A$2:$A$10004,1,FALSE)</f>
        <v>Heart 80s</v>
      </c>
    </row>
    <row r="249" spans="1:13" hidden="1" x14ac:dyDescent="0.55000000000000004">
      <c r="A249" t="s">
        <v>669</v>
      </c>
      <c r="B249" t="s">
        <v>1662</v>
      </c>
      <c r="C249" t="s">
        <v>1930</v>
      </c>
      <c r="D249" t="s">
        <v>1657</v>
      </c>
      <c r="E249" t="s">
        <v>2609</v>
      </c>
      <c r="F249" t="str">
        <f t="shared" si="3"/>
        <v>"C:\Program Files\VideoLAN\VLC\vlc.exe" "http://icecast.thisisdax.com/Heart90s"</v>
      </c>
      <c r="M249" t="str">
        <f>VLOOKUP(A249,logos!$A$2:$A$10004,1,FALSE)</f>
        <v>Heart 90s</v>
      </c>
    </row>
    <row r="250" spans="1:13" hidden="1" x14ac:dyDescent="0.55000000000000004">
      <c r="A250" t="s">
        <v>673</v>
      </c>
      <c r="B250" t="s">
        <v>1662</v>
      </c>
      <c r="C250" t="s">
        <v>1932</v>
      </c>
      <c r="D250" t="s">
        <v>1657</v>
      </c>
      <c r="E250" t="s">
        <v>2609</v>
      </c>
      <c r="F250" t="str">
        <f t="shared" si="3"/>
        <v>"C:\Program Files\VideoLAN\VLC\vlc.exe" "http://icecast.thisisdax.com/HeartDance"</v>
      </c>
      <c r="M250" t="str">
        <f>VLOOKUP(A250,logos!$A$2:$A$10004,1,FALSE)</f>
        <v>Heart Dance</v>
      </c>
    </row>
    <row r="251" spans="1:13" hidden="1" x14ac:dyDescent="0.55000000000000004">
      <c r="A251" t="s">
        <v>675</v>
      </c>
      <c r="B251" t="s">
        <v>1662</v>
      </c>
      <c r="C251" t="s">
        <v>1933</v>
      </c>
      <c r="D251" t="s">
        <v>1657</v>
      </c>
      <c r="E251" t="s">
        <v>2609</v>
      </c>
      <c r="F251" t="str">
        <f t="shared" si="3"/>
        <v>"C:\Program Files\VideoLAN\VLC\vlc.exe" "http://icecast.thisisdax.com/HeartXmas"</v>
      </c>
      <c r="M251" t="str">
        <f>VLOOKUP(A251,logos!$A$2:$A$10004,1,FALSE)</f>
        <v>Heart Xmas</v>
      </c>
    </row>
    <row r="252" spans="1:13" hidden="1" x14ac:dyDescent="0.55000000000000004">
      <c r="A252" t="s">
        <v>681</v>
      </c>
      <c r="B252" t="s">
        <v>1662</v>
      </c>
      <c r="C252" t="s">
        <v>1935</v>
      </c>
      <c r="D252" t="s">
        <v>1657</v>
      </c>
      <c r="E252" t="s">
        <v>2609</v>
      </c>
      <c r="F252" t="str">
        <f t="shared" si="3"/>
        <v>"C:\Program Files\VideoLAN\VLC\vlc.exe" "http://edge-bauerall-01-gos2.sharp-stream.com/heat.aac?aw_0_1st.skey=1666797711"</v>
      </c>
      <c r="M252" t="str">
        <f>VLOOKUP(A252,logos!$A$2:$A$10004,1,FALSE)</f>
        <v>heat Radio</v>
      </c>
    </row>
    <row r="253" spans="1:13" hidden="1" x14ac:dyDescent="0.55000000000000004">
      <c r="A253" t="s">
        <v>2756</v>
      </c>
      <c r="B253" t="s">
        <v>1662</v>
      </c>
      <c r="C253" t="s">
        <v>4825</v>
      </c>
      <c r="D253" t="s">
        <v>1657</v>
      </c>
      <c r="E253" t="s">
        <v>2609</v>
      </c>
      <c r="F253" t="str">
        <f t="shared" si="3"/>
        <v>"C:\Program Files\VideoLAN\VLC\vlc.exe" "https://stream-mz.planetradio.co.uk/net1bournemouth.aac?aw_0_1st.skey=1667146450&amp;aw_0_1st.playerid=BMUK_ukrp"</v>
      </c>
      <c r="M253" t="str">
        <f>VLOOKUP(A253,logos!$A$2:$A$10004,1,FALSE)</f>
        <v>Hits Radio (Bristol &amp; the South West)</v>
      </c>
    </row>
    <row r="254" spans="1:13" hidden="1" x14ac:dyDescent="0.55000000000000004">
      <c r="A254" t="s">
        <v>3989</v>
      </c>
      <c r="B254" t="s">
        <v>1662</v>
      </c>
      <c r="C254" t="s">
        <v>4825</v>
      </c>
      <c r="E254" t="s">
        <v>2609</v>
      </c>
      <c r="F254" t="str">
        <f t="shared" si="3"/>
        <v>"C:\Program Files\VideoLAN\VLC\vlc.exe" "https://stream-mz.planetradio.co.uk/net1bournemouth.aac?aw_0_1st.skey=1667146450&amp;aw_0_1st.playerid=BMUK_ukrp"</v>
      </c>
      <c r="M254" t="str">
        <f>VLOOKUP(A254,logos!$A$2:$A$10004,1,FALSE)</f>
        <v>Hits Radio (Dorset)</v>
      </c>
    </row>
    <row r="255" spans="1:13" hidden="1" x14ac:dyDescent="0.55000000000000004">
      <c r="A255" t="s">
        <v>1604</v>
      </c>
      <c r="B255" t="s">
        <v>1662</v>
      </c>
      <c r="C255" t="s">
        <v>4829</v>
      </c>
      <c r="D255" t="s">
        <v>1657</v>
      </c>
      <c r="E255" t="s">
        <v>2609</v>
      </c>
      <c r="F255" t="str">
        <f t="shared" si="3"/>
        <v>"C:\Program Files\VideoLAN\VLC\vlc.exe" "https://stream-mz.planetradio.co.uk/net1london.aac?aw_0_1st.skey=1667320099&amp;aw_0_1st.playerid=BMUK_html5"</v>
      </c>
      <c r="M255" t="str">
        <f>VLOOKUP(A255,logos!$A$2:$A$10004,1,FALSE)</f>
        <v>Hits Radio (London)</v>
      </c>
    </row>
    <row r="256" spans="1:13" hidden="1" x14ac:dyDescent="0.55000000000000004">
      <c r="A256" t="s">
        <v>1605</v>
      </c>
      <c r="B256" t="s">
        <v>1662</v>
      </c>
      <c r="C256" t="s">
        <v>4826</v>
      </c>
      <c r="D256" t="s">
        <v>1657</v>
      </c>
      <c r="E256" t="s">
        <v>2609</v>
      </c>
      <c r="F256" t="str">
        <f t="shared" si="3"/>
        <v>"C:\Program Files\VideoLAN\VLC\vlc.exe" "https://stream-al.planetradio.co.uk/key.aac?aw_0_1st.skey=1667146453&amp;aw_0_1st.playerid=BMUK_ukrp"</v>
      </c>
      <c r="M256" t="str">
        <f>VLOOKUP(A256,logos!$A$2:$A$10004,1,FALSE)</f>
        <v>Hits Radio (Manchester)</v>
      </c>
    </row>
    <row r="257" spans="1:13" hidden="1" x14ac:dyDescent="0.55000000000000004">
      <c r="A257" t="s">
        <v>1606</v>
      </c>
      <c r="B257" t="s">
        <v>1662</v>
      </c>
      <c r="C257" t="s">
        <v>4832</v>
      </c>
      <c r="D257" t="s">
        <v>1657</v>
      </c>
      <c r="E257" t="s">
        <v>2609</v>
      </c>
      <c r="F257" t="str">
        <f t="shared" si="3"/>
        <v>"C:\Program Files\VideoLAN\VLC\vlc.exe" "https://stream-mz.planetradio.co.uk/net1northyorkshire.aac?aw_0_1st.skey=1667320433&amp;aw_0_1st.playerid=BMUK_html5"</v>
      </c>
      <c r="M257" t="str">
        <f>VLOOKUP(A257,logos!$A$2:$A$10004,1,FALSE)</f>
        <v>Hits Radio (North Yorkshire)</v>
      </c>
    </row>
    <row r="258" spans="1:13" hidden="1" x14ac:dyDescent="0.55000000000000004">
      <c r="A258" t="s">
        <v>4831</v>
      </c>
      <c r="B258" t="s">
        <v>1662</v>
      </c>
      <c r="C258" t="s">
        <v>4833</v>
      </c>
      <c r="D258" t="s">
        <v>1657</v>
      </c>
      <c r="E258" t="s">
        <v>2609</v>
      </c>
      <c r="F258" t="str">
        <f t="shared" si="3"/>
        <v>"C:\Program Files\VideoLAN\VLC\vlc.exe" "https://stream-al.planetradio.co.uk/hits.aac?aw_0_1st.skey=1667320494&amp;aw_0_1st.playerid=BMUK_html5"</v>
      </c>
      <c r="M258" t="str">
        <f>VLOOKUP(A258,logos!$A$2:$A$10004,1,FALSE)</f>
        <v>Hits Radio (South)</v>
      </c>
    </row>
    <row r="259" spans="1:13" hidden="1" x14ac:dyDescent="0.55000000000000004">
      <c r="A259" t="s">
        <v>1607</v>
      </c>
      <c r="B259" t="s">
        <v>1662</v>
      </c>
      <c r="C259" t="s">
        <v>4828</v>
      </c>
      <c r="D259" t="s">
        <v>1657</v>
      </c>
      <c r="E259" t="s">
        <v>2609</v>
      </c>
      <c r="F259" t="str">
        <f t="shared" ref="F259:F322" si="4">"""C:\Program Files\VideoLAN\VLC\vlc.exe"" """&amp;C259&amp;""""</f>
        <v>"C:\Program Files\VideoLAN\VLC\vlc.exe" "https://stream-mz.planetradio.co.uk/net1southcoast.aac?aw_0_1st.skey=1667146459&amp;aw_0_1st.playerid=BMUK_ukrp"</v>
      </c>
      <c r="M259" t="str">
        <f>VLOOKUP(A259,logos!$A$2:$A$10004,1,FALSE)</f>
        <v>Hits Radio (South Coast)</v>
      </c>
    </row>
    <row r="260" spans="1:13" hidden="1" x14ac:dyDescent="0.55000000000000004">
      <c r="A260" t="s">
        <v>2760</v>
      </c>
      <c r="B260" t="s">
        <v>1662</v>
      </c>
      <c r="C260" t="s">
        <v>4830</v>
      </c>
      <c r="D260" t="s">
        <v>1657</v>
      </c>
      <c r="E260" t="s">
        <v>2609</v>
      </c>
      <c r="F260" t="str">
        <f t="shared" si="4"/>
        <v>"C:\Program Files\VideoLAN\VLC\vlc.exe" "https://stream.apollo.audio/hit/hi/aac/?aw_0_1st.skey=1667320171&amp;aw_0_1st.playerid=BMUK_ukrp"</v>
      </c>
      <c r="M260" t="str">
        <f>VLOOKUP(A260,logos!$A$2:$A$10004,1,FALSE)</f>
        <v>Hits Radio (UK)</v>
      </c>
    </row>
    <row r="261" spans="1:13" hidden="1" x14ac:dyDescent="0.55000000000000004">
      <c r="A261" t="s">
        <v>702</v>
      </c>
      <c r="B261" t="s">
        <v>1662</v>
      </c>
      <c r="C261" t="s">
        <v>4827</v>
      </c>
      <c r="D261" t="s">
        <v>1657</v>
      </c>
      <c r="E261" t="s">
        <v>2609</v>
      </c>
      <c r="F261" t="str">
        <f t="shared" si="4"/>
        <v>"C:\Program Files\VideoLAN\VLC\vlc.exe" "https://stream-al.planetradio.co.uk/hitsradiopride.aac?aw_0_1st.skey=1667146457&amp;aw_0_1st.playerid=BMUK_ukrp"</v>
      </c>
      <c r="M261" t="str">
        <f>VLOOKUP(A261,logos!$A$2:$A$10004,1,FALSE)</f>
        <v>Hits Radio Pride</v>
      </c>
    </row>
    <row r="262" spans="1:13" hidden="1" x14ac:dyDescent="0.55000000000000004">
      <c r="A262" t="s">
        <v>2761</v>
      </c>
      <c r="B262" t="s">
        <v>1662</v>
      </c>
      <c r="C262" t="s">
        <v>1946</v>
      </c>
      <c r="D262" t="s">
        <v>1657</v>
      </c>
      <c r="E262" t="s">
        <v>2609</v>
      </c>
      <c r="F262" t="str">
        <f t="shared" si="4"/>
        <v>"C:\Program Files\VideoLAN\VLC\vlc.exe" "http://radio.hopefm.org.uk:12364/liveaac"</v>
      </c>
      <c r="M262" t="e">
        <f>VLOOKUP(A262,logos!$A$2:$A$10004,1,FALSE)</f>
        <v>#N/A</v>
      </c>
    </row>
    <row r="263" spans="1:13" hidden="1" x14ac:dyDescent="0.55000000000000004">
      <c r="A263" t="s">
        <v>714</v>
      </c>
      <c r="B263" t="s">
        <v>1662</v>
      </c>
      <c r="C263" t="s">
        <v>1948</v>
      </c>
      <c r="D263" t="s">
        <v>1657</v>
      </c>
      <c r="E263" t="s">
        <v>2609</v>
      </c>
      <c r="F263" t="str">
        <f t="shared" si="4"/>
        <v>"C:\Program Files\VideoLAN\VLC\vlc.exe" "http://curtis.hubradio.co.uk:8080/hub-lq.aac"</v>
      </c>
      <c r="M263" t="str">
        <f>VLOOKUP(A263,logos!$A$2:$A$10004,1,FALSE)</f>
        <v>Hub Radio</v>
      </c>
    </row>
    <row r="264" spans="1:13" hidden="1" x14ac:dyDescent="0.55000000000000004">
      <c r="A264" t="s">
        <v>720</v>
      </c>
      <c r="B264" t="s">
        <v>1662</v>
      </c>
      <c r="C264" t="s">
        <v>1952</v>
      </c>
      <c r="D264" t="s">
        <v>1657</v>
      </c>
      <c r="E264" t="s">
        <v>2609</v>
      </c>
      <c r="F264" t="str">
        <f t="shared" si="4"/>
        <v>"C:\Program Files\VideoLAN\VLC\vlc.exe" "http://s4.xrad.io:8018/stream"</v>
      </c>
      <c r="M264" t="e">
        <f>VLOOKUP(A264,logos!$A$2:$A$10004,1,FALSE)</f>
        <v>#N/A</v>
      </c>
    </row>
    <row r="265" spans="1:13" hidden="1" x14ac:dyDescent="0.55000000000000004">
      <c r="A265" t="s">
        <v>736</v>
      </c>
      <c r="B265" t="s">
        <v>1662</v>
      </c>
      <c r="C265" t="s">
        <v>1956</v>
      </c>
      <c r="D265" t="s">
        <v>1657</v>
      </c>
      <c r="E265" t="s">
        <v>2609</v>
      </c>
      <c r="F265" t="str">
        <f t="shared" si="4"/>
        <v>"C:\Program Files\VideoLAN\VLC\vlc.exe" "http://edge-bauerall-01-gos2.sharp-stream.com/jazz.aac?aw_0_1st.skey=1666797714"</v>
      </c>
      <c r="M265" t="str">
        <f>VLOOKUP(A265,logos!$A$2:$A$10004,1,FALSE)</f>
        <v>Jazz FM</v>
      </c>
    </row>
    <row r="266" spans="1:13" hidden="1" x14ac:dyDescent="0.55000000000000004">
      <c r="A266" t="s">
        <v>740</v>
      </c>
      <c r="B266" t="s">
        <v>1662</v>
      </c>
      <c r="C266" t="s">
        <v>1958</v>
      </c>
      <c r="D266" t="s">
        <v>1657</v>
      </c>
      <c r="E266" t="s">
        <v>2609</v>
      </c>
      <c r="F266" t="str">
        <f t="shared" si="4"/>
        <v>"C:\Program Files\VideoLAN\VLC\vlc.exe" "http://edge-bauerall-01-gos2.sharp-stream.com/kerrang.aac?aw_0_1st.skey=1666797715"</v>
      </c>
      <c r="M266" t="str">
        <f>VLOOKUP(A266,logos!$A$2:$A$10004,1,FALSE)</f>
        <v>Kerrang! Radio</v>
      </c>
    </row>
    <row r="267" spans="1:13" hidden="1" x14ac:dyDescent="0.55000000000000004">
      <c r="A267" t="s">
        <v>742</v>
      </c>
      <c r="B267" t="s">
        <v>1662</v>
      </c>
      <c r="C267" t="s">
        <v>1959</v>
      </c>
      <c r="D267" t="s">
        <v>1657</v>
      </c>
      <c r="E267" t="s">
        <v>2609</v>
      </c>
      <c r="F267" t="str">
        <f t="shared" si="4"/>
        <v>"C:\Program Files\VideoLAN\VLC\vlc.exe" "http://listen-kingdomfm.sharp-stream.com/kingdomfm.aac?ref=RF"</v>
      </c>
      <c r="M267" t="str">
        <f>VLOOKUP(A267,logos!$A$2:$A$10004,1,FALSE)</f>
        <v>Kingdom FM</v>
      </c>
    </row>
    <row r="268" spans="1:13" hidden="1" x14ac:dyDescent="0.55000000000000004">
      <c r="A268" t="s">
        <v>2762</v>
      </c>
      <c r="B268" t="s">
        <v>1662</v>
      </c>
      <c r="C268" t="s">
        <v>1960</v>
      </c>
      <c r="D268" t="s">
        <v>1657</v>
      </c>
      <c r="E268" t="s">
        <v>2609</v>
      </c>
      <c r="F268" t="str">
        <f t="shared" si="4"/>
        <v>"C:\Program Files\VideoLAN\VLC\vlc.exe" "http://live-kiss.sharp-stream.com/kiss100.aac?aw_0_1st.skey=1666797715"</v>
      </c>
      <c r="M268" t="e">
        <f>VLOOKUP(A268,logos!$A$2:$A$10004,1,FALSE)</f>
        <v>#N/A</v>
      </c>
    </row>
    <row r="269" spans="1:13" hidden="1" x14ac:dyDescent="0.55000000000000004">
      <c r="A269" t="s">
        <v>2763</v>
      </c>
      <c r="B269" t="s">
        <v>1662</v>
      </c>
      <c r="C269" t="s">
        <v>1961</v>
      </c>
      <c r="D269" t="s">
        <v>1657</v>
      </c>
      <c r="E269" t="s">
        <v>2609</v>
      </c>
      <c r="F269" t="str">
        <f t="shared" si="4"/>
        <v>"C:\Program Files\VideoLAN\VLC\vlc.exe" "http://live-kiss.sharp-stream.com/kissnational.aac?aw_0_1st.skey=1666797715"</v>
      </c>
      <c r="M269" t="str">
        <f>VLOOKUP(A269,logos!$A$2:$A$10004,1,FALSE)</f>
        <v>KISS (UK)</v>
      </c>
    </row>
    <row r="270" spans="1:13" hidden="1" x14ac:dyDescent="0.55000000000000004">
      <c r="A270" t="s">
        <v>1613</v>
      </c>
      <c r="B270" t="s">
        <v>1662</v>
      </c>
      <c r="C270" t="s">
        <v>1962</v>
      </c>
      <c r="D270" t="s">
        <v>1657</v>
      </c>
      <c r="E270" t="s">
        <v>2609</v>
      </c>
      <c r="F270" t="str">
        <f t="shared" si="4"/>
        <v>"C:\Program Files\VideoLAN\VLC\vlc.exe" "http://edge-bauermz-01-gos2.sharp-stream.com/webcast7.aac?aw_0_1st.skey=1666797715"</v>
      </c>
      <c r="M270" t="str">
        <f>VLOOKUP(A270,logos!$A$2:$A$10004,1,FALSE)</f>
        <v>KISS BLISS</v>
      </c>
    </row>
    <row r="271" spans="1:13" hidden="1" x14ac:dyDescent="0.55000000000000004">
      <c r="A271" t="s">
        <v>1614</v>
      </c>
      <c r="B271" t="s">
        <v>1662</v>
      </c>
      <c r="C271" t="s">
        <v>1964</v>
      </c>
      <c r="D271" t="s">
        <v>1657</v>
      </c>
      <c r="E271" t="s">
        <v>2609</v>
      </c>
      <c r="F271" t="str">
        <f t="shared" si="4"/>
        <v>"C:\Program Files\VideoLAN\VLC\vlc.exe" "http://edge-bauermz-01-gos2.sharp-stream.com/webcast6.aac?aw_0_1st.skey=1666797715"</v>
      </c>
      <c r="M271" t="str">
        <f>VLOOKUP(A271,logos!$A$2:$A$10004,1,FALSE)</f>
        <v>KISS DANCE</v>
      </c>
    </row>
    <row r="272" spans="1:13" hidden="1" x14ac:dyDescent="0.55000000000000004">
      <c r="A272" t="s">
        <v>749</v>
      </c>
      <c r="B272" t="s">
        <v>1662</v>
      </c>
      <c r="C272" t="s">
        <v>1966</v>
      </c>
      <c r="D272" t="s">
        <v>1657</v>
      </c>
      <c r="E272" t="s">
        <v>2609</v>
      </c>
      <c r="F272" t="str">
        <f t="shared" si="4"/>
        <v>"C:\Program Files\VideoLAN\VLC\vlc.exe" "http://edge-bauerall-01-gos2.sharp-stream.com/kissfresh.aac?aw_0_1st.skey=1666797716"</v>
      </c>
      <c r="M272" t="str">
        <f>VLOOKUP(A272,logos!$A$2:$A$10004,1,FALSE)</f>
        <v>KISS FRESH</v>
      </c>
    </row>
    <row r="273" spans="1:13" hidden="1" x14ac:dyDescent="0.55000000000000004">
      <c r="A273" t="s">
        <v>1615</v>
      </c>
      <c r="B273" t="s">
        <v>1662</v>
      </c>
      <c r="C273" t="s">
        <v>1967</v>
      </c>
      <c r="D273" t="s">
        <v>1657</v>
      </c>
      <c r="E273" t="s">
        <v>2609</v>
      </c>
      <c r="F273" t="str">
        <f t="shared" si="4"/>
        <v>"C:\Program Files\VideoLAN\VLC\vlc.exe" "http://edge-bauermz-01-gos2.sharp-stream.com/webcast5.aac?aw_0_1st.skey=1666797716"</v>
      </c>
      <c r="M273" t="str">
        <f>VLOOKUP(A273,logos!$A$2:$A$10004,1,FALSE)</f>
        <v>KISS GARAGE</v>
      </c>
    </row>
    <row r="274" spans="1:13" hidden="1" x14ac:dyDescent="0.55000000000000004">
      <c r="A274" t="s">
        <v>751</v>
      </c>
      <c r="B274" t="s">
        <v>1662</v>
      </c>
      <c r="C274" t="s">
        <v>1969</v>
      </c>
      <c r="D274" t="s">
        <v>1657</v>
      </c>
      <c r="E274" t="s">
        <v>2609</v>
      </c>
      <c r="F274" t="str">
        <f t="shared" si="4"/>
        <v>"C:\Program Files\VideoLAN\VLC\vlc.exe" "http://edge-bauerall-01-gos2.sharp-stream.com/kisstory.aac?aw_0_1st.skey=1666797716"</v>
      </c>
      <c r="M274" t="str">
        <f>VLOOKUP(A274,logos!$A$2:$A$10004,1,FALSE)</f>
        <v>KISSTORY</v>
      </c>
    </row>
    <row r="275" spans="1:13" hidden="1" x14ac:dyDescent="0.55000000000000004">
      <c r="A275" t="s">
        <v>2924</v>
      </c>
      <c r="B275" t="s">
        <v>1662</v>
      </c>
      <c r="C275" t="s">
        <v>2925</v>
      </c>
      <c r="D275" t="s">
        <v>1657</v>
      </c>
      <c r="E275" t="s">
        <v>2609</v>
      </c>
      <c r="F275" t="str">
        <f t="shared" si="4"/>
        <v>"C:\Program Files\VideoLAN\VLC\vlc.exe" "https://streamer.radio.co:80/sf97bc756a/listen"</v>
      </c>
      <c r="M275" t="str">
        <f>VLOOKUP(A275,logos!$A$2:$A$10004,1,FALSE)</f>
        <v>Lake District Radio</v>
      </c>
    </row>
    <row r="276" spans="1:13" hidden="1" x14ac:dyDescent="0.55000000000000004">
      <c r="A276" t="s">
        <v>2764</v>
      </c>
      <c r="B276" t="s">
        <v>1662</v>
      </c>
      <c r="C276" t="s">
        <v>1970</v>
      </c>
      <c r="D276" t="s">
        <v>1657</v>
      </c>
      <c r="E276" t="s">
        <v>2609</v>
      </c>
      <c r="F276" t="str">
        <f t="shared" si="4"/>
        <v>"C:\Program Files\VideoLAN\VLC\vlc.exe" "http://icecast.thisisdax.com/LBCLondon"</v>
      </c>
      <c r="M276" t="str">
        <f>VLOOKUP(A276,logos!$A$2:$A$10004,1,FALSE)</f>
        <v>LBC (London)</v>
      </c>
    </row>
    <row r="277" spans="1:13" hidden="1" x14ac:dyDescent="0.55000000000000004">
      <c r="A277" t="s">
        <v>2765</v>
      </c>
      <c r="B277" t="s">
        <v>1662</v>
      </c>
      <c r="C277" t="s">
        <v>1971</v>
      </c>
      <c r="D277" t="s">
        <v>1657</v>
      </c>
      <c r="E277" t="s">
        <v>2609</v>
      </c>
      <c r="F277" t="str">
        <f t="shared" si="4"/>
        <v>"C:\Program Files\VideoLAN\VLC\vlc.exe" "http://icecast.thisisdax.com/LBCUK"</v>
      </c>
      <c r="M277" t="str">
        <f>VLOOKUP(A277,logos!$A$2:$A$10004,1,FALSE)</f>
        <v>LBC (UK)</v>
      </c>
    </row>
    <row r="278" spans="1:13" hidden="1" x14ac:dyDescent="0.55000000000000004">
      <c r="A278" t="s">
        <v>2766</v>
      </c>
      <c r="B278" t="s">
        <v>1662</v>
      </c>
      <c r="C278" t="s">
        <v>1972</v>
      </c>
      <c r="D278" t="s">
        <v>1657</v>
      </c>
      <c r="E278" t="s">
        <v>2609</v>
      </c>
      <c r="F278" t="str">
        <f t="shared" si="4"/>
        <v>"C:\Program Files\VideoLAN\VLC\vlc.exe" "http://icecast.thisisdax.com/LBCNewsLondon"</v>
      </c>
      <c r="M278" t="str">
        <f>VLOOKUP(A278,logos!$A$2:$A$10004,1,FALSE)</f>
        <v>LBC News (London)</v>
      </c>
    </row>
    <row r="279" spans="1:13" hidden="1" x14ac:dyDescent="0.55000000000000004">
      <c r="A279" t="s">
        <v>2767</v>
      </c>
      <c r="B279" t="s">
        <v>1662</v>
      </c>
      <c r="C279" t="s">
        <v>1973</v>
      </c>
      <c r="D279" t="s">
        <v>1657</v>
      </c>
      <c r="E279" t="s">
        <v>2609</v>
      </c>
      <c r="F279" t="str">
        <f t="shared" si="4"/>
        <v>"C:\Program Files\VideoLAN\VLC\vlc.exe" "http://icecast.thisisdax.com/LBCNewsUK"</v>
      </c>
      <c r="M279" t="str">
        <f>VLOOKUP(A279,logos!$A$2:$A$10004,1,FALSE)</f>
        <v>LBC News (UK)</v>
      </c>
    </row>
    <row r="280" spans="1:13" hidden="1" x14ac:dyDescent="0.55000000000000004">
      <c r="A280" t="s">
        <v>787</v>
      </c>
      <c r="B280" t="s">
        <v>1662</v>
      </c>
      <c r="C280" t="s">
        <v>1979</v>
      </c>
      <c r="D280" t="s">
        <v>1657</v>
      </c>
      <c r="E280" t="s">
        <v>2609</v>
      </c>
      <c r="F280" t="str">
        <f t="shared" si="4"/>
        <v>"C:\Program Files\VideoLAN\VLC\vlc.exe" "http://edge-bauermz-01-gos2.sharp-stream.com/net1lincoln.aac?aw_0_1st.skey=1666797718"</v>
      </c>
      <c r="M280" t="str">
        <f>VLOOKUP(A280,logos!$A$2:$A$10004,1,FALSE)</f>
        <v>Lincs FM</v>
      </c>
    </row>
    <row r="281" spans="1:13" hidden="1" x14ac:dyDescent="0.55000000000000004">
      <c r="A281" t="s">
        <v>789</v>
      </c>
      <c r="B281" t="s">
        <v>1662</v>
      </c>
      <c r="C281" t="s">
        <v>1980</v>
      </c>
      <c r="D281" t="s">
        <v>1657</v>
      </c>
      <c r="E281" t="s">
        <v>2609</v>
      </c>
      <c r="F281" t="str">
        <f t="shared" si="4"/>
        <v>"C:\Program Files\VideoLAN\VLC\vlc.exe" "http://ais-sa2.cdnstream1.com/2382_48.aac?ref=RF"</v>
      </c>
      <c r="M281" t="e">
        <f>VLOOKUP(A281,logos!$A$2:$A$10004,1,FALSE)</f>
        <v>#N/A</v>
      </c>
    </row>
    <row r="282" spans="1:13" hidden="1" x14ac:dyDescent="0.55000000000000004">
      <c r="A282" t="s">
        <v>791</v>
      </c>
      <c r="B282" t="s">
        <v>1662</v>
      </c>
      <c r="C282" t="s">
        <v>1981</v>
      </c>
      <c r="D282" t="s">
        <v>1657</v>
      </c>
      <c r="E282" t="s">
        <v>2609</v>
      </c>
      <c r="F282" t="str">
        <f t="shared" si="4"/>
        <v>"C:\Program Files\VideoLAN\VLC\vlc.exe" "http://playoutonestreaming.com:8048/streamlq"</v>
      </c>
      <c r="M282" t="e">
        <f>VLOOKUP(A282,logos!$A$2:$A$10004,1,FALSE)</f>
        <v>#N/A</v>
      </c>
    </row>
    <row r="283" spans="1:13" hidden="1" x14ac:dyDescent="0.55000000000000004">
      <c r="A283" t="s">
        <v>2771</v>
      </c>
      <c r="B283" t="s">
        <v>1662</v>
      </c>
      <c r="C283" t="s">
        <v>1982</v>
      </c>
      <c r="D283" t="s">
        <v>1657</v>
      </c>
      <c r="E283" t="s">
        <v>2609</v>
      </c>
      <c r="F283" t="str">
        <f t="shared" si="4"/>
        <v>"C:\Program Files\VideoLAN\VLC\vlc.exe" "http://playoutonestreaming.com:8062/aac"</v>
      </c>
      <c r="M283" t="e">
        <f>VLOOKUP(A283,logos!$A$2:$A$10004,1,FALSE)</f>
        <v>#N/A</v>
      </c>
    </row>
    <row r="284" spans="1:13" hidden="1" x14ac:dyDescent="0.55000000000000004">
      <c r="A284" t="s">
        <v>2772</v>
      </c>
      <c r="B284" t="s">
        <v>1662</v>
      </c>
      <c r="C284" t="s">
        <v>1983</v>
      </c>
      <c r="D284" t="s">
        <v>1657</v>
      </c>
      <c r="E284" t="s">
        <v>2609</v>
      </c>
      <c r="F284" t="str">
        <f t="shared" si="4"/>
        <v>"C:\Program Files\VideoLAN\VLC\vlc.exe" "http://playoutonestreaming.com:8042/aac"</v>
      </c>
      <c r="M284" t="e">
        <f>VLOOKUP(A284,logos!$A$2:$A$10004,1,FALSE)</f>
        <v>#N/A</v>
      </c>
    </row>
    <row r="285" spans="1:13" hidden="1" x14ac:dyDescent="0.55000000000000004">
      <c r="A285" t="s">
        <v>2773</v>
      </c>
      <c r="B285" t="s">
        <v>1662</v>
      </c>
      <c r="C285" t="s">
        <v>1984</v>
      </c>
      <c r="D285" t="s">
        <v>1657</v>
      </c>
      <c r="E285" t="s">
        <v>2609</v>
      </c>
      <c r="F285" t="str">
        <f t="shared" si="4"/>
        <v>"C:\Program Files\VideoLAN\VLC\vlc.exe" "http://edge-bauermz-01-gos2.sharp-stream.com/magic1054.aac?aw_0_1st.skey=1666797718"</v>
      </c>
      <c r="M285" t="str">
        <f>VLOOKUP(A285,logos!$A$2:$A$10004,1,FALSE)</f>
        <v>Magic (London)</v>
      </c>
    </row>
    <row r="286" spans="1:13" hidden="1" x14ac:dyDescent="0.55000000000000004">
      <c r="A286" t="s">
        <v>2774</v>
      </c>
      <c r="B286" t="s">
        <v>1662</v>
      </c>
      <c r="C286" t="s">
        <v>4813</v>
      </c>
      <c r="D286" t="s">
        <v>1657</v>
      </c>
      <c r="E286" t="s">
        <v>2609</v>
      </c>
      <c r="F286" t="str">
        <f t="shared" si="4"/>
        <v>"C:\Program Files\VideoLAN\VLC\vlc.exe" "https://stream.apollo.audio/mag/hi/aac/?aw_0_1st.skey=1667146531&amp;aw_0_1st.playerid=BMUK_ukrp"</v>
      </c>
      <c r="M286" t="str">
        <f>VLOOKUP(A286,logos!$A$2:$A$10004,1,FALSE)</f>
        <v>Magic (UK)</v>
      </c>
    </row>
    <row r="287" spans="1:13" hidden="1" x14ac:dyDescent="0.55000000000000004">
      <c r="A287" t="s">
        <v>809</v>
      </c>
      <c r="B287" t="s">
        <v>1662</v>
      </c>
      <c r="C287" t="s">
        <v>4818</v>
      </c>
      <c r="D287" t="s">
        <v>1657</v>
      </c>
      <c r="E287" t="s">
        <v>2609</v>
      </c>
      <c r="F287" t="str">
        <f t="shared" si="4"/>
        <v>"C:\Program Files\VideoLAN\VLC\vlc.exe" "https://stream-mz.planetradio.co.uk/magicmusicals.aac?aw_0_1st.skey=1667146534&amp;aw_0_1st.playerid=BMUK_ukrp"</v>
      </c>
      <c r="M287" t="str">
        <f>VLOOKUP(A287,logos!$A$2:$A$10004,1,FALSE)</f>
        <v>Magic at the Musicals</v>
      </c>
    </row>
    <row r="288" spans="1:13" hidden="1" x14ac:dyDescent="0.55000000000000004">
      <c r="A288" t="s">
        <v>811</v>
      </c>
      <c r="B288" t="s">
        <v>1662</v>
      </c>
      <c r="C288" t="s">
        <v>4814</v>
      </c>
      <c r="D288" t="s">
        <v>1657</v>
      </c>
      <c r="E288" t="s">
        <v>2609</v>
      </c>
      <c r="F288" t="str">
        <f t="shared" si="4"/>
        <v>"C:\Program Files\VideoLAN\VLC\vlc.exe" "https://stream-mz.planetradio.co.uk/magicchilled.aac?aw_0_1st.skey=1667146532&amp;aw_0_1st.playerid=BMUK_ukrp"</v>
      </c>
      <c r="M288" t="str">
        <f>VLOOKUP(A288,logos!$A$2:$A$10004,1,FALSE)</f>
        <v>Magic Chilled</v>
      </c>
    </row>
    <row r="289" spans="1:13" hidden="1" x14ac:dyDescent="0.55000000000000004">
      <c r="A289" t="s">
        <v>1681</v>
      </c>
      <c r="B289" t="s">
        <v>1662</v>
      </c>
      <c r="C289" t="s">
        <v>1986</v>
      </c>
      <c r="D289" t="s">
        <v>1657</v>
      </c>
      <c r="E289" t="s">
        <v>2609</v>
      </c>
      <c r="F289" t="str">
        <f t="shared" si="4"/>
        <v>"C:\Program Files\VideoLAN\VLC\vlc.exe" "http://edge-bauermz-01-gos2.sharp-stream.com/webcast8.aac?aw_0_1st.skey=1666797719"</v>
      </c>
      <c r="M289" t="str">
        <f>VLOOKUP(A289,logos!$A$2:$A$10004,1,FALSE)</f>
        <v>Magic Radio at the Movies</v>
      </c>
    </row>
    <row r="290" spans="1:13" hidden="1" x14ac:dyDescent="0.55000000000000004">
      <c r="A290" t="s">
        <v>813</v>
      </c>
      <c r="B290" t="s">
        <v>1662</v>
      </c>
      <c r="C290" t="s">
        <v>4816</v>
      </c>
      <c r="D290" t="s">
        <v>1657</v>
      </c>
      <c r="E290" t="s">
        <v>2609</v>
      </c>
      <c r="F290" t="str">
        <f t="shared" si="4"/>
        <v>"C:\Program Files\VideoLAN\VLC\vlc.exe" "https://stream-mz.planetradio.co.uk/magicsoul.aac?aw_0_1st.skey=1667146536&amp;aw_0_1st.playerid=BMUK_ukrp"</v>
      </c>
      <c r="M290" t="str">
        <f>VLOOKUP(A290,logos!$A$2:$A$10004,1,FALSE)</f>
        <v>Magic Soul</v>
      </c>
    </row>
    <row r="291" spans="1:13" hidden="1" x14ac:dyDescent="0.55000000000000004">
      <c r="A291" t="s">
        <v>2775</v>
      </c>
      <c r="B291" t="s">
        <v>1662</v>
      </c>
      <c r="C291" t="s">
        <v>1991</v>
      </c>
      <c r="D291" t="s">
        <v>1657</v>
      </c>
      <c r="E291" t="s">
        <v>2609</v>
      </c>
      <c r="F291" t="str">
        <f t="shared" si="4"/>
        <v>"C:\Program Files\VideoLAN\VLC\vlc.exe" "http://listen-manxradio.sharp-stream.com/manxradioammobile.aac?ref=RF"</v>
      </c>
      <c r="M291" t="e">
        <f>VLOOKUP(A291,logos!$A$2:$A$10004,1,FALSE)</f>
        <v>#N/A</v>
      </c>
    </row>
    <row r="292" spans="1:13" hidden="1" x14ac:dyDescent="0.55000000000000004">
      <c r="A292" t="s">
        <v>2776</v>
      </c>
      <c r="B292" t="s">
        <v>1662</v>
      </c>
      <c r="C292" t="s">
        <v>1993</v>
      </c>
      <c r="D292" t="s">
        <v>1657</v>
      </c>
      <c r="E292" t="s">
        <v>2609</v>
      </c>
      <c r="F292" t="str">
        <f t="shared" si="4"/>
        <v>"C:\Program Files\VideoLAN\VLC\vlc.exe" "http://listen-manxradio.sharp-stream.com/manxradiofmmobile.aac?ref=RF"</v>
      </c>
      <c r="M292" t="e">
        <f>VLOOKUP(A292,logos!$A$2:$A$10004,1,FALSE)</f>
        <v>#N/A</v>
      </c>
    </row>
    <row r="293" spans="1:13" hidden="1" x14ac:dyDescent="0.55000000000000004">
      <c r="A293" t="s">
        <v>821</v>
      </c>
      <c r="B293" t="s">
        <v>1662</v>
      </c>
      <c r="C293" t="s">
        <v>4817</v>
      </c>
      <c r="D293" t="s">
        <v>1657</v>
      </c>
      <c r="E293" t="s">
        <v>2609</v>
      </c>
      <c r="F293" t="str">
        <f t="shared" si="4"/>
        <v>"C:\Program Files\VideoLAN\VLC\vlc.exe" "https://stream-mz.planetradio.co.uk/magicmellow.aac?aw_0_1st.skey=1667146544&amp;aw_0_1st.playerid=BMUK_ukrp"</v>
      </c>
      <c r="M293" t="str">
        <f>VLOOKUP(A293,logos!$A$2:$A$10004,1,FALSE)</f>
        <v>Mellow Magic</v>
      </c>
    </row>
    <row r="294" spans="1:13" hidden="1" x14ac:dyDescent="0.55000000000000004">
      <c r="A294" t="s">
        <v>825</v>
      </c>
      <c r="B294" t="s">
        <v>1662</v>
      </c>
      <c r="C294" t="s">
        <v>1996</v>
      </c>
      <c r="D294" t="s">
        <v>1657</v>
      </c>
      <c r="E294" t="s">
        <v>2609</v>
      </c>
      <c r="F294" t="str">
        <f t="shared" si="4"/>
        <v>"C:\Program Files\VideoLAN\VLC\vlc.exe" "http://edge-bauermz-01-gos2.sharp-stream.com/metro.aac?aw_0_1st.skey=1666797741"</v>
      </c>
      <c r="M294" t="str">
        <f>VLOOKUP(A294,logos!$A$2:$A$10004,1,FALSE)</f>
        <v>Metro Radio</v>
      </c>
    </row>
    <row r="295" spans="1:13" hidden="1" x14ac:dyDescent="0.55000000000000004">
      <c r="A295" t="s">
        <v>827</v>
      </c>
      <c r="B295" t="s">
        <v>1662</v>
      </c>
      <c r="C295" t="s">
        <v>1997</v>
      </c>
      <c r="D295" t="s">
        <v>1657</v>
      </c>
      <c r="E295" t="s">
        <v>2609</v>
      </c>
      <c r="F295" t="str">
        <f t="shared" si="4"/>
        <v>"C:\Program Files\VideoLAN\VLC\vlc.exe" "http://edge-bauermz-01-gos2.sharp-stream.com/mfrfm.aac?aw_0_1st.skey=1666797742"</v>
      </c>
      <c r="M295" t="str">
        <f>VLOOKUP(A295,logos!$A$2:$A$10004,1,FALSE)</f>
        <v>MFR</v>
      </c>
    </row>
    <row r="296" spans="1:13" hidden="1" x14ac:dyDescent="0.55000000000000004">
      <c r="A296" t="s">
        <v>829</v>
      </c>
      <c r="B296" t="s">
        <v>1662</v>
      </c>
      <c r="C296" t="s">
        <v>1998</v>
      </c>
      <c r="D296" t="s">
        <v>1657</v>
      </c>
      <c r="E296" t="s">
        <v>2609</v>
      </c>
      <c r="F296" t="str">
        <f t="shared" si="4"/>
        <v>"C:\Program Files\VideoLAN\VLC\vlc.exe" "http://edge-bauermz-01-gos2.sharp-stream.com/mfram.aac?aw_0_1st.skey=1666797742"</v>
      </c>
      <c r="M296" t="str">
        <f>VLOOKUP(A296,logos!$A$2:$A$10004,1,FALSE)</f>
        <v>MFR 2</v>
      </c>
    </row>
    <row r="297" spans="1:13" hidden="1" x14ac:dyDescent="0.55000000000000004">
      <c r="A297" t="s">
        <v>834</v>
      </c>
      <c r="B297" t="s">
        <v>1662</v>
      </c>
      <c r="C297" t="s">
        <v>1999</v>
      </c>
      <c r="D297" t="s">
        <v>1657</v>
      </c>
      <c r="E297" t="s">
        <v>2609</v>
      </c>
      <c r="F297" t="str">
        <f t="shared" si="4"/>
        <v>"C:\Program Files\VideoLAN\VLC\vlc.exe" "http://listen-misoul.sharp-stream.com/462_mi_soul_48_aac?ref=RF"</v>
      </c>
      <c r="M297" t="e">
        <f>VLOOKUP(A297,logos!$A$2:$A$10004,1,FALSE)</f>
        <v>#N/A</v>
      </c>
    </row>
    <row r="298" spans="1:13" hidden="1" x14ac:dyDescent="0.55000000000000004">
      <c r="A298" t="s">
        <v>2778</v>
      </c>
      <c r="B298" t="s">
        <v>1662</v>
      </c>
      <c r="C298" t="s">
        <v>2002</v>
      </c>
      <c r="D298" t="s">
        <v>1657</v>
      </c>
      <c r="E298" t="s">
        <v>2609</v>
      </c>
      <c r="F298" t="str">
        <f t="shared" si="4"/>
        <v>"C:\Program Files\VideoLAN\VLC\vlc.exe" "http://s4.xrad.io:8090/stream"</v>
      </c>
      <c r="M298" t="e">
        <f>VLOOKUP(A298,logos!$A$2:$A$10004,1,FALSE)</f>
        <v>#N/A</v>
      </c>
    </row>
    <row r="299" spans="1:13" hidden="1" x14ac:dyDescent="0.55000000000000004">
      <c r="A299" t="s">
        <v>2779</v>
      </c>
      <c r="B299" t="s">
        <v>1662</v>
      </c>
      <c r="C299" t="s">
        <v>2003</v>
      </c>
      <c r="D299" t="s">
        <v>1657</v>
      </c>
      <c r="E299" t="s">
        <v>2609</v>
      </c>
      <c r="F299" t="str">
        <f t="shared" si="4"/>
        <v>"C:\Program Files\VideoLAN\VLC\vlc.exe" "http://s4.xrad.io:8092/stream"</v>
      </c>
      <c r="M299" t="e">
        <f>VLOOKUP(A299,logos!$A$2:$A$10004,1,FALSE)</f>
        <v>#N/A</v>
      </c>
    </row>
    <row r="300" spans="1:13" hidden="1" x14ac:dyDescent="0.55000000000000004">
      <c r="A300" t="s">
        <v>2781</v>
      </c>
      <c r="B300" t="s">
        <v>1662</v>
      </c>
      <c r="C300" t="s">
        <v>2005</v>
      </c>
      <c r="D300" t="s">
        <v>1657</v>
      </c>
      <c r="E300" t="s">
        <v>2609</v>
      </c>
      <c r="F300" t="str">
        <f t="shared" si="4"/>
        <v>"C:\Program Files\VideoLAN\VLC\vlc.exe" "http://s4.xrad.io:8104/stream"</v>
      </c>
      <c r="M300" t="e">
        <f>VLOOKUP(A300,logos!$A$2:$A$10004,1,FALSE)</f>
        <v>#N/A</v>
      </c>
    </row>
    <row r="301" spans="1:13" hidden="1" x14ac:dyDescent="0.55000000000000004">
      <c r="A301" t="s">
        <v>2782</v>
      </c>
      <c r="B301" t="s">
        <v>1662</v>
      </c>
      <c r="C301" t="s">
        <v>2006</v>
      </c>
      <c r="D301" t="s">
        <v>1657</v>
      </c>
      <c r="E301" t="s">
        <v>2609</v>
      </c>
      <c r="F301" t="str">
        <f t="shared" si="4"/>
        <v>"C:\Program Files\VideoLAN\VLC\vlc.exe" "http://s4.xrad.io:8096/stream"</v>
      </c>
      <c r="M301" t="e">
        <f>VLOOKUP(A301,logos!$A$2:$A$10004,1,FALSE)</f>
        <v>#N/A</v>
      </c>
    </row>
    <row r="302" spans="1:13" hidden="1" x14ac:dyDescent="0.55000000000000004">
      <c r="A302" t="s">
        <v>851</v>
      </c>
      <c r="B302" t="s">
        <v>1662</v>
      </c>
      <c r="C302" t="s">
        <v>2007</v>
      </c>
      <c r="D302" t="s">
        <v>1657</v>
      </c>
      <c r="E302" t="s">
        <v>2609</v>
      </c>
      <c r="F302" t="str">
        <f t="shared" si="4"/>
        <v>"C:\Program Files\VideoLAN\VLC\vlc.exe" "http://s2.xrad.io:8332/"</v>
      </c>
      <c r="M302" t="e">
        <f>VLOOKUP(A302,logos!$A$2:$A$10004,1,FALSE)</f>
        <v>#N/A</v>
      </c>
    </row>
    <row r="303" spans="1:13" hidden="1" x14ac:dyDescent="0.55000000000000004">
      <c r="A303" t="s">
        <v>865</v>
      </c>
      <c r="B303" t="s">
        <v>1662</v>
      </c>
      <c r="C303" t="s">
        <v>2012</v>
      </c>
      <c r="D303" t="s">
        <v>1657</v>
      </c>
      <c r="E303" t="s">
        <v>2609</v>
      </c>
      <c r="F303" t="str">
        <f t="shared" si="4"/>
        <v>"C:\Program Files\VideoLAN\VLC\vlc.exe" "http://listen-nation.sharp-stream.com/nationradio00s.aac?ref=RF"</v>
      </c>
      <c r="M303" t="e">
        <f>VLOOKUP(A303,logos!$A$2:$A$10004,1,FALSE)</f>
        <v>#N/A</v>
      </c>
    </row>
    <row r="304" spans="1:13" hidden="1" x14ac:dyDescent="0.55000000000000004">
      <c r="A304" t="s">
        <v>853</v>
      </c>
      <c r="B304" t="s">
        <v>1662</v>
      </c>
      <c r="C304" t="s">
        <v>2008</v>
      </c>
      <c r="D304" t="s">
        <v>1657</v>
      </c>
      <c r="E304" t="s">
        <v>2609</v>
      </c>
      <c r="F304" t="str">
        <f t="shared" si="4"/>
        <v>"C:\Program Files\VideoLAN\VLC\vlc.exe" "http://listen-nation.sharp-stream.com/nation60s.aac?ref=RF"</v>
      </c>
      <c r="M304" t="e">
        <f>VLOOKUP(A304,logos!$A$2:$A$10004,1,FALSE)</f>
        <v>#N/A</v>
      </c>
    </row>
    <row r="305" spans="1:13" hidden="1" x14ac:dyDescent="0.55000000000000004">
      <c r="A305" t="s">
        <v>856</v>
      </c>
      <c r="B305" t="s">
        <v>1662</v>
      </c>
      <c r="C305" t="s">
        <v>2009</v>
      </c>
      <c r="D305" t="s">
        <v>1657</v>
      </c>
      <c r="E305" t="s">
        <v>2609</v>
      </c>
      <c r="F305" t="str">
        <f t="shared" si="4"/>
        <v>"C:\Program Files\VideoLAN\VLC\vlc.exe" "http://listen-nation.sharp-stream.com/nationradio70s.aac?ref=RF"</v>
      </c>
      <c r="M305" t="e">
        <f>VLOOKUP(A305,logos!$A$2:$A$10004,1,FALSE)</f>
        <v>#N/A</v>
      </c>
    </row>
    <row r="306" spans="1:13" hidden="1" x14ac:dyDescent="0.55000000000000004">
      <c r="A306" t="s">
        <v>859</v>
      </c>
      <c r="B306" t="s">
        <v>1662</v>
      </c>
      <c r="C306" t="s">
        <v>2010</v>
      </c>
      <c r="D306" t="s">
        <v>1657</v>
      </c>
      <c r="E306" t="s">
        <v>2609</v>
      </c>
      <c r="F306" t="str">
        <f t="shared" si="4"/>
        <v>"C:\Program Files\VideoLAN\VLC\vlc.exe" "http://listen-nation.sharp-stream.com/nationradio80s.aac?ref=RF"</v>
      </c>
      <c r="M306" t="e">
        <f>VLOOKUP(A306,logos!$A$2:$A$10004,1,FALSE)</f>
        <v>#N/A</v>
      </c>
    </row>
    <row r="307" spans="1:13" hidden="1" x14ac:dyDescent="0.55000000000000004">
      <c r="A307" t="s">
        <v>862</v>
      </c>
      <c r="B307" t="s">
        <v>1662</v>
      </c>
      <c r="C307" t="s">
        <v>2011</v>
      </c>
      <c r="D307" t="s">
        <v>1657</v>
      </c>
      <c r="E307" t="s">
        <v>2609</v>
      </c>
      <c r="F307" t="str">
        <f t="shared" si="4"/>
        <v>"C:\Program Files\VideoLAN\VLC\vlc.exe" "http://listen-nation.sharp-stream.com/nationradio90s.aac?ref=RF"</v>
      </c>
      <c r="M307" t="e">
        <f>VLOOKUP(A307,logos!$A$2:$A$10004,1,FALSE)</f>
        <v>#N/A</v>
      </c>
    </row>
    <row r="308" spans="1:13" hidden="1" x14ac:dyDescent="0.55000000000000004">
      <c r="A308" t="s">
        <v>868</v>
      </c>
      <c r="B308" t="s">
        <v>1662</v>
      </c>
      <c r="C308" t="s">
        <v>2013</v>
      </c>
      <c r="D308" t="s">
        <v>1657</v>
      </c>
      <c r="E308" t="s">
        <v>2609</v>
      </c>
      <c r="F308" t="str">
        <f t="shared" si="4"/>
        <v>"C:\Program Files\VideoLAN\VLC\vlc.exe" "http://listen-nation.sharp-stream.com/clubnation.aac?ref=RF"</v>
      </c>
      <c r="M308" t="e">
        <f>VLOOKUP(A308,logos!$A$2:$A$10004,1,FALSE)</f>
        <v>#N/A</v>
      </c>
    </row>
    <row r="309" spans="1:13" hidden="1" x14ac:dyDescent="0.55000000000000004">
      <c r="A309" t="s">
        <v>871</v>
      </c>
      <c r="B309" t="s">
        <v>1662</v>
      </c>
      <c r="C309" t="s">
        <v>2014</v>
      </c>
      <c r="D309" t="s">
        <v>1657</v>
      </c>
      <c r="E309" t="s">
        <v>2609</v>
      </c>
      <c r="F309" t="str">
        <f t="shared" si="4"/>
        <v>"C:\Program Files\VideoLAN\VLC\vlc.exe" "http://listen-nation.sharp-stream.com/nationhits.aac?ref=RF"</v>
      </c>
      <c r="M309" t="e">
        <f>VLOOKUP(A309,logos!$A$2:$A$10004,1,FALSE)</f>
        <v>#N/A</v>
      </c>
    </row>
    <row r="310" spans="1:13" hidden="1" x14ac:dyDescent="0.55000000000000004">
      <c r="A310" t="s">
        <v>874</v>
      </c>
      <c r="B310" t="s">
        <v>1662</v>
      </c>
      <c r="C310" t="s">
        <v>2015</v>
      </c>
      <c r="D310" t="s">
        <v>1657</v>
      </c>
      <c r="E310" t="s">
        <v>2609</v>
      </c>
      <c r="F310" t="str">
        <f t="shared" si="4"/>
        <v>"C:\Program Files\VideoLAN\VLC\vlc.exe" "http://listen-nation.sharp-stream.com/lovenation.aac?ref=RF"</v>
      </c>
      <c r="M310" t="e">
        <f>VLOOKUP(A310,logos!$A$2:$A$10004,1,FALSE)</f>
        <v>#N/A</v>
      </c>
    </row>
    <row r="311" spans="1:13" hidden="1" x14ac:dyDescent="0.55000000000000004">
      <c r="A311" t="s">
        <v>877</v>
      </c>
      <c r="B311" t="s">
        <v>1662</v>
      </c>
      <c r="C311" t="s">
        <v>2016</v>
      </c>
      <c r="D311" t="s">
        <v>1657</v>
      </c>
      <c r="E311" t="s">
        <v>2609</v>
      </c>
      <c r="F311" t="str">
        <f t="shared" si="4"/>
        <v>"C:\Program Files\VideoLAN\VLC\vlc.exe" "http://listen-nation.sharp-stream.com/nationparty.aac?ref=RF"</v>
      </c>
      <c r="M311" t="e">
        <f>VLOOKUP(A311,logos!$A$2:$A$10004,1,FALSE)</f>
        <v>#N/A</v>
      </c>
    </row>
    <row r="312" spans="1:13" hidden="1" x14ac:dyDescent="0.55000000000000004">
      <c r="A312" t="s">
        <v>2783</v>
      </c>
      <c r="B312" t="s">
        <v>1662</v>
      </c>
      <c r="C312" t="s">
        <v>2017</v>
      </c>
      <c r="D312" t="s">
        <v>1657</v>
      </c>
      <c r="E312" t="s">
        <v>2609</v>
      </c>
      <c r="F312" t="str">
        <f t="shared" si="4"/>
        <v>"C:\Program Files\VideoLAN\VLC\vlc.exe" "http://listen-nation.sharp-stream.com/hulli.aac?ref=RF"</v>
      </c>
      <c r="M312" t="e">
        <f>VLOOKUP(A312,logos!$A$2:$A$10004,1,FALSE)</f>
        <v>#N/A</v>
      </c>
    </row>
    <row r="313" spans="1:13" hidden="1" x14ac:dyDescent="0.55000000000000004">
      <c r="A313" t="s">
        <v>2784</v>
      </c>
      <c r="B313" t="s">
        <v>1662</v>
      </c>
      <c r="C313" t="s">
        <v>2018</v>
      </c>
      <c r="D313" t="s">
        <v>1657</v>
      </c>
      <c r="E313" t="s">
        <v>2609</v>
      </c>
      <c r="F313" t="str">
        <f t="shared" si="4"/>
        <v>"C:\Program Files\VideoLAN\VLC\vlc.exe" "http://listen-nation.sharp-stream.com/yourradioi.aac?ref=RF"</v>
      </c>
      <c r="M313" t="e">
        <f>VLOOKUP(A313,logos!$A$2:$A$10004,1,FALSE)</f>
        <v>#N/A</v>
      </c>
    </row>
    <row r="314" spans="1:13" hidden="1" x14ac:dyDescent="0.55000000000000004">
      <c r="A314" t="s">
        <v>2785</v>
      </c>
      <c r="B314" t="s">
        <v>1662</v>
      </c>
      <c r="C314" t="s">
        <v>2019</v>
      </c>
      <c r="D314" t="s">
        <v>1657</v>
      </c>
      <c r="E314" t="s">
        <v>2609</v>
      </c>
      <c r="F314" t="str">
        <f t="shared" si="4"/>
        <v>"C:\Program Files\VideoLAN\VLC\vlc.exe" "http://listen-nation.sharp-stream.com/nationscotlandi.aac?ref=RF"</v>
      </c>
      <c r="M314" t="e">
        <f>VLOOKUP(A314,logos!$A$2:$A$10004,1,FALSE)</f>
        <v>#N/A</v>
      </c>
    </row>
    <row r="315" spans="1:13" hidden="1" x14ac:dyDescent="0.55000000000000004">
      <c r="A315" t="s">
        <v>2786</v>
      </c>
      <c r="B315" t="s">
        <v>1662</v>
      </c>
      <c r="C315" t="s">
        <v>2020</v>
      </c>
      <c r="D315" t="s">
        <v>1657</v>
      </c>
      <c r="E315" t="s">
        <v>2609</v>
      </c>
      <c r="F315" t="str">
        <f t="shared" si="4"/>
        <v>"C:\Program Files\VideoLAN\VLC\vlc.exe" "http://listen-nation.sharp-stream.com/nationdorset.aac?ref=RF"</v>
      </c>
      <c r="M315" t="e">
        <f>VLOOKUP(A315,logos!$A$2:$A$10004,1,FALSE)</f>
        <v>#N/A</v>
      </c>
    </row>
    <row r="316" spans="1:13" hidden="1" x14ac:dyDescent="0.55000000000000004">
      <c r="A316" t="s">
        <v>2787</v>
      </c>
      <c r="B316" t="s">
        <v>1662</v>
      </c>
      <c r="C316" t="s">
        <v>2021</v>
      </c>
      <c r="D316" t="s">
        <v>1657</v>
      </c>
      <c r="E316" t="s">
        <v>2609</v>
      </c>
      <c r="F316" t="str">
        <f t="shared" si="4"/>
        <v>"C:\Program Files\VideoLAN\VLC\vlc.exe" "http://listen-nation.sharp-stream.com/nationhampshire.aac?ref=RF"</v>
      </c>
      <c r="M316" t="e">
        <f>VLOOKUP(A316,logos!$A$2:$A$10004,1,FALSE)</f>
        <v>#N/A</v>
      </c>
    </row>
    <row r="317" spans="1:13" hidden="1" x14ac:dyDescent="0.55000000000000004">
      <c r="A317" t="s">
        <v>2788</v>
      </c>
      <c r="B317" t="s">
        <v>1662</v>
      </c>
      <c r="C317" t="s">
        <v>2022</v>
      </c>
      <c r="D317" t="s">
        <v>1657</v>
      </c>
      <c r="E317" t="s">
        <v>2609</v>
      </c>
      <c r="F317" t="str">
        <f t="shared" si="4"/>
        <v>"C:\Program Files\VideoLAN\VLC\vlc.exe" "http://listen-nation.sharp-stream.com/nationsuffolk.aac?ref=RF"</v>
      </c>
      <c r="M317" t="e">
        <f>VLOOKUP(A317,logos!$A$2:$A$10004,1,FALSE)</f>
        <v>#N/A</v>
      </c>
    </row>
    <row r="318" spans="1:13" hidden="1" x14ac:dyDescent="0.55000000000000004">
      <c r="A318" t="s">
        <v>2789</v>
      </c>
      <c r="B318" t="s">
        <v>1662</v>
      </c>
      <c r="C318" t="s">
        <v>2023</v>
      </c>
      <c r="D318" t="s">
        <v>1657</v>
      </c>
      <c r="E318" t="s">
        <v>2609</v>
      </c>
      <c r="F318" t="str">
        <f t="shared" si="4"/>
        <v>"C:\Program Files\VideoLAN\VLC\vlc.exe" "http://listen-nation.sharp-stream.com/thamesradio.aac?ref=RF"</v>
      </c>
      <c r="M318" t="e">
        <f>VLOOKUP(A318,logos!$A$2:$A$10004,1,FALSE)</f>
        <v>#N/A</v>
      </c>
    </row>
    <row r="319" spans="1:13" hidden="1" x14ac:dyDescent="0.55000000000000004">
      <c r="A319" t="s">
        <v>2791</v>
      </c>
      <c r="B319" t="s">
        <v>1662</v>
      </c>
      <c r="C319" t="s">
        <v>2025</v>
      </c>
      <c r="D319" t="s">
        <v>1657</v>
      </c>
      <c r="E319" t="s">
        <v>2609</v>
      </c>
      <c r="F319" t="str">
        <f t="shared" si="4"/>
        <v>"C:\Program Files\VideoLAN\VLC\vlc.exe" "http://listen-nation.sharp-stream.com/tcnationi.aac?ref=RF"</v>
      </c>
      <c r="M319" t="e">
        <f>VLOOKUP(A319,logos!$A$2:$A$10004,1,FALSE)</f>
        <v>#N/A</v>
      </c>
    </row>
    <row r="320" spans="1:13" hidden="1" x14ac:dyDescent="0.55000000000000004">
      <c r="A320" t="s">
        <v>909</v>
      </c>
      <c r="B320" t="s">
        <v>1662</v>
      </c>
      <c r="C320" t="s">
        <v>2027</v>
      </c>
      <c r="D320" t="s">
        <v>1657</v>
      </c>
      <c r="E320" t="s">
        <v>2609</v>
      </c>
      <c r="F320" t="str">
        <f t="shared" si="4"/>
        <v>"C:\Program Files\VideoLAN\VLC\vlc.exe" "http://listen-nation.sharp-stream.com/nationrocks.aac?ref=RF"</v>
      </c>
      <c r="M320" t="e">
        <f>VLOOKUP(A320,logos!$A$2:$A$10004,1,FALSE)</f>
        <v>#N/A</v>
      </c>
    </row>
    <row r="321" spans="1:13" hidden="1" x14ac:dyDescent="0.55000000000000004">
      <c r="A321" t="s">
        <v>912</v>
      </c>
      <c r="B321" t="s">
        <v>1662</v>
      </c>
      <c r="C321" t="s">
        <v>2028</v>
      </c>
      <c r="D321" t="s">
        <v>1657</v>
      </c>
      <c r="E321" t="s">
        <v>2609</v>
      </c>
      <c r="F321" t="str">
        <f t="shared" si="4"/>
        <v>"C:\Program Files\VideoLAN\VLC\vlc.exe" "http://stream.audiospace.co:80/newsradiouk"</v>
      </c>
      <c r="M321" t="e">
        <f>VLOOKUP(A321,logos!$A$2:$A$10004,1,FALSE)</f>
        <v>#N/A</v>
      </c>
    </row>
    <row r="322" spans="1:13" hidden="1" x14ac:dyDescent="0.55000000000000004">
      <c r="A322" t="s">
        <v>923</v>
      </c>
      <c r="B322" t="s">
        <v>1662</v>
      </c>
      <c r="C322" t="s">
        <v>2031</v>
      </c>
      <c r="D322" t="s">
        <v>1657</v>
      </c>
      <c r="E322" t="s">
        <v>2609</v>
      </c>
      <c r="F322" t="str">
        <f t="shared" si="4"/>
        <v>"C:\Program Files\VideoLAN\VLC\vlc.exe" "http://edge-bauermz-01-gos2.sharp-stream.com/northsound1.aac?aw_0_1st.skey=1666797746"</v>
      </c>
      <c r="M322" t="str">
        <f>VLOOKUP(A322,logos!$A$2:$A$10004,1,FALSE)</f>
        <v>Northsound 1</v>
      </c>
    </row>
    <row r="323" spans="1:13" hidden="1" x14ac:dyDescent="0.55000000000000004">
      <c r="A323" t="s">
        <v>925</v>
      </c>
      <c r="B323" t="s">
        <v>1662</v>
      </c>
      <c r="C323" t="s">
        <v>2032</v>
      </c>
      <c r="D323" t="s">
        <v>1657</v>
      </c>
      <c r="E323" t="s">
        <v>2609</v>
      </c>
      <c r="F323" t="str">
        <f t="shared" ref="F323:F386" si="5">"""C:\Program Files\VideoLAN\VLC\vlc.exe"" """&amp;C323&amp;""""</f>
        <v>"C:\Program Files\VideoLAN\VLC\vlc.exe" "http://edge-bauermz-01-gos2.sharp-stream.com/northsound2.aac?aw_0_1st.skey=1666797746"</v>
      </c>
      <c r="M323" t="str">
        <f>VLOOKUP(A323,logos!$A$2:$A$10004,1,FALSE)</f>
        <v>Northsound 2</v>
      </c>
    </row>
    <row r="324" spans="1:13" hidden="1" x14ac:dyDescent="0.55000000000000004">
      <c r="A324" t="s">
        <v>929</v>
      </c>
      <c r="B324" t="s">
        <v>1662</v>
      </c>
      <c r="C324" t="s">
        <v>2033</v>
      </c>
      <c r="D324" t="s">
        <v>1657</v>
      </c>
      <c r="E324" t="s">
        <v>2609</v>
      </c>
      <c r="F324" t="str">
        <f t="shared" si="5"/>
        <v>"C:\Program Files\VideoLAN\VLC\vlc.exe" "http://likeradiostream.com:8080/owrukaac?ref=RF"</v>
      </c>
      <c r="M324" t="e">
        <f>VLOOKUP(A324,logos!$A$2:$A$10004,1,FALSE)</f>
        <v>#N/A</v>
      </c>
    </row>
    <row r="325" spans="1:13" hidden="1" x14ac:dyDescent="0.55000000000000004">
      <c r="A325" t="s">
        <v>931</v>
      </c>
      <c r="B325" t="s">
        <v>1662</v>
      </c>
      <c r="C325" t="s">
        <v>2034</v>
      </c>
      <c r="D325" t="s">
        <v>1657</v>
      </c>
      <c r="E325" t="s">
        <v>2609</v>
      </c>
      <c r="F325" t="str">
        <f t="shared" si="5"/>
        <v>"C:\Program Files\VideoLAN\VLC\vlc.exe" "http://listen-original.sharp-stream.com/original106.aac?ref=RF"</v>
      </c>
      <c r="M325" t="e">
        <f>VLOOKUP(A325,logos!$A$2:$A$10004,1,FALSE)</f>
        <v>#N/A</v>
      </c>
    </row>
    <row r="326" spans="1:13" hidden="1" x14ac:dyDescent="0.55000000000000004">
      <c r="A326" t="s">
        <v>942</v>
      </c>
      <c r="B326" t="s">
        <v>1662</v>
      </c>
      <c r="C326" t="s">
        <v>2037</v>
      </c>
      <c r="D326" t="s">
        <v>1657</v>
      </c>
      <c r="E326" t="s">
        <v>2609</v>
      </c>
      <c r="F326" t="str">
        <f t="shared" si="5"/>
        <v>"C:\Program Files\VideoLAN\VLC\vlc.exe" "http://stream.mybroadbandradio.com/passionradio?ref=RF"</v>
      </c>
      <c r="M326" t="e">
        <f>VLOOKUP(A326,logos!$A$2:$A$10004,1,FALSE)</f>
        <v>#N/A</v>
      </c>
    </row>
    <row r="327" spans="1:13" hidden="1" x14ac:dyDescent="0.55000000000000004">
      <c r="A327" t="s">
        <v>2794</v>
      </c>
      <c r="B327" t="s">
        <v>1662</v>
      </c>
      <c r="C327" t="s">
        <v>2040</v>
      </c>
      <c r="D327" t="s">
        <v>1657</v>
      </c>
      <c r="E327" t="s">
        <v>2609</v>
      </c>
      <c r="F327" t="str">
        <f t="shared" si="5"/>
        <v>"C:\Program Files\VideoLAN\VLC\vlc.exe" "http://edge-bauermz-01-gos2.sharp-stream.com/net1cornwalleast.aac?aw_0_1st.skey=1666797747"</v>
      </c>
      <c r="M327" t="e">
        <f>VLOOKUP(A327,logos!$A$2:$A$10004,1,FALSE)</f>
        <v>#N/A</v>
      </c>
    </row>
    <row r="328" spans="1:13" hidden="1" x14ac:dyDescent="0.55000000000000004">
      <c r="A328" t="s">
        <v>2795</v>
      </c>
      <c r="B328" t="s">
        <v>1662</v>
      </c>
      <c r="C328" t="s">
        <v>2041</v>
      </c>
      <c r="D328" t="s">
        <v>1657</v>
      </c>
      <c r="E328" t="s">
        <v>2609</v>
      </c>
      <c r="F328" t="str">
        <f t="shared" si="5"/>
        <v>"C:\Program Files\VideoLAN\VLC\vlc.exe" "http://edge-bauermz-01-gos2.sharp-stream.com/net1cornwall.aac?aw_0_1st.skey=1666797748"</v>
      </c>
      <c r="M328" t="str">
        <f>VLOOKUP(A328,logos!$A$2:$A$10004,1,FALSE)</f>
        <v>Pirate FM (West)</v>
      </c>
    </row>
    <row r="329" spans="1:13" hidden="1" x14ac:dyDescent="0.55000000000000004">
      <c r="A329" t="s">
        <v>950</v>
      </c>
      <c r="B329" t="s">
        <v>1662</v>
      </c>
      <c r="C329" t="s">
        <v>2042</v>
      </c>
      <c r="D329" t="s">
        <v>1657</v>
      </c>
      <c r="E329" t="s">
        <v>2609</v>
      </c>
      <c r="F329" t="str">
        <f t="shared" si="5"/>
        <v>"C:\Program Files\VideoLAN\VLC\vlc.exe" "http://edge-bauermz-01-gos2.sharp-stream.com/planetrock.aac?aw_0_1st.skey=1666797748"</v>
      </c>
      <c r="M329" t="str">
        <f>VLOOKUP(A329,logos!$A$2:$A$10004,1,FALSE)</f>
        <v>Planet Rock</v>
      </c>
    </row>
    <row r="330" spans="1:13" hidden="1" x14ac:dyDescent="0.55000000000000004">
      <c r="A330" t="s">
        <v>952</v>
      </c>
      <c r="B330" t="s">
        <v>1662</v>
      </c>
      <c r="C330" t="s">
        <v>2043</v>
      </c>
      <c r="D330" t="s">
        <v>1657</v>
      </c>
      <c r="E330" t="s">
        <v>2609</v>
      </c>
      <c r="F330" t="str">
        <f t="shared" si="5"/>
        <v>"C:\Program Files\VideoLAN\VLC\vlc.exe" "http://22183.live.streamtheworld.com:80/PODCAST_RADIOAAC_SC"</v>
      </c>
      <c r="M330" t="e">
        <f>VLOOKUP(A330,logos!$A$2:$A$10004,1,FALSE)</f>
        <v>#N/A</v>
      </c>
    </row>
    <row r="331" spans="1:13" hidden="1" x14ac:dyDescent="0.55000000000000004">
      <c r="A331" t="s">
        <v>952</v>
      </c>
      <c r="B331" t="s">
        <v>1662</v>
      </c>
      <c r="C331" t="s">
        <v>2044</v>
      </c>
      <c r="D331" t="s">
        <v>1657</v>
      </c>
      <c r="E331" t="s">
        <v>2609</v>
      </c>
      <c r="F331" t="str">
        <f t="shared" si="5"/>
        <v>"C:\Program Files\VideoLAN\VLC\vlc.exe" "http://22183.live.streamtheworld.com:3690/PODCAST_RADIOAAC_SC"</v>
      </c>
      <c r="M331" t="e">
        <f>VLOOKUP(A331,logos!$A$2:$A$10004,1,FALSE)</f>
        <v>#N/A</v>
      </c>
    </row>
    <row r="332" spans="1:13" hidden="1" x14ac:dyDescent="0.55000000000000004">
      <c r="A332" t="s">
        <v>952</v>
      </c>
      <c r="B332" t="s">
        <v>1662</v>
      </c>
      <c r="C332" t="s">
        <v>2045</v>
      </c>
      <c r="D332" t="s">
        <v>1657</v>
      </c>
      <c r="E332" t="s">
        <v>2609</v>
      </c>
      <c r="F332" t="str">
        <f t="shared" si="5"/>
        <v>"C:\Program Files\VideoLAN\VLC\vlc.exe" "http://25443.live.streamtheworld.com:80/PODCAST_RADIOAAC_SC"</v>
      </c>
      <c r="M332" t="e">
        <f>VLOOKUP(A332,logos!$A$2:$A$10004,1,FALSE)</f>
        <v>#N/A</v>
      </c>
    </row>
    <row r="333" spans="1:13" hidden="1" x14ac:dyDescent="0.55000000000000004">
      <c r="A333" t="s">
        <v>952</v>
      </c>
      <c r="B333" t="s">
        <v>1662</v>
      </c>
      <c r="C333" t="s">
        <v>2046</v>
      </c>
      <c r="D333" t="s">
        <v>1657</v>
      </c>
      <c r="E333" t="s">
        <v>2609</v>
      </c>
      <c r="F333" t="str">
        <f t="shared" si="5"/>
        <v>"C:\Program Files\VideoLAN\VLC\vlc.exe" "http://25443.live.streamtheworld.com:3690/PODCAST_RADIOAAC_SC"</v>
      </c>
      <c r="M333" t="e">
        <f>VLOOKUP(A333,logos!$A$2:$A$10004,1,FALSE)</f>
        <v>#N/A</v>
      </c>
    </row>
    <row r="334" spans="1:13" hidden="1" x14ac:dyDescent="0.55000000000000004">
      <c r="A334" t="s">
        <v>952</v>
      </c>
      <c r="B334" t="s">
        <v>1662</v>
      </c>
      <c r="C334" t="s">
        <v>2047</v>
      </c>
      <c r="D334" t="s">
        <v>1657</v>
      </c>
      <c r="E334" t="s">
        <v>2609</v>
      </c>
      <c r="F334" t="str">
        <f t="shared" si="5"/>
        <v>"C:\Program Files\VideoLAN\VLC\vlc.exe" "http://20133.live.streamtheworld.com:80/PODCAST_RADIOAAC_SC"</v>
      </c>
      <c r="M334" t="e">
        <f>VLOOKUP(A334,logos!$A$2:$A$10004,1,FALSE)</f>
        <v>#N/A</v>
      </c>
    </row>
    <row r="335" spans="1:13" hidden="1" x14ac:dyDescent="0.55000000000000004">
      <c r="A335" t="s">
        <v>952</v>
      </c>
      <c r="B335" t="s">
        <v>1662</v>
      </c>
      <c r="C335" t="s">
        <v>2048</v>
      </c>
      <c r="D335" t="s">
        <v>1657</v>
      </c>
      <c r="E335" t="s">
        <v>2609</v>
      </c>
      <c r="F335" t="str">
        <f t="shared" si="5"/>
        <v>"C:\Program Files\VideoLAN\VLC\vlc.exe" "http://20133.live.streamtheworld.com:3690/PODCAST_RADIOAAC_SC"</v>
      </c>
      <c r="M335" t="e">
        <f>VLOOKUP(A335,logos!$A$2:$A$10004,1,FALSE)</f>
        <v>#N/A</v>
      </c>
    </row>
    <row r="336" spans="1:13" hidden="1" x14ac:dyDescent="0.55000000000000004">
      <c r="A336" t="s">
        <v>976</v>
      </c>
      <c r="B336" t="s">
        <v>1662</v>
      </c>
      <c r="C336" t="s">
        <v>2051</v>
      </c>
      <c r="D336" t="s">
        <v>1657</v>
      </c>
      <c r="E336" t="s">
        <v>2609</v>
      </c>
      <c r="F336" t="str">
        <f t="shared" si="5"/>
        <v>"C:\Program Files\VideoLAN\VLC\vlc.exe" "http://edge-bauermz-01-gos2.sharp-stream.com/net1bradford.aac?aw_0_1st.skey=1666797749"</v>
      </c>
      <c r="M336" t="str">
        <f>VLOOKUP(A336,logos!$A$2:$A$10004,1,FALSE)</f>
        <v>Pulse 1</v>
      </c>
    </row>
    <row r="337" spans="1:13" hidden="1" x14ac:dyDescent="0.55000000000000004">
      <c r="A337" t="s">
        <v>2797</v>
      </c>
      <c r="B337" t="s">
        <v>1662</v>
      </c>
      <c r="C337" t="s">
        <v>2052</v>
      </c>
      <c r="D337" t="s">
        <v>1657</v>
      </c>
      <c r="E337" t="s">
        <v>2609</v>
      </c>
      <c r="F337" t="str">
        <f t="shared" si="5"/>
        <v>"C:\Program Files\VideoLAN\VLC\vlc.exe" "http://edge-audio-02-thn.sharp-stream.com:80/pure_radio.aac"</v>
      </c>
      <c r="M337" t="e">
        <f>VLOOKUP(A337,logos!$A$2:$A$10004,1,FALSE)</f>
        <v>#N/A</v>
      </c>
    </row>
    <row r="338" spans="1:13" hidden="1" x14ac:dyDescent="0.55000000000000004">
      <c r="A338" t="s">
        <v>1009</v>
      </c>
      <c r="B338" t="s">
        <v>1662</v>
      </c>
      <c r="C338" t="s">
        <v>2053</v>
      </c>
      <c r="D338" t="s">
        <v>1657</v>
      </c>
      <c r="E338" t="s">
        <v>2609</v>
      </c>
      <c r="F338" t="str">
        <f t="shared" si="5"/>
        <v>"C:\Program Files\VideoLAN\VLC\vlc.exe" "http://playoutonestreaming.com:8147/aac"</v>
      </c>
      <c r="M338" t="e">
        <f>VLOOKUP(A338,logos!$A$2:$A$10004,1,FALSE)</f>
        <v>#N/A</v>
      </c>
    </row>
    <row r="339" spans="1:13" hidden="1" x14ac:dyDescent="0.55000000000000004">
      <c r="A339" t="s">
        <v>1011</v>
      </c>
      <c r="B339" t="s">
        <v>1662</v>
      </c>
      <c r="C339" t="s">
        <v>2054</v>
      </c>
      <c r="D339" t="s">
        <v>1657</v>
      </c>
      <c r="E339" t="s">
        <v>2609</v>
      </c>
      <c r="F339" t="str">
        <f t="shared" si="5"/>
        <v>"C:\Program Files\VideoLAN\VLC\vlc.exe" "http://edge-bauerall-01-gos2.sharp-stream.com/borders.aac?aw_0_1st.skey=1666797749"</v>
      </c>
      <c r="M339" t="str">
        <f>VLOOKUP(A339,logos!$A$2:$A$10004,1,FALSE)</f>
        <v>Radio Borders</v>
      </c>
    </row>
    <row r="340" spans="1:13" hidden="1" x14ac:dyDescent="0.55000000000000004">
      <c r="A340" t="s">
        <v>1023</v>
      </c>
      <c r="B340" t="s">
        <v>1662</v>
      </c>
      <c r="C340" t="s">
        <v>2056</v>
      </c>
      <c r="D340" t="s">
        <v>1657</v>
      </c>
      <c r="E340" t="s">
        <v>2609</v>
      </c>
      <c r="F340" t="str">
        <f t="shared" si="5"/>
        <v>"C:\Program Files\VideoLAN\VLC\vlc.exe" "http://edge-bauerall-01-gos2.sharp-stream.com/city.aac?aw_0_1st.skey=1666797750"</v>
      </c>
      <c r="M340" t="str">
        <f>VLOOKUP(A340,logos!$A$2:$A$10004,1,FALSE)</f>
        <v>Radio City</v>
      </c>
    </row>
    <row r="341" spans="1:13" hidden="1" x14ac:dyDescent="0.55000000000000004">
      <c r="A341" t="s">
        <v>2799</v>
      </c>
      <c r="B341" t="s">
        <v>1662</v>
      </c>
      <c r="C341" t="s">
        <v>2062</v>
      </c>
      <c r="D341" t="s">
        <v>1657</v>
      </c>
      <c r="E341" t="s">
        <v>2609</v>
      </c>
      <c r="F341" t="str">
        <f t="shared" si="5"/>
        <v>"C:\Program Files\VideoLAN\VLC\vlc.exe" "http://dreamsiteradiocp5.com:8094/stream"</v>
      </c>
      <c r="M341" t="e">
        <f>VLOOKUP(A341,logos!$A$2:$A$10004,1,FALSE)</f>
        <v>#N/A</v>
      </c>
    </row>
    <row r="342" spans="1:13" hidden="1" x14ac:dyDescent="0.55000000000000004">
      <c r="A342" t="s">
        <v>1053</v>
      </c>
      <c r="B342" t="s">
        <v>1662</v>
      </c>
      <c r="C342" t="s">
        <v>2065</v>
      </c>
      <c r="D342" t="s">
        <v>1657</v>
      </c>
      <c r="E342" t="s">
        <v>2609</v>
      </c>
      <c r="F342" t="str">
        <f t="shared" si="5"/>
        <v>"C:\Program Files\VideoLAN\VLC\vlc.exe" "http://hyades.shoutca.st:8034/wokinglow"</v>
      </c>
      <c r="M342" t="e">
        <f>VLOOKUP(A342,logos!$A$2:$A$10004,1,FALSE)</f>
        <v>#N/A</v>
      </c>
    </row>
    <row r="343" spans="1:13" hidden="1" x14ac:dyDescent="0.55000000000000004">
      <c r="A343" t="s">
        <v>2800</v>
      </c>
      <c r="B343" t="s">
        <v>1662</v>
      </c>
      <c r="C343" t="s">
        <v>2066</v>
      </c>
      <c r="D343" t="s">
        <v>1657</v>
      </c>
      <c r="E343" t="s">
        <v>2609</v>
      </c>
      <c r="F343" t="str">
        <f t="shared" si="5"/>
        <v>"C:\Program Files\VideoLAN\VLC\vlc.exe" "http://icecast.thisisdax.com/RadioXLondon"</v>
      </c>
      <c r="M343" t="e">
        <f>VLOOKUP(A343,logos!$A$2:$A$10004,1,FALSE)</f>
        <v>#N/A</v>
      </c>
    </row>
    <row r="344" spans="1:13" hidden="1" x14ac:dyDescent="0.55000000000000004">
      <c r="A344" t="s">
        <v>2801</v>
      </c>
      <c r="B344" t="s">
        <v>1662</v>
      </c>
      <c r="C344" t="s">
        <v>2067</v>
      </c>
      <c r="D344" t="s">
        <v>1657</v>
      </c>
      <c r="E344" t="s">
        <v>2609</v>
      </c>
      <c r="F344" t="str">
        <f t="shared" si="5"/>
        <v>"C:\Program Files\VideoLAN\VLC\vlc.exe" "http://icecast.thisisdax.com/RadioXManchester"</v>
      </c>
      <c r="M344" t="e">
        <f>VLOOKUP(A344,logos!$A$2:$A$10004,1,FALSE)</f>
        <v>#N/A</v>
      </c>
    </row>
    <row r="345" spans="1:13" hidden="1" x14ac:dyDescent="0.55000000000000004">
      <c r="A345" t="s">
        <v>2802</v>
      </c>
      <c r="B345" t="s">
        <v>1662</v>
      </c>
      <c r="C345" t="s">
        <v>2068</v>
      </c>
      <c r="D345" t="s">
        <v>1657</v>
      </c>
      <c r="E345" t="s">
        <v>2609</v>
      </c>
      <c r="F345" t="str">
        <f t="shared" si="5"/>
        <v>"C:\Program Files\VideoLAN\VLC\vlc.exe" "http://icecast.thisisdax.com/RadioXUK"</v>
      </c>
      <c r="M345" t="str">
        <f>VLOOKUP(A345,logos!$A$2:$A$10004,1,FALSE)</f>
        <v>Radio X (UK)</v>
      </c>
    </row>
    <row r="346" spans="1:13" hidden="1" x14ac:dyDescent="0.55000000000000004">
      <c r="A346" t="s">
        <v>1082</v>
      </c>
      <c r="B346" t="s">
        <v>1662</v>
      </c>
      <c r="C346" t="s">
        <v>6067</v>
      </c>
      <c r="D346" t="s">
        <v>1657</v>
      </c>
      <c r="E346" t="s">
        <v>2609</v>
      </c>
      <c r="F346" t="str">
        <f t="shared" si="5"/>
        <v>"C:\Program Files\VideoLAN\VLC\vlc.exe" "http://edge-bauerall-01-gos2.sharp-stream.com/rock.aac"</v>
      </c>
      <c r="M346" t="str">
        <f>VLOOKUP(A346,logos!$A$2:$A$10004,1,FALSE)</f>
        <v>Rock FM</v>
      </c>
    </row>
    <row r="347" spans="1:13" hidden="1" x14ac:dyDescent="0.55000000000000004">
      <c r="A347" t="s">
        <v>1096</v>
      </c>
      <c r="B347" t="s">
        <v>1662</v>
      </c>
      <c r="C347" t="s">
        <v>2076</v>
      </c>
      <c r="D347" t="s">
        <v>1657</v>
      </c>
      <c r="E347" t="s">
        <v>2609</v>
      </c>
      <c r="F347" t="str">
        <f t="shared" si="5"/>
        <v>"C:\Program Files\VideoLAN\VLC\vlc.exe" "http://s4.xrad.io:8010/stream"</v>
      </c>
      <c r="M347" t="e">
        <f>VLOOKUP(A347,logos!$A$2:$A$10004,1,FALSE)</f>
        <v>#N/A</v>
      </c>
    </row>
    <row r="348" spans="1:13" hidden="1" x14ac:dyDescent="0.55000000000000004">
      <c r="A348" t="s">
        <v>1104</v>
      </c>
      <c r="B348" t="s">
        <v>1662</v>
      </c>
      <c r="C348" t="s">
        <v>2077</v>
      </c>
      <c r="D348" t="s">
        <v>1657</v>
      </c>
      <c r="E348" t="s">
        <v>2609</v>
      </c>
      <c r="F348" t="str">
        <f t="shared" si="5"/>
        <v>"C:\Program Files\VideoLAN\VLC\vlc.exe" "http://edge-bauermz-01-gos2.sharp-stream.com/scala.aac?aw_0_1st.skey=1666797753"</v>
      </c>
      <c r="M348" t="str">
        <f>VLOOKUP(A348,logos!$A$2:$A$10004,1,FALSE)</f>
        <v>Scala Radio</v>
      </c>
    </row>
    <row r="349" spans="1:13" hidden="1" x14ac:dyDescent="0.55000000000000004">
      <c r="A349" t="s">
        <v>1110</v>
      </c>
      <c r="B349" t="s">
        <v>1662</v>
      </c>
      <c r="C349" t="s">
        <v>2080</v>
      </c>
      <c r="D349" t="s">
        <v>1657</v>
      </c>
      <c r="E349" t="s">
        <v>2609</v>
      </c>
      <c r="F349" t="str">
        <f t="shared" si="5"/>
        <v>"C:\Program Files\VideoLAN\VLC\vlc.exe" "http://tx9.zetcast.net:8100/stream5?ref=RF"</v>
      </c>
      <c r="M349" t="e">
        <f>VLOOKUP(A349,logos!$A$2:$A$10004,1,FALSE)</f>
        <v>#N/A</v>
      </c>
    </row>
    <row r="350" spans="1:13" hidden="1" x14ac:dyDescent="0.55000000000000004">
      <c r="A350" t="s">
        <v>1113</v>
      </c>
      <c r="B350" t="s">
        <v>1662</v>
      </c>
      <c r="C350" t="s">
        <v>2083</v>
      </c>
      <c r="D350" t="s">
        <v>1657</v>
      </c>
      <c r="E350" t="s">
        <v>2609</v>
      </c>
      <c r="F350" t="str">
        <f t="shared" si="5"/>
        <v>"C:\Program Files\VideoLAN\VLC\vlc.exe" "http://edge-bauermz-01-gos2.sharp-stream.com/net1stoke.aac?aw_0_1st.skey=1666797754"</v>
      </c>
      <c r="M350" t="str">
        <f>VLOOKUP(A350,logos!$A$2:$A$10004,1,FALSE)</f>
        <v>Signal 1</v>
      </c>
    </row>
    <row r="351" spans="1:13" hidden="1" x14ac:dyDescent="0.55000000000000004">
      <c r="A351" t="s">
        <v>1115</v>
      </c>
      <c r="B351" t="s">
        <v>1662</v>
      </c>
      <c r="C351" t="s">
        <v>2084</v>
      </c>
      <c r="D351" t="s">
        <v>1657</v>
      </c>
      <c r="E351" t="s">
        <v>2609</v>
      </c>
      <c r="F351" t="str">
        <f t="shared" si="5"/>
        <v>"C:\Program Files\VideoLAN\VLC\vlc.exe" "http://edge-audio-03-gos2.sharp-stream.com:80/tcsilk.aac"</v>
      </c>
      <c r="M351" t="e">
        <f>VLOOKUP(A351,logos!$A$2:$A$10004,1,FALSE)</f>
        <v>#N/A</v>
      </c>
    </row>
    <row r="352" spans="1:13" hidden="1" x14ac:dyDescent="0.55000000000000004">
      <c r="A352" t="s">
        <v>1122</v>
      </c>
      <c r="B352" t="s">
        <v>1662</v>
      </c>
      <c r="C352" t="s">
        <v>2086</v>
      </c>
      <c r="D352" t="s">
        <v>1657</v>
      </c>
      <c r="E352" t="s">
        <v>2609</v>
      </c>
      <c r="F352" t="str">
        <f t="shared" si="5"/>
        <v>"C:\Program Files\VideoLAN\VLC\vlc.exe" "http://icecast.thisisdax.com/SmoothChill"</v>
      </c>
      <c r="M352" t="str">
        <f>VLOOKUP(A352,logos!$A$2:$A$10004,1,FALSE)</f>
        <v>Smooth Chill</v>
      </c>
    </row>
    <row r="353" spans="1:13" hidden="1" x14ac:dyDescent="0.55000000000000004">
      <c r="A353" t="s">
        <v>1125</v>
      </c>
      <c r="B353" t="s">
        <v>1662</v>
      </c>
      <c r="C353" t="s">
        <v>2087</v>
      </c>
      <c r="D353" t="s">
        <v>1657</v>
      </c>
      <c r="E353" t="s">
        <v>2609</v>
      </c>
      <c r="F353" t="str">
        <f t="shared" si="5"/>
        <v>"C:\Program Files\VideoLAN\VLC\vlc.exe" "http://icecast.thisisdax.com/SmoothCountry"</v>
      </c>
      <c r="M353" t="str">
        <f>VLOOKUP(A353,logos!$A$2:$A$10004,1,FALSE)</f>
        <v>Smooth Country</v>
      </c>
    </row>
    <row r="354" spans="1:13" hidden="1" x14ac:dyDescent="0.55000000000000004">
      <c r="A354" t="s">
        <v>2803</v>
      </c>
      <c r="B354" t="s">
        <v>1662</v>
      </c>
      <c r="C354" t="s">
        <v>2088</v>
      </c>
      <c r="D354" t="s">
        <v>1657</v>
      </c>
      <c r="E354" t="s">
        <v>2609</v>
      </c>
      <c r="F354" t="str">
        <f t="shared" si="5"/>
        <v>"C:\Program Files\VideoLAN\VLC\vlc.exe" "http://icecast.thisisdax.com/SmoothBristol"</v>
      </c>
      <c r="M354" t="str">
        <f>VLOOKUP(A354,logos!$A$2:$A$10004,1,FALSE)</f>
        <v>Smooth Radio (Bristol &amp; Bath)</v>
      </c>
    </row>
    <row r="355" spans="1:13" hidden="1" x14ac:dyDescent="0.55000000000000004">
      <c r="A355" t="s">
        <v>2804</v>
      </c>
      <c r="B355" t="s">
        <v>1662</v>
      </c>
      <c r="C355" t="s">
        <v>2089</v>
      </c>
      <c r="D355" t="s">
        <v>1657</v>
      </c>
      <c r="E355" t="s">
        <v>2609</v>
      </c>
      <c r="F355" t="str">
        <f t="shared" si="5"/>
        <v>"C:\Program Files\VideoLAN\VLC\vlc.exe" "http://icecast.thisisdax.com/SmoothDorset"</v>
      </c>
      <c r="M355" t="str">
        <f>VLOOKUP(A355,logos!$A$2:$A$10004,1,FALSE)</f>
        <v>Smooth Radio (Dorset)</v>
      </c>
    </row>
    <row r="356" spans="1:13" hidden="1" x14ac:dyDescent="0.55000000000000004">
      <c r="A356" t="s">
        <v>2805</v>
      </c>
      <c r="B356" t="s">
        <v>1662</v>
      </c>
      <c r="C356" t="s">
        <v>2090</v>
      </c>
      <c r="D356" t="s">
        <v>1657</v>
      </c>
      <c r="E356" t="s">
        <v>2609</v>
      </c>
      <c r="F356" t="str">
        <f t="shared" si="5"/>
        <v>"C:\Program Files\VideoLAN\VLC\vlc.exe" "http://icecast.thisisdax.com/SmoothDerby"</v>
      </c>
      <c r="M356" t="str">
        <f>VLOOKUP(A356,logos!$A$2:$A$10004,1,FALSE)</f>
        <v>Smooth Radio (East Midlands) (Derbyshire)</v>
      </c>
    </row>
    <row r="357" spans="1:13" hidden="1" x14ac:dyDescent="0.55000000000000004">
      <c r="A357" t="s">
        <v>2806</v>
      </c>
      <c r="B357" t="s">
        <v>1662</v>
      </c>
      <c r="C357" t="s">
        <v>2091</v>
      </c>
      <c r="D357" t="s">
        <v>1657</v>
      </c>
      <c r="E357" t="s">
        <v>2609</v>
      </c>
      <c r="F357" t="str">
        <f t="shared" si="5"/>
        <v>"C:\Program Files\VideoLAN\VLC\vlc.exe" "http://icecast.thisisdax.com/SmoothEastMids"</v>
      </c>
      <c r="M357" t="str">
        <f>VLOOKUP(A357,logos!$A$2:$A$10004,1,FALSE)</f>
        <v>Smooth Radio (East Midlands) (East Midlands)</v>
      </c>
    </row>
    <row r="358" spans="1:13" hidden="1" x14ac:dyDescent="0.55000000000000004">
      <c r="A358" t="s">
        <v>2807</v>
      </c>
      <c r="B358" t="s">
        <v>1662</v>
      </c>
      <c r="C358" t="s">
        <v>2092</v>
      </c>
      <c r="D358" t="s">
        <v>1657</v>
      </c>
      <c r="E358" t="s">
        <v>2609</v>
      </c>
      <c r="F358" t="str">
        <f t="shared" si="5"/>
        <v>"C:\Program Files\VideoLAN\VLC\vlc.exe" "http://icecast.thisisdax.com/SmoothNorthants"</v>
      </c>
      <c r="M358" t="str">
        <f>VLOOKUP(A358,logos!$A$2:$A$10004,1,FALSE)</f>
        <v>Smooth Radio (East Midlands) (Northamptonshire &amp; Peterborough)</v>
      </c>
    </row>
    <row r="359" spans="1:13" hidden="1" x14ac:dyDescent="0.55000000000000004">
      <c r="A359" t="s">
        <v>2808</v>
      </c>
      <c r="B359" t="s">
        <v>1662</v>
      </c>
      <c r="C359" t="s">
        <v>2093</v>
      </c>
      <c r="D359" t="s">
        <v>1657</v>
      </c>
      <c r="E359" t="s">
        <v>2609</v>
      </c>
      <c r="F359" t="str">
        <f t="shared" si="5"/>
        <v>"C:\Program Files\VideoLAN\VLC\vlc.exe" "http://icecast.thisisdax.com/SmoothEssex"</v>
      </c>
      <c r="M359" t="str">
        <f>VLOOKUP(A359,logos!$A$2:$A$10004,1,FALSE)</f>
        <v>Smooth Radio (Essex)</v>
      </c>
    </row>
    <row r="360" spans="1:13" hidden="1" x14ac:dyDescent="0.55000000000000004">
      <c r="A360" t="s">
        <v>2809</v>
      </c>
      <c r="B360" t="s">
        <v>1662</v>
      </c>
      <c r="C360" t="s">
        <v>2094</v>
      </c>
      <c r="D360" t="s">
        <v>1657</v>
      </c>
      <c r="E360" t="s">
        <v>2609</v>
      </c>
      <c r="F360" t="str">
        <f t="shared" si="5"/>
        <v>"C:\Program Files\VideoLAN\VLC\vlc.exe" "http://icecast.thisisdax.com/SmoothGloucester"</v>
      </c>
      <c r="M360" t="str">
        <f>VLOOKUP(A360,logos!$A$2:$A$10004,1,FALSE)</f>
        <v>Smooth Radio (Gloucestershire)</v>
      </c>
    </row>
    <row r="361" spans="1:13" hidden="1" x14ac:dyDescent="0.55000000000000004">
      <c r="A361" t="s">
        <v>2810</v>
      </c>
      <c r="B361" t="s">
        <v>1662</v>
      </c>
      <c r="C361" t="s">
        <v>2095</v>
      </c>
      <c r="D361" t="s">
        <v>1657</v>
      </c>
      <c r="E361" t="s">
        <v>2609</v>
      </c>
      <c r="F361" t="str">
        <f t="shared" si="5"/>
        <v>"C:\Program Files\VideoLAN\VLC\vlc.exe" "http://icecast.thisisdax.com/SmoothHampshire"</v>
      </c>
      <c r="M361" t="str">
        <f>VLOOKUP(A361,logos!$A$2:$A$10004,1,FALSE)</f>
        <v>Smooth Radio (Hampshire &amp; West Sussex)</v>
      </c>
    </row>
    <row r="362" spans="1:13" hidden="1" x14ac:dyDescent="0.55000000000000004">
      <c r="A362" t="s">
        <v>2811</v>
      </c>
      <c r="B362" t="s">
        <v>1662</v>
      </c>
      <c r="C362" t="s">
        <v>2096</v>
      </c>
      <c r="D362" t="s">
        <v>1657</v>
      </c>
      <c r="E362" t="s">
        <v>2609</v>
      </c>
      <c r="F362" t="str">
        <f t="shared" si="5"/>
        <v>"C:\Program Files\VideoLAN\VLC\vlc.exe" "http://icecast.thisisdax.com/SmoothHerts"</v>
      </c>
      <c r="M362" t="str">
        <f>VLOOKUP(A362,logos!$A$2:$A$10004,1,FALSE)</f>
        <v>Smooth Radio (Herts, Beds &amp; Bucks)</v>
      </c>
    </row>
    <row r="363" spans="1:13" hidden="1" x14ac:dyDescent="0.55000000000000004">
      <c r="A363" t="s">
        <v>2812</v>
      </c>
      <c r="B363" t="s">
        <v>1662</v>
      </c>
      <c r="C363" t="s">
        <v>2097</v>
      </c>
      <c r="D363" t="s">
        <v>1657</v>
      </c>
      <c r="E363" t="s">
        <v>2609</v>
      </c>
      <c r="F363" t="str">
        <f t="shared" si="5"/>
        <v>"C:\Program Files\VideoLAN\VLC\vlc.exe" "http://icecast.thisisdax.com/SmoothKent"</v>
      </c>
      <c r="M363" t="str">
        <f>VLOOKUP(A363,logos!$A$2:$A$10004,1,FALSE)</f>
        <v>Smooth Radio (Kent)</v>
      </c>
    </row>
    <row r="364" spans="1:13" x14ac:dyDescent="0.55000000000000004">
      <c r="A364" t="s">
        <v>2813</v>
      </c>
      <c r="B364" t="s">
        <v>1662</v>
      </c>
      <c r="C364" t="s">
        <v>2098</v>
      </c>
      <c r="D364" t="s">
        <v>1657</v>
      </c>
      <c r="E364" t="s">
        <v>2609</v>
      </c>
      <c r="F364" t="str">
        <f t="shared" si="5"/>
        <v>"C:\Program Files\VideoLAN\VLC\vlc.exe" "http://icecast.thisisdax.com/SmoothLakeDistrict"</v>
      </c>
      <c r="M364" t="str">
        <f>VLOOKUP(A364,logos!$A$2:$A$10004,1,FALSE)</f>
        <v>Smooth Radio (Lake District)</v>
      </c>
    </row>
    <row r="365" spans="1:13" hidden="1" x14ac:dyDescent="0.55000000000000004">
      <c r="A365" t="s">
        <v>2814</v>
      </c>
      <c r="B365" t="s">
        <v>1662</v>
      </c>
      <c r="C365" t="s">
        <v>2099</v>
      </c>
      <c r="D365" t="s">
        <v>1657</v>
      </c>
      <c r="E365" t="s">
        <v>2609</v>
      </c>
      <c r="F365" t="str">
        <f t="shared" si="5"/>
        <v>"C:\Program Files\VideoLAN\VLC\vlc.exe" "http://icecast.thisisdax.com/SmoothLondon"</v>
      </c>
      <c r="M365" t="str">
        <f>VLOOKUP(A365,logos!$A$2:$A$10004,1,FALSE)</f>
        <v>Smooth Radio (London)</v>
      </c>
    </row>
    <row r="366" spans="1:13" hidden="1" x14ac:dyDescent="0.55000000000000004">
      <c r="A366" t="s">
        <v>2815</v>
      </c>
      <c r="B366" t="s">
        <v>1662</v>
      </c>
      <c r="C366" t="s">
        <v>2100</v>
      </c>
      <c r="D366" t="s">
        <v>1657</v>
      </c>
      <c r="E366" t="s">
        <v>2609</v>
      </c>
      <c r="F366" t="str">
        <f t="shared" si="5"/>
        <v>"C:\Program Files\VideoLAN\VLC\vlc.exe" "http://icecast.thisisdax.com/SmoothNorfolk"</v>
      </c>
      <c r="M366" t="str">
        <f>VLOOKUP(A366,logos!$A$2:$A$10004,1,FALSE)</f>
        <v>Smooth Radio (Norfolk &amp; North Suffolk)</v>
      </c>
    </row>
    <row r="367" spans="1:13" hidden="1" x14ac:dyDescent="0.55000000000000004">
      <c r="A367" t="s">
        <v>2816</v>
      </c>
      <c r="B367" t="s">
        <v>1662</v>
      </c>
      <c r="C367" t="s">
        <v>2101</v>
      </c>
      <c r="D367" t="s">
        <v>1657</v>
      </c>
      <c r="E367" t="s">
        <v>2609</v>
      </c>
      <c r="F367" t="str">
        <f t="shared" si="5"/>
        <v>"C:\Program Files\VideoLAN\VLC\vlc.exe" "http://icecast.thisisdax.com/SmoothNorthEastS"</v>
      </c>
      <c r="M367" t="str">
        <f>VLOOKUP(A367,logos!$A$2:$A$10004,1,FALSE)</f>
        <v>Smooth Radio (North East England) (Teesside)</v>
      </c>
    </row>
    <row r="368" spans="1:13" hidden="1" x14ac:dyDescent="0.55000000000000004">
      <c r="A368" t="s">
        <v>2817</v>
      </c>
      <c r="B368" t="s">
        <v>1662</v>
      </c>
      <c r="C368" t="s">
        <v>2102</v>
      </c>
      <c r="D368" t="s">
        <v>1657</v>
      </c>
      <c r="E368" t="s">
        <v>2609</v>
      </c>
      <c r="F368" t="str">
        <f t="shared" si="5"/>
        <v>"C:\Program Files\VideoLAN\VLC\vlc.exe" "http://icecast.thisisdax.com/SmoothNorthEastN"</v>
      </c>
      <c r="M368" t="str">
        <f>VLOOKUP(A368,logos!$A$2:$A$10004,1,FALSE)</f>
        <v>Smooth Radio (North East England) (Tyne &amp; Wear)</v>
      </c>
    </row>
    <row r="369" spans="1:13" hidden="1" x14ac:dyDescent="0.55000000000000004">
      <c r="A369" t="s">
        <v>2818</v>
      </c>
      <c r="B369" t="s">
        <v>1662</v>
      </c>
      <c r="C369" t="s">
        <v>2103</v>
      </c>
      <c r="D369" t="s">
        <v>1657</v>
      </c>
      <c r="E369" t="s">
        <v>2609</v>
      </c>
      <c r="F369" t="str">
        <f t="shared" si="5"/>
        <v>"C:\Program Files\VideoLAN\VLC\vlc.exe" "http://icecast.thisisdax.com/SmoothNorthWales"</v>
      </c>
      <c r="M369" t="str">
        <f>VLOOKUP(A369,logos!$A$2:$A$10004,1,FALSE)</f>
        <v>Smooth Radio (North Wales &amp; Cheshire)</v>
      </c>
    </row>
    <row r="370" spans="1:13" hidden="1" x14ac:dyDescent="0.55000000000000004">
      <c r="A370" t="s">
        <v>2819</v>
      </c>
      <c r="B370" t="s">
        <v>1662</v>
      </c>
      <c r="C370" t="s">
        <v>2104</v>
      </c>
      <c r="D370" t="s">
        <v>1657</v>
      </c>
      <c r="E370" t="s">
        <v>2609</v>
      </c>
      <c r="F370" t="str">
        <f t="shared" si="5"/>
        <v>"C:\Program Files\VideoLAN\VLC\vlc.exe" "http://icecast.thisisdax.com/SmoothNorthWest"</v>
      </c>
      <c r="M370" t="str">
        <f>VLOOKUP(A370,logos!$A$2:$A$10004,1,FALSE)</f>
        <v>Smooth Radio (North West England)</v>
      </c>
    </row>
    <row r="371" spans="1:13" hidden="1" x14ac:dyDescent="0.55000000000000004">
      <c r="A371" t="s">
        <v>2820</v>
      </c>
      <c r="B371" t="s">
        <v>1662</v>
      </c>
      <c r="C371" t="s">
        <v>2105</v>
      </c>
      <c r="D371" t="s">
        <v>1657</v>
      </c>
      <c r="E371" t="s">
        <v>2609</v>
      </c>
      <c r="F371" t="str">
        <f t="shared" si="5"/>
        <v>"C:\Program Files\VideoLAN\VLC\vlc.exe" "http://icecast.thisisdax.com/SmoothPlymouth"</v>
      </c>
      <c r="M371" t="str">
        <f>VLOOKUP(A371,logos!$A$2:$A$10004,1,FALSE)</f>
        <v>Smooth Radio (Plymouth)</v>
      </c>
    </row>
    <row r="372" spans="1:13" hidden="1" x14ac:dyDescent="0.55000000000000004">
      <c r="A372" t="s">
        <v>2821</v>
      </c>
      <c r="B372" t="s">
        <v>1662</v>
      </c>
      <c r="C372" t="s">
        <v>2106</v>
      </c>
      <c r="D372" t="s">
        <v>1657</v>
      </c>
      <c r="E372" t="s">
        <v>2609</v>
      </c>
      <c r="F372" t="str">
        <f t="shared" si="5"/>
        <v>"C:\Program Files\VideoLAN\VLC\vlc.exe" "http://icecast.thisisdax.com/SmoothScotland"</v>
      </c>
      <c r="M372" t="str">
        <f>VLOOKUP(A372,logos!$A$2:$A$10004,1,FALSE)</f>
        <v>Smooth Radio (Scotland)</v>
      </c>
    </row>
    <row r="373" spans="1:13" hidden="1" x14ac:dyDescent="0.55000000000000004">
      <c r="A373" t="s">
        <v>2822</v>
      </c>
      <c r="B373" t="s">
        <v>1662</v>
      </c>
      <c r="C373" t="s">
        <v>2107</v>
      </c>
      <c r="D373" t="s">
        <v>1657</v>
      </c>
      <c r="E373" t="s">
        <v>2609</v>
      </c>
      <c r="F373" t="str">
        <f t="shared" si="5"/>
        <v>"C:\Program Files\VideoLAN\VLC\vlc.exe" "http://icecast.thisisdax.com/SmoothSouthWales"</v>
      </c>
      <c r="M373" t="str">
        <f>VLOOKUP(A373,logos!$A$2:$A$10004,1,FALSE)</f>
        <v>Smooth Radio (South Wales)</v>
      </c>
    </row>
    <row r="374" spans="1:13" hidden="1" x14ac:dyDescent="0.55000000000000004">
      <c r="A374" t="s">
        <v>2823</v>
      </c>
      <c r="B374" t="s">
        <v>1662</v>
      </c>
      <c r="C374" t="s">
        <v>2108</v>
      </c>
      <c r="D374" t="s">
        <v>1657</v>
      </c>
      <c r="E374" t="s">
        <v>2609</v>
      </c>
      <c r="F374" t="str">
        <f t="shared" si="5"/>
        <v>"C:\Program Files\VideoLAN\VLC\vlc.exe" "http://icecast.thisisdax.com/SmoothSuffolk"</v>
      </c>
      <c r="M374" t="str">
        <f>VLOOKUP(A374,logos!$A$2:$A$10004,1,FALSE)</f>
        <v>Smooth Radio (Suffolk)</v>
      </c>
    </row>
    <row r="375" spans="1:13" hidden="1" x14ac:dyDescent="0.55000000000000004">
      <c r="A375" t="s">
        <v>2824</v>
      </c>
      <c r="B375" t="s">
        <v>1662</v>
      </c>
      <c r="C375" t="s">
        <v>2109</v>
      </c>
      <c r="D375" t="s">
        <v>1657</v>
      </c>
      <c r="E375" t="s">
        <v>2609</v>
      </c>
      <c r="F375" t="str">
        <f t="shared" si="5"/>
        <v>"C:\Program Files\VideoLAN\VLC\vlc.exe" "http://icecast.thisisdax.com/SmoothSussex"</v>
      </c>
      <c r="M375" t="str">
        <f>VLOOKUP(A375,logos!$A$2:$A$10004,1,FALSE)</f>
        <v>Smooth Radio (Sussex)</v>
      </c>
    </row>
    <row r="376" spans="1:13" hidden="1" x14ac:dyDescent="0.55000000000000004">
      <c r="A376" t="s">
        <v>2825</v>
      </c>
      <c r="B376" t="s">
        <v>1662</v>
      </c>
      <c r="C376" t="s">
        <v>2110</v>
      </c>
      <c r="D376" t="s">
        <v>1657</v>
      </c>
      <c r="E376" t="s">
        <v>2609</v>
      </c>
      <c r="F376" t="str">
        <f t="shared" si="5"/>
        <v>"C:\Program Files\VideoLAN\VLC\vlc.exe" "http://icecast.thisisdax.com/SmoothBerkshire"</v>
      </c>
      <c r="M376" t="str">
        <f>VLOOKUP(A376,logos!$A$2:$A$10004,1,FALSE)</f>
        <v>Smooth Radio (Thames Valley)</v>
      </c>
    </row>
    <row r="377" spans="1:13" hidden="1" x14ac:dyDescent="0.55000000000000004">
      <c r="A377" t="s">
        <v>2826</v>
      </c>
      <c r="B377" t="s">
        <v>1662</v>
      </c>
      <c r="C377" t="s">
        <v>2111</v>
      </c>
      <c r="D377" t="s">
        <v>1657</v>
      </c>
      <c r="E377" t="s">
        <v>2609</v>
      </c>
      <c r="F377" t="str">
        <f t="shared" si="5"/>
        <v>"C:\Program Files\VideoLAN\VLC\vlc.exe" "http://icecast.thisisdax.com/SmoothUK"</v>
      </c>
      <c r="M377" t="str">
        <f>VLOOKUP(A377,logos!$A$2:$A$10004,1,FALSE)</f>
        <v>Smooth Radio (UK)</v>
      </c>
    </row>
    <row r="378" spans="1:13" hidden="1" x14ac:dyDescent="0.55000000000000004">
      <c r="A378" t="s">
        <v>2827</v>
      </c>
      <c r="B378" t="s">
        <v>1662</v>
      </c>
      <c r="C378" t="s">
        <v>2112</v>
      </c>
      <c r="D378" t="s">
        <v>1657</v>
      </c>
      <c r="E378" t="s">
        <v>2609</v>
      </c>
      <c r="F378" t="str">
        <f t="shared" si="5"/>
        <v>"C:\Program Files\VideoLAN\VLC\vlc.exe" "http://icecast.thisisdax.com/SmoothWestMids"</v>
      </c>
      <c r="M378" t="str">
        <f>VLOOKUP(A378,logos!$A$2:$A$10004,1,FALSE)</f>
        <v>Smooth Radio (West Midlands)</v>
      </c>
    </row>
    <row r="379" spans="1:13" hidden="1" x14ac:dyDescent="0.55000000000000004">
      <c r="A379" t="s">
        <v>2828</v>
      </c>
      <c r="B379" t="s">
        <v>1662</v>
      </c>
      <c r="C379" t="s">
        <v>2113</v>
      </c>
      <c r="D379" t="s">
        <v>1657</v>
      </c>
      <c r="E379" t="s">
        <v>2609</v>
      </c>
      <c r="F379" t="str">
        <f t="shared" si="5"/>
        <v>"C:\Program Files\VideoLAN\VLC\vlc.exe" "http://icecast.thisisdax.com/SmoothWiltshire"</v>
      </c>
      <c r="M379" t="str">
        <f>VLOOKUP(A379,logos!$A$2:$A$10004,1,FALSE)</f>
        <v>Smooth Radio (Wiltshire)</v>
      </c>
    </row>
    <row r="380" spans="1:13" hidden="1" x14ac:dyDescent="0.55000000000000004">
      <c r="A380" t="s">
        <v>1185</v>
      </c>
      <c r="B380" t="s">
        <v>1662</v>
      </c>
      <c r="C380" t="s">
        <v>2115</v>
      </c>
      <c r="D380" t="s">
        <v>1657</v>
      </c>
      <c r="E380" t="s">
        <v>2609</v>
      </c>
      <c r="F380" t="str">
        <f t="shared" si="5"/>
        <v>"C:\Program Files\VideoLAN\VLC\vlc.exe" "http://n20a-eu.rcs.revma.com:80/hz85pb6p108uv"</v>
      </c>
      <c r="M380" t="str">
        <f>VLOOKUP(A380,logos!$A$2:$A$10004,1,FALSE)</f>
        <v>Soleil Radio</v>
      </c>
    </row>
    <row r="381" spans="1:13" hidden="1" x14ac:dyDescent="0.55000000000000004">
      <c r="A381" t="s">
        <v>2829</v>
      </c>
      <c r="B381" t="s">
        <v>1662</v>
      </c>
      <c r="C381" t="s">
        <v>2119</v>
      </c>
      <c r="D381" t="s">
        <v>1657</v>
      </c>
      <c r="E381" t="s">
        <v>2609</v>
      </c>
      <c r="F381" t="str">
        <f t="shared" si="5"/>
        <v>"C:\Program Files\VideoLAN\VLC\vlc.exe" "http://n20a-eu.rcs.revma.com:80/2h1gs337ptzuv"</v>
      </c>
      <c r="M381" t="e">
        <f>VLOOKUP(A381,logos!$A$2:$A$10004,1,FALSE)</f>
        <v>#N/A</v>
      </c>
    </row>
    <row r="382" spans="1:13" hidden="1" x14ac:dyDescent="0.55000000000000004">
      <c r="A382" t="s">
        <v>1213</v>
      </c>
      <c r="B382" t="s">
        <v>1662</v>
      </c>
      <c r="C382" t="s">
        <v>2121</v>
      </c>
      <c r="D382" t="s">
        <v>1657</v>
      </c>
      <c r="E382" t="s">
        <v>2609</v>
      </c>
      <c r="F382" t="str">
        <f t="shared" si="5"/>
        <v>"C:\Program Files\VideoLAN\VLC\vlc.exe" "http://listen-nation.sharp-stream.com/sunfmi.aac?ref=RF"</v>
      </c>
      <c r="M382" t="e">
        <f>VLOOKUP(A382,logos!$A$2:$A$10004,1,FALSE)</f>
        <v>#N/A</v>
      </c>
    </row>
    <row r="383" spans="1:13" hidden="1" x14ac:dyDescent="0.55000000000000004">
      <c r="A383" t="s">
        <v>1247</v>
      </c>
      <c r="B383" t="s">
        <v>1662</v>
      </c>
      <c r="C383" t="s">
        <v>2127</v>
      </c>
      <c r="D383" t="s">
        <v>1657</v>
      </c>
      <c r="E383" t="s">
        <v>2609</v>
      </c>
      <c r="F383" t="str">
        <f t="shared" si="5"/>
        <v>"C:\Program Files\VideoLAN\VLC\vlc.exe" "http://edge-bauermz-01-gos2.sharp-stream.com/tayam.aac?aw_0_1st.skey=1666797758"</v>
      </c>
      <c r="M383" t="str">
        <f>VLOOKUP(A383,logos!$A$2:$A$10004,1,FALSE)</f>
        <v>Tay 2</v>
      </c>
    </row>
    <row r="384" spans="1:13" hidden="1" x14ac:dyDescent="0.55000000000000004">
      <c r="A384" t="s">
        <v>1245</v>
      </c>
      <c r="B384" t="s">
        <v>1662</v>
      </c>
      <c r="C384" t="s">
        <v>2126</v>
      </c>
      <c r="D384" t="s">
        <v>1657</v>
      </c>
      <c r="E384" t="s">
        <v>2609</v>
      </c>
      <c r="F384" t="str">
        <f t="shared" si="5"/>
        <v>"C:\Program Files\VideoLAN\VLC\vlc.exe" "http://edge-bauermz-01-gos2.sharp-stream.com/tayfm.aac?aw_0_1st.skey=1666797758"</v>
      </c>
      <c r="M384" t="str">
        <f>VLOOKUP(A384,logos!$A$2:$A$10004,1,FALSE)</f>
        <v>Tay FM</v>
      </c>
    </row>
    <row r="385" spans="1:13" hidden="1" x14ac:dyDescent="0.55000000000000004">
      <c r="A385" t="s">
        <v>1251</v>
      </c>
      <c r="B385" t="s">
        <v>1662</v>
      </c>
      <c r="C385" t="s">
        <v>2128</v>
      </c>
      <c r="D385" t="s">
        <v>1657</v>
      </c>
      <c r="E385" t="s">
        <v>2609</v>
      </c>
      <c r="F385" t="str">
        <f t="shared" si="5"/>
        <v>"C:\Program Files\VideoLAN\VLC\vlc.exe" "http://edge-bauermz-01-gos2.sharp-stream.com/tfm.aac?aw_0_1st.skey=1666797758"</v>
      </c>
      <c r="M385" t="str">
        <f>VLOOKUP(A385,logos!$A$2:$A$10004,1,FALSE)</f>
        <v>TFM</v>
      </c>
    </row>
    <row r="386" spans="1:13" hidden="1" x14ac:dyDescent="0.55000000000000004">
      <c r="A386" t="s">
        <v>1265</v>
      </c>
      <c r="B386" t="s">
        <v>1662</v>
      </c>
      <c r="C386" t="s">
        <v>2131</v>
      </c>
      <c r="D386" t="s">
        <v>1657</v>
      </c>
      <c r="E386" t="s">
        <v>2609</v>
      </c>
      <c r="F386" t="str">
        <f t="shared" si="5"/>
        <v>"C:\Program Files\VideoLAN\VLC\vlc.exe" "http://edge-bauermz-01-gos2.sharp-stream.com/net1swansea.aac?aw_0_1st.skey=1666797759"</v>
      </c>
      <c r="M386" t="str">
        <f>VLOOKUP(A386,logos!$A$2:$A$10004,1,FALSE)</f>
        <v>The Wave</v>
      </c>
    </row>
    <row r="387" spans="1:13" hidden="1" x14ac:dyDescent="0.55000000000000004">
      <c r="A387" t="s">
        <v>1273</v>
      </c>
      <c r="B387" t="s">
        <v>1662</v>
      </c>
      <c r="C387" t="s">
        <v>2133</v>
      </c>
      <c r="D387" t="s">
        <v>1657</v>
      </c>
      <c r="E387" t="s">
        <v>2609</v>
      </c>
      <c r="F387" t="str">
        <f t="shared" ref="F387:F450" si="6">"""C:\Program Files\VideoLAN\VLC\vlc.exe"" """&amp;C387&amp;""""</f>
        <v>"C:\Program Files\VideoLAN\VLC\vlc.exe" "http://timesradio.wireless.radio/stream-mobile?ref=rf"</v>
      </c>
      <c r="M387" t="str">
        <f>VLOOKUP(A387,logos!$A$2:$A$10004,1,FALSE)</f>
        <v>Times Radio</v>
      </c>
    </row>
    <row r="388" spans="1:13" hidden="1" x14ac:dyDescent="0.55000000000000004">
      <c r="A388" t="s">
        <v>1275</v>
      </c>
      <c r="B388" t="s">
        <v>1662</v>
      </c>
      <c r="C388" t="s">
        <v>2134</v>
      </c>
      <c r="D388" t="s">
        <v>1657</v>
      </c>
      <c r="E388" t="s">
        <v>2609</v>
      </c>
      <c r="F388" t="str">
        <f t="shared" si="6"/>
        <v>"C:\Program Files\VideoLAN\VLC\vlc.exe" "http://usa2-pn.mixstream.net:8060/;"</v>
      </c>
      <c r="M388" t="e">
        <f>VLOOKUP(A388,logos!$A$2:$A$10004,1,FALSE)</f>
        <v>#N/A</v>
      </c>
    </row>
    <row r="389" spans="1:13" hidden="1" x14ac:dyDescent="0.55000000000000004">
      <c r="A389" t="s">
        <v>1288</v>
      </c>
      <c r="B389" t="s">
        <v>1662</v>
      </c>
      <c r="C389" t="s">
        <v>2136</v>
      </c>
      <c r="D389" t="s">
        <v>1657</v>
      </c>
      <c r="E389" t="s">
        <v>2609</v>
      </c>
      <c r="F389" t="str">
        <f t="shared" si="6"/>
        <v>"C:\Program Files\VideoLAN\VLC\vlc.exe" "http://edge-audio-03-gos2.sharp-stream.com:80/ucbuk.aac"</v>
      </c>
      <c r="M389" t="e">
        <f>VLOOKUP(A389,logos!$A$2:$A$10004,1,FALSE)</f>
        <v>#N/A</v>
      </c>
    </row>
    <row r="390" spans="1:13" hidden="1" x14ac:dyDescent="0.55000000000000004">
      <c r="A390" t="s">
        <v>1290</v>
      </c>
      <c r="B390" t="s">
        <v>1662</v>
      </c>
      <c r="C390" t="s">
        <v>2137</v>
      </c>
      <c r="D390" t="s">
        <v>1657</v>
      </c>
      <c r="E390" t="s">
        <v>2609</v>
      </c>
      <c r="F390" t="str">
        <f t="shared" si="6"/>
        <v>"C:\Program Files\VideoLAN\VLC\vlc.exe" "http://edge-audio-03-gos2.sharp-stream.com:80/ucbinspirational.aac"</v>
      </c>
      <c r="M390" t="e">
        <f>VLOOKUP(A390,logos!$A$2:$A$10004,1,FALSE)</f>
        <v>#N/A</v>
      </c>
    </row>
    <row r="391" spans="1:13" hidden="1" x14ac:dyDescent="0.55000000000000004">
      <c r="A391" t="s">
        <v>1303</v>
      </c>
      <c r="B391" t="s">
        <v>1662</v>
      </c>
      <c r="C391" t="s">
        <v>2142</v>
      </c>
      <c r="D391" t="s">
        <v>1657</v>
      </c>
      <c r="E391" t="s">
        <v>2609</v>
      </c>
      <c r="F391" t="str">
        <f t="shared" si="6"/>
        <v>"C:\Program Files\VideoLAN\VLC\vlc.exe" "http://edge-bauermz-01-gos2.sharp-stream.com/viking.aac?aw_0_1st.skey=1666797760"</v>
      </c>
      <c r="M391" t="str">
        <f>VLOOKUP(A391,logos!$A$2:$A$10004,1,FALSE)</f>
        <v>Viking FM</v>
      </c>
    </row>
    <row r="392" spans="1:13" hidden="1" x14ac:dyDescent="0.55000000000000004">
      <c r="A392" t="s">
        <v>1305</v>
      </c>
      <c r="B392" t="s">
        <v>1662</v>
      </c>
      <c r="C392" t="s">
        <v>2143</v>
      </c>
      <c r="D392" t="s">
        <v>1657</v>
      </c>
      <c r="E392" t="s">
        <v>2609</v>
      </c>
      <c r="F392" t="str">
        <f t="shared" si="6"/>
        <v>"C:\Program Files\VideoLAN\VLC\vlc.exe" "http://radio.virginradio.co.uk/stream-mobile?ref=rf"</v>
      </c>
      <c r="M392" t="str">
        <f>VLOOKUP(A392,logos!$A$2:$A$10004,1,FALSE)</f>
        <v>Virgin Radio</v>
      </c>
    </row>
    <row r="393" spans="1:13" hidden="1" x14ac:dyDescent="0.55000000000000004">
      <c r="A393" t="s">
        <v>1308</v>
      </c>
      <c r="B393" t="s">
        <v>1662</v>
      </c>
      <c r="C393" t="s">
        <v>2144</v>
      </c>
      <c r="D393" t="s">
        <v>1657</v>
      </c>
      <c r="E393" t="s">
        <v>2609</v>
      </c>
      <c r="F393" t="str">
        <f t="shared" si="6"/>
        <v>"C:\Program Files\VideoLAN\VLC\vlc.exe" "http://radio.virginradio.co.uk/stream-pride-mobile?ref=rf"</v>
      </c>
      <c r="M393" t="str">
        <f>VLOOKUP(A393,logos!$A$2:$A$10004,1,FALSE)</f>
        <v>Virgin Radio 80s PLUS</v>
      </c>
    </row>
    <row r="394" spans="1:13" hidden="1" x14ac:dyDescent="0.55000000000000004">
      <c r="A394" t="s">
        <v>1310</v>
      </c>
      <c r="B394" t="s">
        <v>1662</v>
      </c>
      <c r="C394" t="s">
        <v>2145</v>
      </c>
      <c r="D394" t="s">
        <v>1657</v>
      </c>
      <c r="E394" t="s">
        <v>2609</v>
      </c>
      <c r="F394" t="str">
        <f t="shared" si="6"/>
        <v>"C:\Program Files\VideoLAN\VLC\vlc.exe" "http://radio.virginradio.co.uk/stream-anthems-mobile?ref=rf"</v>
      </c>
      <c r="M394" t="str">
        <f>VLOOKUP(A394,logos!$A$2:$A$10004,1,FALSE)</f>
        <v>Virgin Radio Anthems</v>
      </c>
    </row>
    <row r="395" spans="1:13" hidden="1" x14ac:dyDescent="0.55000000000000004">
      <c r="A395" t="s">
        <v>1312</v>
      </c>
      <c r="B395" t="s">
        <v>1662</v>
      </c>
      <c r="C395" t="s">
        <v>2146</v>
      </c>
      <c r="D395" t="s">
        <v>1657</v>
      </c>
      <c r="E395" t="s">
        <v>2609</v>
      </c>
      <c r="F395" t="str">
        <f t="shared" si="6"/>
        <v>"C:\Program Files\VideoLAN\VLC\vlc.exe" "http://radio.virginradio.co.uk/stream-chilled-mobile?ref=rf"</v>
      </c>
      <c r="M395" t="str">
        <f>VLOOKUP(A395,logos!$A$2:$A$10004,1,FALSE)</f>
        <v>Virgin Radio Chilled</v>
      </c>
    </row>
    <row r="396" spans="1:13" hidden="1" x14ac:dyDescent="0.55000000000000004">
      <c r="A396" t="s">
        <v>1316</v>
      </c>
      <c r="B396" t="s">
        <v>1662</v>
      </c>
      <c r="C396" t="s">
        <v>2147</v>
      </c>
      <c r="D396" t="s">
        <v>1657</v>
      </c>
      <c r="E396" t="s">
        <v>2609</v>
      </c>
      <c r="F396" t="str">
        <f t="shared" si="6"/>
        <v>"C:\Program Files\VideoLAN\VLC\vlc.exe" "http://edge-bauermz-01-gos2.sharp-stream.com/wave105.aac?aw_0_1st.skey=1666797761"</v>
      </c>
      <c r="M396" t="str">
        <f>VLOOKUP(A396,logos!$A$2:$A$10004,1,FALSE)</f>
        <v>Wave 105</v>
      </c>
    </row>
    <row r="397" spans="1:13" hidden="1" x14ac:dyDescent="0.55000000000000004">
      <c r="A397" t="s">
        <v>1318</v>
      </c>
      <c r="B397" t="s">
        <v>1662</v>
      </c>
      <c r="C397" t="s">
        <v>2148</v>
      </c>
      <c r="D397" t="s">
        <v>1657</v>
      </c>
      <c r="E397" t="s">
        <v>2609</v>
      </c>
      <c r="F397" t="str">
        <f t="shared" si="6"/>
        <v>"C:\Program Files\VideoLAN\VLC\vlc.exe" "http://stream3.radiomonitor.com/WavesRadio-Mobile?token=Y4iDZ2mLhGlog4eIk8iypISzsZqhf5qglLu5lg=="</v>
      </c>
      <c r="M397" t="e">
        <f>VLOOKUP(A397,logos!$A$2:$A$10004,1,FALSE)</f>
        <v>#N/A</v>
      </c>
    </row>
    <row r="398" spans="1:13" hidden="1" x14ac:dyDescent="0.55000000000000004">
      <c r="A398" t="s">
        <v>1320</v>
      </c>
      <c r="B398" t="s">
        <v>1662</v>
      </c>
      <c r="C398" t="s">
        <v>2149</v>
      </c>
      <c r="D398" t="s">
        <v>1657</v>
      </c>
      <c r="E398" t="s">
        <v>2609</v>
      </c>
      <c r="F398" t="str">
        <f t="shared" si="6"/>
        <v>"C:\Program Files\VideoLAN\VLC\vlc.exe" "http://edge-bauermz-01-gos2.sharp-stream.com/westfm.aac?aw_0_1st.skey=1666797762"</v>
      </c>
      <c r="M398" t="str">
        <f>VLOOKUP(A398,logos!$A$2:$A$10004,1,FALSE)</f>
        <v>West FM</v>
      </c>
    </row>
    <row r="399" spans="1:13" hidden="1" x14ac:dyDescent="0.55000000000000004">
      <c r="A399" t="s">
        <v>2833</v>
      </c>
      <c r="B399" t="s">
        <v>1662</v>
      </c>
      <c r="C399" t="s">
        <v>2150</v>
      </c>
      <c r="D399" t="s">
        <v>1657</v>
      </c>
      <c r="E399" t="s">
        <v>2609</v>
      </c>
      <c r="F399" t="str">
        <f t="shared" si="6"/>
        <v>"C:\Program Files\VideoLAN\VLC\vlc.exe" "http://edge-bauermz-01-gos2.sharp-stream.com/westsound.aac?aw_0_1st.skey=1666797762"</v>
      </c>
      <c r="M399" t="str">
        <f>VLOOKUP(A399,logos!$A$2:$A$10004,1,FALSE)</f>
        <v>West Sound (Ayrshire)</v>
      </c>
    </row>
    <row r="400" spans="1:13" hidden="1" x14ac:dyDescent="0.55000000000000004">
      <c r="A400" t="s">
        <v>2834</v>
      </c>
      <c r="B400" t="s">
        <v>1662</v>
      </c>
      <c r="C400" t="s">
        <v>2151</v>
      </c>
      <c r="D400" t="s">
        <v>1657</v>
      </c>
      <c r="E400" t="s">
        <v>2609</v>
      </c>
      <c r="F400" t="str">
        <f t="shared" si="6"/>
        <v>"C:\Program Files\VideoLAN\VLC\vlc.exe" "http://edge-bauermz-01-gos2.sharp-stream.com/westsoundfm.aac?aw_0_1st.skey=1666797762"</v>
      </c>
      <c r="M400" t="e">
        <f>VLOOKUP(A400,logos!$A$2:$A$10004,1,FALSE)</f>
        <v>#N/A</v>
      </c>
    </row>
    <row r="401" spans="1:13" hidden="1" x14ac:dyDescent="0.55000000000000004">
      <c r="A401" t="s">
        <v>2835</v>
      </c>
      <c r="B401" t="s">
        <v>1662</v>
      </c>
      <c r="C401" t="s">
        <v>2154</v>
      </c>
      <c r="D401" t="s">
        <v>1657</v>
      </c>
      <c r="E401" t="s">
        <v>2609</v>
      </c>
      <c r="F401" t="str">
        <f t="shared" si="6"/>
        <v>"C:\Program Files\VideoLAN\VLC\vlc.exe" "http://radioengland.co.uk:8100/zackDAB.aac"</v>
      </c>
      <c r="M401" t="e">
        <f>VLOOKUP(A401,logos!$A$2:$A$10004,1,FALSE)</f>
        <v>#N/A</v>
      </c>
    </row>
    <row r="402" spans="1:13" hidden="1" x14ac:dyDescent="0.55000000000000004">
      <c r="A402" t="s">
        <v>68</v>
      </c>
      <c r="B402" t="s">
        <v>1665</v>
      </c>
      <c r="C402" t="s">
        <v>1722</v>
      </c>
      <c r="D402" t="s">
        <v>1657</v>
      </c>
      <c r="E402" t="s">
        <v>2609</v>
      </c>
      <c r="F402" t="str">
        <f t="shared" si="6"/>
        <v>"C:\Program Files\VideoLAN\VLC\vlc.exe" "http://live.argyllfm.com/stream6?ref=RF"</v>
      </c>
      <c r="M402" t="e">
        <f>VLOOKUP(A402,logos!$A$2:$A$10004,1,FALSE)</f>
        <v>#N/A</v>
      </c>
    </row>
    <row r="403" spans="1:13" hidden="1" x14ac:dyDescent="0.55000000000000004">
      <c r="A403" t="s">
        <v>2617</v>
      </c>
      <c r="B403" t="s">
        <v>1665</v>
      </c>
      <c r="C403" t="s">
        <v>1733</v>
      </c>
      <c r="D403" t="s">
        <v>1657</v>
      </c>
      <c r="E403" t="s">
        <v>2609</v>
      </c>
      <c r="F403" t="str">
        <f t="shared" si="6"/>
        <v>"C:\Program Files\VideoLAN\VLC\vlc.exe" "http://edge-audio-02-thn.sharp-stream.com:80/ssvcbfbs1.aac"</v>
      </c>
      <c r="M403" t="e">
        <f>VLOOKUP(A403,logos!$A$2:$A$10004,1,FALSE)</f>
        <v>#N/A</v>
      </c>
    </row>
    <row r="404" spans="1:13" hidden="1" x14ac:dyDescent="0.55000000000000004">
      <c r="A404" t="s">
        <v>233</v>
      </c>
      <c r="B404" t="s">
        <v>1665</v>
      </c>
      <c r="C404" t="s">
        <v>1734</v>
      </c>
      <c r="D404" t="s">
        <v>1657</v>
      </c>
      <c r="E404" t="s">
        <v>2609</v>
      </c>
      <c r="F404" t="str">
        <f t="shared" si="6"/>
        <v>"C:\Program Files\VideoLAN\VLC\vlc.exe" "http://edge-audio-02-thn.sharp-stream.com:80/ssvcbfbs20.aac"</v>
      </c>
      <c r="M404" t="e">
        <f>VLOOKUP(A404,logos!$A$2:$A$10004,1,FALSE)</f>
        <v>#N/A</v>
      </c>
    </row>
    <row r="405" spans="1:13" hidden="1" x14ac:dyDescent="0.55000000000000004">
      <c r="A405" t="s">
        <v>235</v>
      </c>
      <c r="B405" t="s">
        <v>1665</v>
      </c>
      <c r="C405" t="s">
        <v>1735</v>
      </c>
      <c r="D405" t="s">
        <v>1657</v>
      </c>
      <c r="E405" t="s">
        <v>2609</v>
      </c>
      <c r="F405" t="str">
        <f t="shared" si="6"/>
        <v>"C:\Program Files\VideoLAN\VLC\vlc.exe" "http://edge-audio-02-thn.sharp-stream.com:80/ssvcbfbs24.aac"</v>
      </c>
      <c r="M405" t="e">
        <f>VLOOKUP(A405,logos!$A$2:$A$10004,1,FALSE)</f>
        <v>#N/A</v>
      </c>
    </row>
    <row r="406" spans="1:13" hidden="1" x14ac:dyDescent="0.55000000000000004">
      <c r="A406" t="s">
        <v>237</v>
      </c>
      <c r="B406" t="s">
        <v>1665</v>
      </c>
      <c r="C406" t="s">
        <v>1736</v>
      </c>
      <c r="D406" t="s">
        <v>1657</v>
      </c>
      <c r="E406" t="s">
        <v>2609</v>
      </c>
      <c r="F406" t="str">
        <f t="shared" si="6"/>
        <v>"C:\Program Files\VideoLAN\VLC\vlc.exe" "http://edge-audio-02-thn.sharp-stream.com:80/ssvcbfbs22.aac"</v>
      </c>
      <c r="M406" t="e">
        <f>VLOOKUP(A406,logos!$A$2:$A$10004,1,FALSE)</f>
        <v>#N/A</v>
      </c>
    </row>
    <row r="407" spans="1:13" hidden="1" x14ac:dyDescent="0.55000000000000004">
      <c r="A407" t="s">
        <v>239</v>
      </c>
      <c r="B407" t="s">
        <v>1665</v>
      </c>
      <c r="C407" t="s">
        <v>1737</v>
      </c>
      <c r="D407" t="s">
        <v>1657</v>
      </c>
      <c r="E407" t="s">
        <v>2609</v>
      </c>
      <c r="F407" t="str">
        <f t="shared" si="6"/>
        <v>"C:\Program Files\VideoLAN\VLC\vlc.exe" "http://edge-audio-02-thn.sharp-stream.com:80/ssvcbfbs3.aac"</v>
      </c>
      <c r="M407" t="e">
        <f>VLOOKUP(A407,logos!$A$2:$A$10004,1,FALSE)</f>
        <v>#N/A</v>
      </c>
    </row>
    <row r="408" spans="1:13" hidden="1" x14ac:dyDescent="0.55000000000000004">
      <c r="A408" t="s">
        <v>241</v>
      </c>
      <c r="B408" t="s">
        <v>1665</v>
      </c>
      <c r="C408" t="s">
        <v>1738</v>
      </c>
      <c r="D408" t="s">
        <v>1657</v>
      </c>
      <c r="E408" t="s">
        <v>2609</v>
      </c>
      <c r="F408" t="str">
        <f t="shared" si="6"/>
        <v>"C:\Program Files\VideoLAN\VLC\vlc.exe" "http://edge-audio-02-thn.sharp-stream.com:80/ssvcbfbs21.aac"</v>
      </c>
      <c r="M408" t="e">
        <f>VLOOKUP(A408,logos!$A$2:$A$10004,1,FALSE)</f>
        <v>#N/A</v>
      </c>
    </row>
    <row r="409" spans="1:13" hidden="1" x14ac:dyDescent="0.55000000000000004">
      <c r="A409" t="s">
        <v>2791</v>
      </c>
      <c r="B409" t="s">
        <v>1665</v>
      </c>
      <c r="C409" t="s">
        <v>2026</v>
      </c>
      <c r="D409" t="s">
        <v>1657</v>
      </c>
      <c r="E409" t="s">
        <v>2609</v>
      </c>
      <c r="F409" t="str">
        <f t="shared" si="6"/>
        <v>"C:\Program Files\VideoLAN\VLC\vlc.exe" "http://listen-nation.sharp-stream.com/tcnation.aac?ref=RF"</v>
      </c>
      <c r="M409" t="e">
        <f>VLOOKUP(A409,logos!$A$2:$A$10004,1,FALSE)</f>
        <v>#N/A</v>
      </c>
    </row>
    <row r="410" spans="1:13" hidden="1" x14ac:dyDescent="0.55000000000000004">
      <c r="A410" t="s">
        <v>1243</v>
      </c>
      <c r="B410" t="s">
        <v>1665</v>
      </c>
      <c r="C410" t="s">
        <v>2125</v>
      </c>
      <c r="D410" t="s">
        <v>1657</v>
      </c>
      <c r="E410" t="s">
        <v>2609</v>
      </c>
      <c r="F410" t="str">
        <f t="shared" si="6"/>
        <v>"C:\Program Files\VideoLAN\VLC\vlc.exe" "http://radio.talksport.com/stream2-mobile?ref=rf"</v>
      </c>
      <c r="M410" t="str">
        <f>VLOOKUP(A410,logos!$A$2:$A$10004,1,FALSE)</f>
        <v>talkSPORT 2</v>
      </c>
    </row>
    <row r="411" spans="1:13" hidden="1" x14ac:dyDescent="0.55000000000000004">
      <c r="A411" t="s">
        <v>1667</v>
      </c>
      <c r="B411" t="s">
        <v>1668</v>
      </c>
      <c r="C411" t="s">
        <v>1726</v>
      </c>
      <c r="D411" t="s">
        <v>1657</v>
      </c>
      <c r="E411" t="s">
        <v>2609</v>
      </c>
      <c r="F411" t="str">
        <f t="shared" si="6"/>
        <v>"C:\Program Files\VideoLAN\VLC\vlc.exe" "http://streaming.radio.co:80/sc599f67d7/low"</v>
      </c>
      <c r="M411" t="e">
        <f>VLOOKUP(A411,logos!$A$2:$A$10004,1,FALSE)</f>
        <v>#N/A</v>
      </c>
    </row>
    <row r="412" spans="1:13" hidden="1" x14ac:dyDescent="0.55000000000000004">
      <c r="A412" t="s">
        <v>226</v>
      </c>
      <c r="B412" t="s">
        <v>1668</v>
      </c>
      <c r="C412" t="s">
        <v>1730</v>
      </c>
      <c r="D412" t="s">
        <v>1657</v>
      </c>
      <c r="E412" t="s">
        <v>2609</v>
      </c>
      <c r="F412" t="str">
        <f t="shared" si="6"/>
        <v>"C:\Program Files\VideoLAN\VLC\vlc.exe" "http://stream.beyondradio.co.uk:8000/low"</v>
      </c>
      <c r="M412" t="str">
        <f>VLOOKUP(A412,logos!$A$2:$A$10004,1,FALSE)</f>
        <v>Beyond Radio</v>
      </c>
    </row>
    <row r="413" spans="1:13" hidden="1" x14ac:dyDescent="0.55000000000000004">
      <c r="A413" t="s">
        <v>243</v>
      </c>
      <c r="B413" t="s">
        <v>1668</v>
      </c>
      <c r="C413" t="s">
        <v>1741</v>
      </c>
      <c r="D413" t="s">
        <v>1657</v>
      </c>
      <c r="E413" t="s">
        <v>2609</v>
      </c>
      <c r="F413" t="str">
        <f t="shared" si="6"/>
        <v>"C:\Program Files\VideoLAN\VLC\vlc.exe" "http://listen-boomradio.sharp-stream.com/65_boom_light_64_aac?ref=RF"</v>
      </c>
      <c r="M413" t="str">
        <f>VLOOKUP(A413,logos!$A$2:$A$10004,1,FALSE)</f>
        <v>Boom Light</v>
      </c>
    </row>
    <row r="414" spans="1:13" hidden="1" x14ac:dyDescent="0.55000000000000004">
      <c r="A414" t="s">
        <v>245</v>
      </c>
      <c r="B414" t="s">
        <v>1668</v>
      </c>
      <c r="C414" t="s">
        <v>1744</v>
      </c>
      <c r="D414" t="s">
        <v>1657</v>
      </c>
      <c r="E414" t="s">
        <v>2609</v>
      </c>
      <c r="F414" t="str">
        <f t="shared" si="6"/>
        <v>"C:\Program Files\VideoLAN\VLC\vlc.exe" "http://listen-boomradio.sharp-stream.com/65_boom_radio_live_64?ref=RF"</v>
      </c>
      <c r="M414" t="str">
        <f>VLOOKUP(A414,logos!$A$2:$A$10004,1,FALSE)</f>
        <v>Boom Radio</v>
      </c>
    </row>
    <row r="415" spans="1:13" hidden="1" x14ac:dyDescent="0.55000000000000004">
      <c r="A415" t="s">
        <v>253</v>
      </c>
      <c r="B415" t="s">
        <v>1668</v>
      </c>
      <c r="C415" t="s">
        <v>1747</v>
      </c>
      <c r="D415" t="s">
        <v>1657</v>
      </c>
      <c r="E415" t="s">
        <v>2609</v>
      </c>
      <c r="F415" t="str">
        <f t="shared" si="6"/>
        <v>"C:\Program Files\VideoLAN\VLC\vlc.exe" "http://stream4.hippynet.co.uk:8008/mobile"</v>
      </c>
      <c r="M415" t="e">
        <f>VLOOKUP(A415,logos!$A$2:$A$10004,1,FALSE)</f>
        <v>#N/A</v>
      </c>
    </row>
    <row r="416" spans="1:13" hidden="1" x14ac:dyDescent="0.55000000000000004">
      <c r="A416" t="s">
        <v>2654</v>
      </c>
      <c r="B416" t="s">
        <v>1668</v>
      </c>
      <c r="C416" t="s">
        <v>1795</v>
      </c>
      <c r="D416" t="s">
        <v>1657</v>
      </c>
      <c r="E416" t="s">
        <v>2609</v>
      </c>
      <c r="F416" t="str">
        <f t="shared" si="6"/>
        <v>"C:\Program Files\VideoLAN\VLC\vlc.exe" "http://listen-chriscountry.sharp-stream.com/chriscountry.aac?ref=RF"</v>
      </c>
      <c r="M416" t="e">
        <f>VLOOKUP(A416,logos!$A$2:$A$10004,1,FALSE)</f>
        <v>#N/A</v>
      </c>
    </row>
    <row r="417" spans="1:13" hidden="1" x14ac:dyDescent="0.55000000000000004">
      <c r="A417" t="s">
        <v>403</v>
      </c>
      <c r="B417" t="s">
        <v>1668</v>
      </c>
      <c r="C417" t="s">
        <v>1806</v>
      </c>
      <c r="D417" t="s">
        <v>1657</v>
      </c>
      <c r="E417" t="s">
        <v>2609</v>
      </c>
      <c r="F417" t="str">
        <f t="shared" si="6"/>
        <v>"C:\Program Files\VideoLAN\VLC\vlc.exe" "http://eirewave.ice.infomaniak.ch/eirewave-64.aac?ref=RF"</v>
      </c>
      <c r="M417" t="e">
        <f>VLOOKUP(A417,logos!$A$2:$A$10004,1,FALSE)</f>
        <v>#N/A</v>
      </c>
    </row>
    <row r="418" spans="1:13" hidden="1" x14ac:dyDescent="0.55000000000000004">
      <c r="A418" t="s">
        <v>1676</v>
      </c>
      <c r="B418" t="s">
        <v>1668</v>
      </c>
      <c r="C418" t="s">
        <v>1807</v>
      </c>
      <c r="D418" t="s">
        <v>1657</v>
      </c>
      <c r="E418" t="s">
        <v>2609</v>
      </c>
      <c r="F418" t="str">
        <f t="shared" si="6"/>
        <v>"C:\Program Files\VideoLAN\VLC\vlc.exe" "http://ewtn-ice.streamguys1.com/sky-aac?ref=RF"</v>
      </c>
      <c r="M418" t="e">
        <f>VLOOKUP(A418,logos!$A$2:$A$10004,1,FALSE)</f>
        <v>#N/A</v>
      </c>
    </row>
    <row r="419" spans="1:13" hidden="1" x14ac:dyDescent="0.55000000000000004">
      <c r="A419" t="s">
        <v>430</v>
      </c>
      <c r="B419" t="s">
        <v>1668</v>
      </c>
      <c r="C419" t="s">
        <v>1820</v>
      </c>
      <c r="D419" t="s">
        <v>1657</v>
      </c>
      <c r="E419" t="s">
        <v>2609</v>
      </c>
      <c r="F419" t="str">
        <f t="shared" si="6"/>
        <v>"C:\Program Files\VideoLAN\VLC\vlc.exe" "http://listen-funkids.sharp-stream.com/funkidsjunior.aac?ref=RF"</v>
      </c>
      <c r="M419" t="e">
        <f>VLOOKUP(A419,logos!$A$2:$A$10004,1,FALSE)</f>
        <v>#N/A</v>
      </c>
    </row>
    <row r="420" spans="1:13" hidden="1" x14ac:dyDescent="0.55000000000000004">
      <c r="A420" t="s">
        <v>432</v>
      </c>
      <c r="B420" t="s">
        <v>1668</v>
      </c>
      <c r="C420" t="s">
        <v>1821</v>
      </c>
      <c r="D420" t="s">
        <v>1657</v>
      </c>
      <c r="E420" t="s">
        <v>2609</v>
      </c>
      <c r="F420" t="str">
        <f t="shared" si="6"/>
        <v>"C:\Program Files\VideoLAN\VLC\vlc.exe" "http://n02a-eu.rcs.revma.com:80/06806khmh5zuv"</v>
      </c>
      <c r="M420" t="str">
        <f>VLOOKUP(A420,logos!$A$2:$A$10004,1,FALSE)</f>
        <v>Fun Kids Naps</v>
      </c>
    </row>
    <row r="421" spans="1:13" hidden="1" x14ac:dyDescent="0.55000000000000004">
      <c r="A421" t="s">
        <v>453</v>
      </c>
      <c r="B421" t="s">
        <v>1668</v>
      </c>
      <c r="C421" t="s">
        <v>1829</v>
      </c>
      <c r="D421" t="s">
        <v>1657</v>
      </c>
      <c r="E421" t="s">
        <v>2609</v>
      </c>
      <c r="F421" t="str">
        <f t="shared" si="6"/>
        <v>"C:\Program Files\VideoLAN\VLC\vlc.exe" "http://stream.getradio.co.uk:80/aac64"</v>
      </c>
      <c r="M421" t="e">
        <f>VLOOKUP(A421,logos!$A$2:$A$10004,1,FALSE)</f>
        <v>#N/A</v>
      </c>
    </row>
    <row r="422" spans="1:13" hidden="1" x14ac:dyDescent="0.55000000000000004">
      <c r="A422" t="s">
        <v>679</v>
      </c>
      <c r="B422" t="s">
        <v>1668</v>
      </c>
      <c r="C422" t="s">
        <v>1934</v>
      </c>
      <c r="D422" t="s">
        <v>1657</v>
      </c>
      <c r="E422" t="s">
        <v>2609</v>
      </c>
      <c r="F422" t="str">
        <f t="shared" si="6"/>
        <v>"C:\Program Files\VideoLAN\VLC\vlc.exe" "http://streamer.radio.co:80/sa0f1967d5/low"</v>
      </c>
      <c r="M422" t="e">
        <f>VLOOKUP(A422,logos!$A$2:$A$10004,1,FALSE)</f>
        <v>#N/A</v>
      </c>
    </row>
    <row r="423" spans="1:13" hidden="1" x14ac:dyDescent="0.55000000000000004">
      <c r="A423" t="s">
        <v>683</v>
      </c>
      <c r="B423" t="s">
        <v>1668</v>
      </c>
      <c r="C423" t="s">
        <v>1936</v>
      </c>
      <c r="D423" t="s">
        <v>1657</v>
      </c>
      <c r="E423" t="s">
        <v>2609</v>
      </c>
      <c r="F423" t="str">
        <f t="shared" si="6"/>
        <v>"C:\Program Files\VideoLAN\VLC\vlc.exe" "http://149.255.59.3:8014/stream"</v>
      </c>
      <c r="M423" t="e">
        <f>VLOOKUP(A423,logos!$A$2:$A$10004,1,FALSE)</f>
        <v>#N/A</v>
      </c>
    </row>
    <row r="424" spans="1:13" hidden="1" x14ac:dyDescent="0.55000000000000004">
      <c r="A424" t="s">
        <v>712</v>
      </c>
      <c r="B424" t="s">
        <v>1668</v>
      </c>
      <c r="C424" t="s">
        <v>1947</v>
      </c>
      <c r="D424" t="s">
        <v>1657</v>
      </c>
      <c r="E424" t="s">
        <v>2609</v>
      </c>
      <c r="F424" t="str">
        <f t="shared" si="6"/>
        <v>"C:\Program Files\VideoLAN\VLC\vlc.exe" "http://listen.housepartyradio.net/stream?type=.aac&amp;csl=3&amp;lrl=false&amp;sh=true&amp;ssr=false&amp;sfr=true&amp;slc=true&amp;spl=m3u&amp;from=radiofeeds"</v>
      </c>
      <c r="M424" t="e">
        <f>VLOOKUP(A424,logos!$A$2:$A$10004,1,FALSE)</f>
        <v>#N/A</v>
      </c>
    </row>
    <row r="425" spans="1:13" hidden="1" x14ac:dyDescent="0.55000000000000004">
      <c r="A425" t="s">
        <v>718</v>
      </c>
      <c r="B425" t="s">
        <v>1668</v>
      </c>
      <c r="C425" t="s">
        <v>1950</v>
      </c>
      <c r="D425" t="s">
        <v>1657</v>
      </c>
      <c r="E425" t="s">
        <v>2609</v>
      </c>
      <c r="F425" t="str">
        <f t="shared" si="6"/>
        <v>"C:\Program Files\VideoLAN\VLC\vlc.exe" "http://n20a-eu.rcs.revma.com:80/6s36ckxvutzuv"</v>
      </c>
      <c r="M425" t="str">
        <f>VLOOKUP(A425,logos!$A$2:$A$10004,1,FALSE)</f>
        <v>Island FM</v>
      </c>
    </row>
    <row r="426" spans="1:13" hidden="1" x14ac:dyDescent="0.55000000000000004">
      <c r="A426" t="s">
        <v>728</v>
      </c>
      <c r="B426" t="s">
        <v>1668</v>
      </c>
      <c r="C426" t="s">
        <v>1954</v>
      </c>
      <c r="D426" t="s">
        <v>1657</v>
      </c>
      <c r="E426" t="s">
        <v>2609</v>
      </c>
      <c r="F426" t="str">
        <f t="shared" si="6"/>
        <v>"C:\Program Files\VideoLAN\VLC\vlc.exe" "http://listen-jackmedia.sharp-stream.com/390_jack_2_64_aac?ref=RF"</v>
      </c>
      <c r="M426" t="e">
        <f>VLOOKUP(A426,logos!$A$2:$A$10004,1,FALSE)</f>
        <v>#N/A</v>
      </c>
    </row>
    <row r="427" spans="1:13" hidden="1" x14ac:dyDescent="0.55000000000000004">
      <c r="A427" t="s">
        <v>731</v>
      </c>
      <c r="B427" t="s">
        <v>1668</v>
      </c>
      <c r="C427" t="s">
        <v>1955</v>
      </c>
      <c r="D427" t="s">
        <v>1657</v>
      </c>
      <c r="E427" t="s">
        <v>2609</v>
      </c>
      <c r="F427" t="str">
        <f t="shared" si="6"/>
        <v>"C:\Program Files\VideoLAN\VLC\vlc.exe" "http://listen-jackmedia.sharp-stream.com/390_jack_3_64_aac?ref=RF"</v>
      </c>
      <c r="M427" t="e">
        <f>VLOOKUP(A427,logos!$A$2:$A$10004,1,FALSE)</f>
        <v>#N/A</v>
      </c>
    </row>
    <row r="428" spans="1:13" hidden="1" x14ac:dyDescent="0.55000000000000004">
      <c r="A428" t="s">
        <v>724</v>
      </c>
      <c r="B428" t="s">
        <v>1668</v>
      </c>
      <c r="C428" t="s">
        <v>1953</v>
      </c>
      <c r="D428" t="s">
        <v>1657</v>
      </c>
      <c r="E428" t="s">
        <v>2609</v>
      </c>
      <c r="F428" t="str">
        <f t="shared" si="6"/>
        <v>"C:\Program Files\VideoLAN\VLC\vlc.exe" "http://listen-jackmedia.sharp-stream.com/390_jack_fm_64_aac?ref=RF"</v>
      </c>
      <c r="M428" t="e">
        <f>VLOOKUP(A428,logos!$A$2:$A$10004,1,FALSE)</f>
        <v>#N/A</v>
      </c>
    </row>
    <row r="429" spans="1:13" hidden="1" x14ac:dyDescent="0.55000000000000004">
      <c r="A429" t="s">
        <v>2769</v>
      </c>
      <c r="B429" t="s">
        <v>1668</v>
      </c>
      <c r="C429" t="s">
        <v>1976</v>
      </c>
      <c r="D429" t="s">
        <v>1657</v>
      </c>
      <c r="E429" t="s">
        <v>2609</v>
      </c>
      <c r="F429" t="str">
        <f t="shared" si="6"/>
        <v>"C:\Program Files\VideoLAN\VLC\vlc.exe" "http://likeradiostream.com:8080/likeoneukaac?ref=RF"</v>
      </c>
      <c r="M429" t="e">
        <f>VLOOKUP(A429,logos!$A$2:$A$10004,1,FALSE)</f>
        <v>#N/A</v>
      </c>
    </row>
    <row r="430" spans="1:13" hidden="1" x14ac:dyDescent="0.55000000000000004">
      <c r="A430" t="s">
        <v>2770</v>
      </c>
      <c r="B430" t="s">
        <v>1668</v>
      </c>
      <c r="C430" t="s">
        <v>1977</v>
      </c>
      <c r="D430" t="s">
        <v>1657</v>
      </c>
      <c r="E430" t="s">
        <v>2609</v>
      </c>
      <c r="F430" t="str">
        <f t="shared" si="6"/>
        <v>"C:\Program Files\VideoLAN\VLC\vlc.exe" "http://likeradiostream.com:8080/likepopaac?ref=RF"</v>
      </c>
      <c r="M430" t="e">
        <f>VLOOKUP(A430,logos!$A$2:$A$10004,1,FALSE)</f>
        <v>#N/A</v>
      </c>
    </row>
    <row r="431" spans="1:13" hidden="1" x14ac:dyDescent="0.55000000000000004">
      <c r="A431" t="s">
        <v>785</v>
      </c>
      <c r="B431" t="s">
        <v>1668</v>
      </c>
      <c r="C431" t="s">
        <v>1978</v>
      </c>
      <c r="D431" t="s">
        <v>1657</v>
      </c>
      <c r="E431" t="s">
        <v>2609</v>
      </c>
      <c r="F431" t="str">
        <f t="shared" si="6"/>
        <v>"C:\Program Files\VideoLAN\VLC\vlc.exe" "http://likeradiostream.com:8080/likeretroaac?ref=RF"</v>
      </c>
      <c r="M431" t="e">
        <f>VLOOKUP(A431,logos!$A$2:$A$10004,1,FALSE)</f>
        <v>#N/A</v>
      </c>
    </row>
    <row r="432" spans="1:13" hidden="1" x14ac:dyDescent="0.55000000000000004">
      <c r="A432" t="s">
        <v>2780</v>
      </c>
      <c r="B432" t="s">
        <v>1668</v>
      </c>
      <c r="C432" t="s">
        <v>2004</v>
      </c>
      <c r="D432" t="s">
        <v>1657</v>
      </c>
      <c r="E432" t="s">
        <v>2609</v>
      </c>
      <c r="F432" t="str">
        <f t="shared" si="6"/>
        <v>"C:\Program Files\VideoLAN\VLC\vlc.exe" "http://s4.xrad.io:8094/stream"</v>
      </c>
      <c r="M432" t="e">
        <f>VLOOKUP(A432,logos!$A$2:$A$10004,1,FALSE)</f>
        <v>#N/A</v>
      </c>
    </row>
    <row r="433" spans="1:13" hidden="1" x14ac:dyDescent="0.55000000000000004">
      <c r="A433" t="s">
        <v>914</v>
      </c>
      <c r="B433" t="s">
        <v>1668</v>
      </c>
      <c r="C433" t="s">
        <v>2029</v>
      </c>
      <c r="D433" t="s">
        <v>1657</v>
      </c>
      <c r="E433" t="s">
        <v>2609</v>
      </c>
      <c r="F433" t="str">
        <f t="shared" si="6"/>
        <v>"C:\Program Files\VideoLAN\VLC\vlc.exe" "http://listen-nme.sharp-stream.com/nme1.aac?ref=RF"</v>
      </c>
      <c r="M433" t="e">
        <f>VLOOKUP(A433,logos!$A$2:$A$10004,1,FALSE)</f>
        <v>#N/A</v>
      </c>
    </row>
    <row r="434" spans="1:13" hidden="1" x14ac:dyDescent="0.55000000000000004">
      <c r="A434" t="s">
        <v>917</v>
      </c>
      <c r="B434" t="s">
        <v>1668</v>
      </c>
      <c r="C434" t="s">
        <v>2030</v>
      </c>
      <c r="D434" t="s">
        <v>1657</v>
      </c>
      <c r="E434" t="s">
        <v>2609</v>
      </c>
      <c r="F434" t="str">
        <f t="shared" si="6"/>
        <v>"C:\Program Files\VideoLAN\VLC\vlc.exe" "http://listen-nme.sharp-stream.com/nme2.aac?ref=RF"</v>
      </c>
      <c r="M434" t="e">
        <f>VLOOKUP(A434,logos!$A$2:$A$10004,1,FALSE)</f>
        <v>#N/A</v>
      </c>
    </row>
    <row r="435" spans="1:13" hidden="1" x14ac:dyDescent="0.55000000000000004">
      <c r="A435" t="s">
        <v>944</v>
      </c>
      <c r="B435" t="s">
        <v>1668</v>
      </c>
      <c r="C435" t="s">
        <v>2039</v>
      </c>
      <c r="D435" t="s">
        <v>1657</v>
      </c>
      <c r="E435" t="s">
        <v>2609</v>
      </c>
      <c r="F435" t="str">
        <f t="shared" si="6"/>
        <v>"C:\Program Files\VideoLAN\VLC\vlc.exe" "http://streams.radio.co:80/sbaa068f97/low"</v>
      </c>
      <c r="M435" t="e">
        <f>VLOOKUP(A435,logos!$A$2:$A$10004,1,FALSE)</f>
        <v>#N/A</v>
      </c>
    </row>
    <row r="436" spans="1:13" hidden="1" x14ac:dyDescent="0.55000000000000004">
      <c r="A436" t="s">
        <v>2798</v>
      </c>
      <c r="B436" t="s">
        <v>1668</v>
      </c>
      <c r="C436" t="s">
        <v>2057</v>
      </c>
      <c r="D436" t="s">
        <v>1657</v>
      </c>
      <c r="E436" t="s">
        <v>2609</v>
      </c>
      <c r="F436" t="str">
        <f t="shared" si="6"/>
        <v>"C:\Program Files\VideoLAN\VLC\vlc.exe" "http://playoutonestreaming.com:8012/aac"</v>
      </c>
      <c r="M436" t="e">
        <f>VLOOKUP(A436,logos!$A$2:$A$10004,1,FALSE)</f>
        <v>#N/A</v>
      </c>
    </row>
    <row r="437" spans="1:13" hidden="1" x14ac:dyDescent="0.55000000000000004">
      <c r="A437" t="s">
        <v>1074</v>
      </c>
      <c r="B437" t="s">
        <v>1668</v>
      </c>
      <c r="C437" t="s">
        <v>2071</v>
      </c>
      <c r="D437" t="s">
        <v>1657</v>
      </c>
      <c r="E437" t="s">
        <v>2609</v>
      </c>
      <c r="F437" t="str">
        <f t="shared" si="6"/>
        <v>"C:\Program Files\VideoLAN\VLC\vlc.exe" "http://s4.radio.co:80/s2eaa194f6/low"</v>
      </c>
      <c r="M437" t="e">
        <f>VLOOKUP(A437,logos!$A$2:$A$10004,1,FALSE)</f>
        <v>#N/A</v>
      </c>
    </row>
    <row r="438" spans="1:13" hidden="1" x14ac:dyDescent="0.55000000000000004">
      <c r="A438" t="s">
        <v>1686</v>
      </c>
      <c r="B438" t="s">
        <v>1668</v>
      </c>
      <c r="C438" t="s">
        <v>2072</v>
      </c>
      <c r="D438" t="s">
        <v>1657</v>
      </c>
      <c r="E438" t="s">
        <v>2609</v>
      </c>
      <c r="F438" t="str">
        <f t="shared" si="6"/>
        <v>"C:\Program Files\VideoLAN\VLC\vlc.exe" "http://n20a-eu.rcs.revma.com:80/yv4znr4xcg0uv"</v>
      </c>
      <c r="M438" t="e">
        <f>VLOOKUP(A438,logos!$A$2:$A$10004,1,FALSE)</f>
        <v>#N/A</v>
      </c>
    </row>
    <row r="439" spans="1:13" hidden="1" x14ac:dyDescent="0.55000000000000004">
      <c r="A439" t="s">
        <v>1087</v>
      </c>
      <c r="B439" t="s">
        <v>1668</v>
      </c>
      <c r="C439" t="s">
        <v>2074</v>
      </c>
      <c r="D439" t="s">
        <v>1657</v>
      </c>
      <c r="E439" t="s">
        <v>2609</v>
      </c>
      <c r="F439" t="str">
        <f t="shared" si="6"/>
        <v>"C:\Program Files\VideoLAN\VLC\vlc.exe" "http://streaming03.zfast.co.uk:8053/stream"</v>
      </c>
      <c r="M439" t="str">
        <f>VLOOKUP(A439,logos!$A$2:$A$10004,1,FALSE)</f>
        <v>Rother Radio</v>
      </c>
    </row>
    <row r="440" spans="1:13" hidden="1" x14ac:dyDescent="0.55000000000000004">
      <c r="A440" t="s">
        <v>1110</v>
      </c>
      <c r="B440" t="s">
        <v>1668</v>
      </c>
      <c r="C440" t="s">
        <v>2081</v>
      </c>
      <c r="D440" t="s">
        <v>1657</v>
      </c>
      <c r="E440" t="s">
        <v>2609</v>
      </c>
      <c r="F440" t="str">
        <f t="shared" si="6"/>
        <v>"C:\Program Files\VideoLAN\VLC\vlc.exe" "http://tx9.zetcast.net:8100/stream4?ref=RF"</v>
      </c>
      <c r="M440" t="e">
        <f>VLOOKUP(A440,logos!$A$2:$A$10004,1,FALSE)</f>
        <v>#N/A</v>
      </c>
    </row>
    <row r="441" spans="1:13" hidden="1" x14ac:dyDescent="0.55000000000000004">
      <c r="A441" t="s">
        <v>1181</v>
      </c>
      <c r="B441" t="s">
        <v>1668</v>
      </c>
      <c r="C441" t="s">
        <v>2114</v>
      </c>
      <c r="D441" t="s">
        <v>1657</v>
      </c>
      <c r="E441" t="s">
        <v>2609</v>
      </c>
      <c r="F441" t="str">
        <f t="shared" si="6"/>
        <v>"C:\Program Files\VideoLAN\VLC\vlc.exe" "http://svr1.msmn2.co:8312/stream"</v>
      </c>
      <c r="M441" t="e">
        <f>VLOOKUP(A441,logos!$A$2:$A$10004,1,FALSE)</f>
        <v>#N/A</v>
      </c>
    </row>
    <row r="442" spans="1:13" hidden="1" x14ac:dyDescent="0.55000000000000004">
      <c r="A442" t="s">
        <v>1188</v>
      </c>
      <c r="B442" t="s">
        <v>1668</v>
      </c>
      <c r="C442" t="s">
        <v>2117</v>
      </c>
      <c r="D442" t="s">
        <v>1657</v>
      </c>
      <c r="E442" t="s">
        <v>2609</v>
      </c>
      <c r="F442" t="str">
        <f t="shared" si="6"/>
        <v>"C:\Program Files\VideoLAN\VLC\vlc.exe" "http://centova.solidradio.co.uk:8000/solidlow"</v>
      </c>
      <c r="M442" t="e">
        <f>VLOOKUP(A442,logos!$A$2:$A$10004,1,FALSE)</f>
        <v>#N/A</v>
      </c>
    </row>
    <row r="443" spans="1:13" hidden="1" x14ac:dyDescent="0.55000000000000004">
      <c r="A443" t="s">
        <v>1199</v>
      </c>
      <c r="B443" t="s">
        <v>1668</v>
      </c>
      <c r="C443" t="s">
        <v>2120</v>
      </c>
      <c r="D443" t="s">
        <v>1657</v>
      </c>
      <c r="E443" t="s">
        <v>2609</v>
      </c>
      <c r="F443" t="str">
        <f t="shared" si="6"/>
        <v>"C:\Program Files\VideoLAN\VLC\vlc.exe" "http://stream2.hippynet.co.uk:8086/stream.aac"</v>
      </c>
      <c r="M443" t="e">
        <f>VLOOKUP(A443,logos!$A$2:$A$10004,1,FALSE)</f>
        <v>#N/A</v>
      </c>
    </row>
    <row r="444" spans="1:13" hidden="1" x14ac:dyDescent="0.55000000000000004">
      <c r="A444" t="s">
        <v>1229</v>
      </c>
      <c r="B444" t="s">
        <v>1668</v>
      </c>
      <c r="C444" t="s">
        <v>2122</v>
      </c>
      <c r="D444" t="s">
        <v>1657</v>
      </c>
      <c r="E444" t="s">
        <v>2609</v>
      </c>
      <c r="F444" t="str">
        <f t="shared" si="6"/>
        <v>"C:\Program Files\VideoLAN\VLC\vlc.exe" "http://streaming.radio.co:80/s6a51b5927/low"</v>
      </c>
      <c r="M444" t="e">
        <f>VLOOKUP(A444,logos!$A$2:$A$10004,1,FALSE)</f>
        <v>#N/A</v>
      </c>
    </row>
    <row r="445" spans="1:13" hidden="1" x14ac:dyDescent="0.55000000000000004">
      <c r="A445" t="s">
        <v>1298</v>
      </c>
      <c r="B445" t="s">
        <v>1668</v>
      </c>
      <c r="C445" t="s">
        <v>2139</v>
      </c>
      <c r="D445" t="s">
        <v>1657</v>
      </c>
      <c r="E445" t="s">
        <v>2609</v>
      </c>
      <c r="F445" t="str">
        <f t="shared" si="6"/>
        <v>"C:\Program Files\VideoLAN\VLC\vlc.exe" "http://stream.v2radio.co.uk:80/V2RadioHQAACP"</v>
      </c>
      <c r="M445" t="str">
        <f>VLOOKUP(A445,logos!$A$2:$A$10004,1,FALSE)</f>
        <v>V2 Radio</v>
      </c>
    </row>
    <row r="446" spans="1:13" hidden="1" x14ac:dyDescent="0.55000000000000004">
      <c r="A446" t="s">
        <v>2832</v>
      </c>
      <c r="B446" t="s">
        <v>1668</v>
      </c>
      <c r="C446" t="s">
        <v>2140</v>
      </c>
      <c r="D446" t="s">
        <v>1657</v>
      </c>
      <c r="E446" t="s">
        <v>2609</v>
      </c>
      <c r="F446" t="str">
        <f t="shared" si="6"/>
        <v>"C:\Program Files\VideoLAN\VLC\vlc.exe" "http://audio.vibeyorkshire.com:9000/stream"</v>
      </c>
      <c r="M446" t="e">
        <f>VLOOKUP(A446,logos!$A$2:$A$10004,1,FALSE)</f>
        <v>#N/A</v>
      </c>
    </row>
    <row r="447" spans="1:13" hidden="1" x14ac:dyDescent="0.55000000000000004">
      <c r="A447" t="s">
        <v>1301</v>
      </c>
      <c r="B447" t="s">
        <v>1668</v>
      </c>
      <c r="C447" t="s">
        <v>2141</v>
      </c>
      <c r="D447" t="s">
        <v>1657</v>
      </c>
      <c r="E447" t="s">
        <v>2609</v>
      </c>
      <c r="F447" t="str">
        <f t="shared" si="6"/>
        <v>"C:\Program Files\VideoLAN\VLC\vlc.exe" "http://playoutonestreaming.com:8133/aac"</v>
      </c>
      <c r="M447" t="e">
        <f>VLOOKUP(A447,logos!$A$2:$A$10004,1,FALSE)</f>
        <v>#N/A</v>
      </c>
    </row>
    <row r="448" spans="1:13" hidden="1" x14ac:dyDescent="0.55000000000000004">
      <c r="A448" t="s">
        <v>1334</v>
      </c>
      <c r="B448" t="s">
        <v>1668</v>
      </c>
      <c r="C448" t="s">
        <v>2152</v>
      </c>
      <c r="D448" t="s">
        <v>1657</v>
      </c>
      <c r="E448" t="s">
        <v>2609</v>
      </c>
      <c r="F448" t="str">
        <f t="shared" si="6"/>
        <v>"C:\Program Files\VideoLAN\VLC\vlc.exe" "http://edge-audio-03-gos2.sharp-stream.com:80/xrhythms.aac"</v>
      </c>
      <c r="M448" t="e">
        <f>VLOOKUP(A448,logos!$A$2:$A$10004,1,FALSE)</f>
        <v>#N/A</v>
      </c>
    </row>
    <row r="449" spans="1:13" hidden="1" x14ac:dyDescent="0.55000000000000004">
      <c r="A449" t="s">
        <v>2659</v>
      </c>
      <c r="B449" t="s">
        <v>1677</v>
      </c>
      <c r="C449" t="s">
        <v>1811</v>
      </c>
      <c r="D449" t="s">
        <v>1657</v>
      </c>
      <c r="E449" t="s">
        <v>2609</v>
      </c>
      <c r="F449" t="str">
        <f t="shared" si="6"/>
        <v>"C:\Program Files\VideoLAN\VLC\vlc.exe" "http://icecast.maxxwave.co.uk/fossehinckleyhq?ref=RF"</v>
      </c>
      <c r="M449" t="e">
        <f>VLOOKUP(A449,logos!$A$2:$A$10004,1,FALSE)</f>
        <v>#N/A</v>
      </c>
    </row>
    <row r="450" spans="1:13" hidden="1" x14ac:dyDescent="0.55000000000000004">
      <c r="A450" t="s">
        <v>2660</v>
      </c>
      <c r="B450" t="s">
        <v>1677</v>
      </c>
      <c r="C450" t="s">
        <v>1812</v>
      </c>
      <c r="D450" t="s">
        <v>1657</v>
      </c>
      <c r="E450" t="s">
        <v>2609</v>
      </c>
      <c r="F450" t="str">
        <f t="shared" si="6"/>
        <v>"C:\Program Files\VideoLAN\VLC\vlc.exe" "http://icecast.maxxwave.co.uk/fosseloughbrohq?ref=RF"</v>
      </c>
      <c r="M450" t="e">
        <f>VLOOKUP(A450,logos!$A$2:$A$10004,1,FALSE)</f>
        <v>#N/A</v>
      </c>
    </row>
    <row r="451" spans="1:13" hidden="1" x14ac:dyDescent="0.55000000000000004">
      <c r="A451" t="s">
        <v>2768</v>
      </c>
      <c r="B451" t="s">
        <v>1677</v>
      </c>
      <c r="C451" t="s">
        <v>1975</v>
      </c>
      <c r="D451" t="s">
        <v>1657</v>
      </c>
      <c r="E451" t="s">
        <v>2609</v>
      </c>
      <c r="F451" t="str">
        <f t="shared" ref="F451:F514" si="7">"""C:\Program Files\VideoLAN\VLC\vlc.exe"" """&amp;C451&amp;""""</f>
        <v>"C:\Program Files\VideoLAN\VLC\vlc.exe" "http://icecast.maxxwave.co.uk/lcr2?ref=RF"</v>
      </c>
      <c r="M451" t="e">
        <f>VLOOKUP(A451,logos!$A$2:$A$10004,1,FALSE)</f>
        <v>#N/A</v>
      </c>
    </row>
    <row r="452" spans="1:13" hidden="1" x14ac:dyDescent="0.55000000000000004">
      <c r="A452" t="s">
        <v>1680</v>
      </c>
      <c r="B452" t="s">
        <v>1677</v>
      </c>
      <c r="C452" t="s">
        <v>1974</v>
      </c>
      <c r="D452" t="s">
        <v>1657</v>
      </c>
      <c r="E452" t="s">
        <v>2609</v>
      </c>
      <c r="F452" t="str">
        <f t="shared" si="7"/>
        <v>"C:\Program Files\VideoLAN\VLC\vlc.exe" "http://icecast.maxxwave.co.uk/lcr_aac?ref=RF"</v>
      </c>
      <c r="M452" t="e">
        <f>VLOOKUP(A452,logos!$A$2:$A$10004,1,FALSE)</f>
        <v>#N/A</v>
      </c>
    </row>
    <row r="453" spans="1:13" hidden="1" x14ac:dyDescent="0.55000000000000004">
      <c r="A453" t="s">
        <v>2775</v>
      </c>
      <c r="B453" t="s">
        <v>1682</v>
      </c>
      <c r="C453" t="s">
        <v>1992</v>
      </c>
      <c r="D453" t="s">
        <v>1657</v>
      </c>
      <c r="E453" t="s">
        <v>2609</v>
      </c>
      <c r="F453" t="str">
        <f t="shared" si="7"/>
        <v>"C:\Program Files\VideoLAN\VLC\vlc.exe" "http://listen-manxradio.sharp-stream.com/manxradioam.aac?ref=RF"</v>
      </c>
      <c r="M453" t="e">
        <f>VLOOKUP(A453,logos!$A$2:$A$10004,1,FALSE)</f>
        <v>#N/A</v>
      </c>
    </row>
    <row r="454" spans="1:13" hidden="1" x14ac:dyDescent="0.55000000000000004">
      <c r="A454" t="s">
        <v>2776</v>
      </c>
      <c r="B454" t="s">
        <v>1682</v>
      </c>
      <c r="C454" t="s">
        <v>1994</v>
      </c>
      <c r="D454" t="s">
        <v>1657</v>
      </c>
      <c r="E454" t="s">
        <v>2609</v>
      </c>
      <c r="F454" t="str">
        <f t="shared" si="7"/>
        <v>"C:\Program Files\VideoLAN\VLC\vlc.exe" "http://listen-manxradio.sharp-stream.com/manxradiofm.aac?ref=RF"</v>
      </c>
      <c r="M454" t="e">
        <f>VLOOKUP(A454,logos!$A$2:$A$10004,1,FALSE)</f>
        <v>#N/A</v>
      </c>
    </row>
    <row r="455" spans="1:13" hidden="1" x14ac:dyDescent="0.55000000000000004">
      <c r="A455" t="s">
        <v>2793</v>
      </c>
      <c r="B455" t="s">
        <v>1682</v>
      </c>
      <c r="C455" t="s">
        <v>2038</v>
      </c>
      <c r="D455" t="s">
        <v>1657</v>
      </c>
      <c r="E455" t="s">
        <v>2609</v>
      </c>
      <c r="F455" t="str">
        <f t="shared" si="7"/>
        <v>"C:\Program Files\VideoLAN\VLC\vlc.exe" "http://listen-petersfield.sharp-stream.com/petersfield.aac?ref=RF"</v>
      </c>
      <c r="M455" t="e">
        <f>VLOOKUP(A455,logos!$A$2:$A$10004,1,FALSE)</f>
        <v>#N/A</v>
      </c>
    </row>
    <row r="456" spans="1:13" hidden="1" x14ac:dyDescent="0.55000000000000004">
      <c r="A456" t="s">
        <v>959</v>
      </c>
      <c r="B456" t="s">
        <v>1682</v>
      </c>
      <c r="C456" t="s">
        <v>2049</v>
      </c>
      <c r="D456" t="s">
        <v>1657</v>
      </c>
      <c r="E456" t="s">
        <v>2609</v>
      </c>
      <c r="F456" t="str">
        <f t="shared" si="7"/>
        <v>"C:\Program Files\VideoLAN\VLC\vlc.exe" "http://pointblankradio.co.uk/app?ref=rf"</v>
      </c>
      <c r="M456" t="e">
        <f>VLOOKUP(A456,logos!$A$2:$A$10004,1,FALSE)</f>
        <v>#N/A</v>
      </c>
    </row>
    <row r="457" spans="1:13" hidden="1" x14ac:dyDescent="0.55000000000000004">
      <c r="A457" t="s">
        <v>2796</v>
      </c>
      <c r="B457" t="s">
        <v>1682</v>
      </c>
      <c r="C457" t="s">
        <v>2050</v>
      </c>
      <c r="D457" t="s">
        <v>1657</v>
      </c>
      <c r="E457" t="s">
        <v>2609</v>
      </c>
      <c r="F457" t="str">
        <f t="shared" si="7"/>
        <v>"C:\Program Files\VideoLAN\VLC\vlc.exe" "http://n20a-eu.rcs.revma.com:80/prfmwmwy768uv"</v>
      </c>
      <c r="M457" t="e">
        <f>VLOOKUP(A457,logos!$A$2:$A$10004,1,FALSE)</f>
        <v>#N/A</v>
      </c>
    </row>
    <row r="458" spans="1:13" hidden="1" x14ac:dyDescent="0.55000000000000004">
      <c r="A458" t="s">
        <v>1685</v>
      </c>
      <c r="B458" t="s">
        <v>1682</v>
      </c>
      <c r="C458" t="s">
        <v>2069</v>
      </c>
      <c r="D458" t="s">
        <v>1657</v>
      </c>
      <c r="E458" t="s">
        <v>2609</v>
      </c>
      <c r="F458" t="str">
        <f t="shared" si="7"/>
        <v>"C:\Program Files\VideoLAN\VLC\vlc.exe" "http://n03.radiojar.com:80/m47fp4p5n0quv"</v>
      </c>
      <c r="M458" t="e">
        <f>VLOOKUP(A458,logos!$A$2:$A$10004,1,FALSE)</f>
        <v>#N/A</v>
      </c>
    </row>
    <row r="459" spans="1:13" hidden="1" x14ac:dyDescent="0.55000000000000004">
      <c r="A459" t="s">
        <v>223</v>
      </c>
      <c r="B459" t="s">
        <v>1663</v>
      </c>
      <c r="C459" t="s">
        <v>222</v>
      </c>
      <c r="D459" t="s">
        <v>1657</v>
      </c>
      <c r="E459" t="s">
        <v>2610</v>
      </c>
      <c r="F459" t="str">
        <f t="shared" si="7"/>
        <v>"C:\Program Files\VideoLAN\VLC\vlc.exe" "http://bewaretheradio.out.airtime.pro:8000/bewaretheradio_b"</v>
      </c>
      <c r="M459" t="e">
        <f>VLOOKUP(A459,logos!$A$2:$A$10004,1,FALSE)</f>
        <v>#N/A</v>
      </c>
    </row>
    <row r="460" spans="1:13" hidden="1" x14ac:dyDescent="0.55000000000000004">
      <c r="A460" t="s">
        <v>2618</v>
      </c>
      <c r="B460" t="s">
        <v>1663</v>
      </c>
      <c r="C460" t="s">
        <v>249</v>
      </c>
      <c r="D460" t="s">
        <v>1657</v>
      </c>
      <c r="E460" t="s">
        <v>2610</v>
      </c>
      <c r="F460" t="str">
        <f t="shared" si="7"/>
        <v>"C:\Program Files\VideoLAN\VLC\vlc.exe" "http://listen-nation.sharp-stream.com/tcbridge.mp3?ref=RF"</v>
      </c>
      <c r="M460" t="e">
        <f>VLOOKUP(A460,logos!$A$2:$A$10004,1,FALSE)</f>
        <v>#N/A</v>
      </c>
    </row>
    <row r="461" spans="1:13" hidden="1" x14ac:dyDescent="0.55000000000000004">
      <c r="A461" t="s">
        <v>324</v>
      </c>
      <c r="B461" t="s">
        <v>1663</v>
      </c>
      <c r="C461" t="s">
        <v>323</v>
      </c>
      <c r="D461" t="s">
        <v>1657</v>
      </c>
      <c r="E461" t="s">
        <v>2610</v>
      </c>
      <c r="F461" t="str">
        <f t="shared" si="7"/>
        <v>"C:\Program Files\VideoLAN\VLC\vlc.exe" "http://109.123.86.26:8012/stream"</v>
      </c>
      <c r="M461" t="e">
        <f>VLOOKUP(A461,logos!$A$2:$A$10004,1,FALSE)</f>
        <v>#N/A</v>
      </c>
    </row>
    <row r="462" spans="1:13" hidden="1" x14ac:dyDescent="0.55000000000000004">
      <c r="A462" t="s">
        <v>329</v>
      </c>
      <c r="B462" t="s">
        <v>1663</v>
      </c>
      <c r="C462" t="s">
        <v>331</v>
      </c>
      <c r="D462" t="s">
        <v>1657</v>
      </c>
      <c r="E462" t="s">
        <v>2610</v>
      </c>
      <c r="F462" t="str">
        <f t="shared" si="7"/>
        <v>"C:\Program Files\VideoLAN\VLC\vlc.exe" "http://centreforce.streamgb.com:8830/128"</v>
      </c>
      <c r="M462" t="e">
        <f>VLOOKUP(A462,logos!$A$2:$A$10004,1,FALSE)</f>
        <v>#N/A</v>
      </c>
    </row>
    <row r="463" spans="1:13" hidden="1" x14ac:dyDescent="0.55000000000000004">
      <c r="A463" t="s">
        <v>2654</v>
      </c>
      <c r="B463" t="s">
        <v>1663</v>
      </c>
      <c r="C463" t="s">
        <v>362</v>
      </c>
      <c r="D463" t="s">
        <v>1657</v>
      </c>
      <c r="E463" t="s">
        <v>2610</v>
      </c>
      <c r="F463" t="str">
        <f t="shared" si="7"/>
        <v>"C:\Program Files\VideoLAN\VLC\vlc.exe" "http://listen-chriscountry.sharp-stream.com/chriscountry.mp3?ref=RF"</v>
      </c>
      <c r="M463" t="e">
        <f>VLOOKUP(A463,logos!$A$2:$A$10004,1,FALSE)</f>
        <v>#N/A</v>
      </c>
    </row>
    <row r="464" spans="1:13" hidden="1" x14ac:dyDescent="0.55000000000000004">
      <c r="A464" t="s">
        <v>372</v>
      </c>
      <c r="B464" t="s">
        <v>1663</v>
      </c>
      <c r="C464" t="s">
        <v>373</v>
      </c>
      <c r="D464" t="s">
        <v>1657</v>
      </c>
      <c r="E464" t="s">
        <v>2610</v>
      </c>
      <c r="F464" t="str">
        <f t="shared" si="7"/>
        <v>"C:\Program Files\VideoLAN\VLC\vlc.exe" "http://stream.deliteonline.com:48000/live128"</v>
      </c>
      <c r="M464" t="e">
        <f>VLOOKUP(A464,logos!$A$2:$A$10004,1,FALSE)</f>
        <v>#N/A</v>
      </c>
    </row>
    <row r="465" spans="1:13" hidden="1" x14ac:dyDescent="0.55000000000000004">
      <c r="A465" t="s">
        <v>381</v>
      </c>
      <c r="B465" t="s">
        <v>1663</v>
      </c>
      <c r="C465" t="s">
        <v>380</v>
      </c>
      <c r="D465" t="s">
        <v>1657</v>
      </c>
      <c r="E465" t="s">
        <v>2610</v>
      </c>
      <c r="F465" t="str">
        <f t="shared" si="7"/>
        <v>"C:\Program Files\VideoLAN\VLC\vlc.exe" "http://listen-nation.sharp-stream.com/tcnationdigital.mp3?ref=RF"</v>
      </c>
      <c r="M465" t="e">
        <f>VLOOKUP(A465,logos!$A$2:$A$10004,1,FALSE)</f>
        <v>#N/A</v>
      </c>
    </row>
    <row r="466" spans="1:13" hidden="1" x14ac:dyDescent="0.55000000000000004">
      <c r="A466" t="s">
        <v>2655</v>
      </c>
      <c r="B466" t="s">
        <v>1663</v>
      </c>
      <c r="C466" t="s">
        <v>387</v>
      </c>
      <c r="D466" t="s">
        <v>1657</v>
      </c>
      <c r="E466" t="s">
        <v>2610</v>
      </c>
      <c r="F466" t="str">
        <f t="shared" si="7"/>
        <v>"C:\Program Files\VideoLAN\VLC\vlc.exe" "http://listen-nation.sharp-stream.com/nationeasyports.mp3?ref=RF"</v>
      </c>
      <c r="M466" t="e">
        <f>VLOOKUP(A466,logos!$A$2:$A$10004,1,FALSE)</f>
        <v>#N/A</v>
      </c>
    </row>
    <row r="467" spans="1:13" hidden="1" x14ac:dyDescent="0.55000000000000004">
      <c r="A467" t="s">
        <v>2656</v>
      </c>
      <c r="B467" t="s">
        <v>1663</v>
      </c>
      <c r="C467" t="s">
        <v>391</v>
      </c>
      <c r="D467" t="s">
        <v>1657</v>
      </c>
      <c r="E467" t="s">
        <v>2610</v>
      </c>
      <c r="F467" t="str">
        <f t="shared" si="7"/>
        <v>"C:\Program Files\VideoLAN\VLC\vlc.exe" "http://listen-nation.sharp-stream.com/nationeasysoton.mp3?ref=RF"</v>
      </c>
      <c r="M467" t="e">
        <f>VLOOKUP(A467,logos!$A$2:$A$10004,1,FALSE)</f>
        <v>#N/A</v>
      </c>
    </row>
    <row r="468" spans="1:13" hidden="1" x14ac:dyDescent="0.55000000000000004">
      <c r="A468" t="s">
        <v>2657</v>
      </c>
      <c r="B468" t="s">
        <v>1663</v>
      </c>
      <c r="C468" t="s">
        <v>394</v>
      </c>
      <c r="D468" t="s">
        <v>1657</v>
      </c>
      <c r="E468" t="s">
        <v>2610</v>
      </c>
      <c r="F468" t="str">
        <f t="shared" si="7"/>
        <v>"C:\Program Files\VideoLAN\VLC\vlc.exe" "http://listen-nation.sharp-stream.com/breezyradiouk.mp3?ref=RF"</v>
      </c>
      <c r="M468" t="e">
        <f>VLOOKUP(A468,logos!$A$2:$A$10004,1,FALSE)</f>
        <v>#N/A</v>
      </c>
    </row>
    <row r="469" spans="1:13" hidden="1" x14ac:dyDescent="0.55000000000000004">
      <c r="A469" t="s">
        <v>2658</v>
      </c>
      <c r="B469" t="s">
        <v>1663</v>
      </c>
      <c r="C469" t="s">
        <v>397</v>
      </c>
      <c r="D469" t="s">
        <v>1657</v>
      </c>
      <c r="E469" t="s">
        <v>2610</v>
      </c>
      <c r="F469" t="str">
        <f t="shared" si="7"/>
        <v>"C:\Program Files\VideoLAN\VLC\vlc.exe" "http://listen-nation.sharp-stream.com/tcbay.mp3?ref=RF"</v>
      </c>
      <c r="M469" t="e">
        <f>VLOOKUP(A469,logos!$A$2:$A$10004,1,FALSE)</f>
        <v>#N/A</v>
      </c>
    </row>
    <row r="470" spans="1:13" hidden="1" x14ac:dyDescent="0.55000000000000004">
      <c r="A470" t="s">
        <v>407</v>
      </c>
      <c r="B470" t="s">
        <v>1663</v>
      </c>
      <c r="C470" t="s">
        <v>406</v>
      </c>
      <c r="D470" t="s">
        <v>1657</v>
      </c>
      <c r="E470" t="s">
        <v>2610</v>
      </c>
      <c r="F470" t="str">
        <f t="shared" si="7"/>
        <v>"C:\Program Files\VideoLAN\VLC\vlc.exe" "http://a11.streamgb.com:8083/stream"</v>
      </c>
      <c r="M470" t="e">
        <f>VLOOKUP(A470,logos!$A$2:$A$10004,1,FALSE)</f>
        <v>#N/A</v>
      </c>
    </row>
    <row r="471" spans="1:13" hidden="1" x14ac:dyDescent="0.55000000000000004">
      <c r="A471" t="s">
        <v>2662</v>
      </c>
      <c r="B471" t="s">
        <v>1663</v>
      </c>
      <c r="C471" t="s">
        <v>435</v>
      </c>
      <c r="D471" t="s">
        <v>1657</v>
      </c>
      <c r="E471" t="s">
        <v>2610</v>
      </c>
      <c r="F471" t="str">
        <f t="shared" si="7"/>
        <v>"C:\Program Files\VideoLAN\VLC\vlc.exe" "http://listen-gaydio.sharp-stream.com/467_gaydio_birmingham_128_mp3?ref=RF"</v>
      </c>
      <c r="M471" t="e">
        <f>VLOOKUP(A471,logos!$A$2:$A$10004,1,FALSE)</f>
        <v>#N/A</v>
      </c>
    </row>
    <row r="472" spans="1:13" hidden="1" x14ac:dyDescent="0.55000000000000004">
      <c r="A472" t="s">
        <v>2663</v>
      </c>
      <c r="B472" t="s">
        <v>1663</v>
      </c>
      <c r="C472" t="s">
        <v>439</v>
      </c>
      <c r="D472" t="s">
        <v>1657</v>
      </c>
      <c r="E472" t="s">
        <v>2610</v>
      </c>
      <c r="F472" t="str">
        <f t="shared" si="7"/>
        <v>"C:\Program Files\VideoLAN\VLC\vlc.exe" "http://listen-gaydio.sharp-stream.com/76_gaydio_scotland_128?ref=RF"</v>
      </c>
      <c r="M472" t="e">
        <f>VLOOKUP(A472,logos!$A$2:$A$10004,1,FALSE)</f>
        <v>#N/A</v>
      </c>
    </row>
    <row r="473" spans="1:13" hidden="1" x14ac:dyDescent="0.55000000000000004">
      <c r="A473" t="s">
        <v>2664</v>
      </c>
      <c r="B473" t="s">
        <v>1663</v>
      </c>
      <c r="C473" t="s">
        <v>442</v>
      </c>
      <c r="D473" t="s">
        <v>1657</v>
      </c>
      <c r="E473" t="s">
        <v>2610</v>
      </c>
      <c r="F473" t="str">
        <f t="shared" si="7"/>
        <v>"C:\Program Files\VideoLAN\VLC\vlc.exe" "http://listen-gaydio.sharp-stream.com/472_gaydio_london_128_mp3?ref=RF"</v>
      </c>
      <c r="M473" t="e">
        <f>VLOOKUP(A473,logos!$A$2:$A$10004,1,FALSE)</f>
        <v>#N/A</v>
      </c>
    </row>
    <row r="474" spans="1:13" hidden="1" x14ac:dyDescent="0.55000000000000004">
      <c r="A474" t="s">
        <v>2665</v>
      </c>
      <c r="B474" t="s">
        <v>1663</v>
      </c>
      <c r="C474" t="s">
        <v>445</v>
      </c>
      <c r="D474" t="s">
        <v>1657</v>
      </c>
      <c r="E474" t="s">
        <v>2610</v>
      </c>
      <c r="F474" t="str">
        <f t="shared" si="7"/>
        <v>"C:\Program Files\VideoLAN\VLC\vlc.exe" "http://listen-gaydio.sharp-stream.com/gaydiouk.mp3?ref=RF"</v>
      </c>
      <c r="M474" t="e">
        <f>VLOOKUP(A474,logos!$A$2:$A$10004,1,FALSE)</f>
        <v>#N/A</v>
      </c>
    </row>
    <row r="475" spans="1:13" hidden="1" x14ac:dyDescent="0.55000000000000004">
      <c r="A475" t="s">
        <v>463</v>
      </c>
      <c r="B475" t="s">
        <v>1663</v>
      </c>
      <c r="C475" t="s">
        <v>464</v>
      </c>
      <c r="D475" t="s">
        <v>1657</v>
      </c>
      <c r="E475" t="s">
        <v>2610</v>
      </c>
      <c r="F475" t="str">
        <f t="shared" si="7"/>
        <v>"C:\Program Files\VideoLAN\VLC\vlc.exe" "http://s6.citrus3.com:8010/stream"</v>
      </c>
      <c r="M475" t="e">
        <f>VLOOKUP(A475,logos!$A$2:$A$10004,1,FALSE)</f>
        <v>#N/A</v>
      </c>
    </row>
    <row r="476" spans="1:13" hidden="1" x14ac:dyDescent="0.55000000000000004">
      <c r="A476" t="s">
        <v>574</v>
      </c>
      <c r="B476" t="s">
        <v>1663</v>
      </c>
      <c r="C476" t="s">
        <v>573</v>
      </c>
      <c r="D476" t="s">
        <v>1657</v>
      </c>
      <c r="E476" t="s">
        <v>2610</v>
      </c>
      <c r="F476" t="str">
        <f t="shared" si="7"/>
        <v>"C:\Program Files\VideoLAN\VLC\vlc.exe" "http://playoutonestreaming.com:8026/stream"</v>
      </c>
      <c r="M476" t="e">
        <f>VLOOKUP(A476,logos!$A$2:$A$10004,1,FALSE)</f>
        <v>#N/A</v>
      </c>
    </row>
    <row r="477" spans="1:13" hidden="1" x14ac:dyDescent="0.55000000000000004">
      <c r="A477" t="s">
        <v>718</v>
      </c>
      <c r="B477" t="s">
        <v>1663</v>
      </c>
      <c r="C477" t="s">
        <v>2162</v>
      </c>
      <c r="D477" t="s">
        <v>1657</v>
      </c>
      <c r="E477" t="s">
        <v>2610</v>
      </c>
      <c r="F477" t="str">
        <f t="shared" si="7"/>
        <v>"C:\Program Files\VideoLAN\VLC\vlc.exe" "http://n02a-eu.rcs.revma.com:80/epatpyebanzuv"</v>
      </c>
      <c r="M477" t="str">
        <f>VLOOKUP(A477,logos!$A$2:$A$10004,1,FALSE)</f>
        <v>Island FM</v>
      </c>
    </row>
    <row r="478" spans="1:13" hidden="1" x14ac:dyDescent="0.55000000000000004">
      <c r="A478" t="s">
        <v>728</v>
      </c>
      <c r="B478" t="s">
        <v>1663</v>
      </c>
      <c r="C478" t="s">
        <v>727</v>
      </c>
      <c r="D478" t="s">
        <v>1657</v>
      </c>
      <c r="E478" t="s">
        <v>2610</v>
      </c>
      <c r="F478" t="str">
        <f t="shared" si="7"/>
        <v>"C:\Program Files\VideoLAN\VLC\vlc.exe" "http://listen-jackmedia.sharp-stream.com/390_jack_2_128_mp3?ref=RF"</v>
      </c>
      <c r="M478" t="e">
        <f>VLOOKUP(A478,logos!$A$2:$A$10004,1,FALSE)</f>
        <v>#N/A</v>
      </c>
    </row>
    <row r="479" spans="1:13" hidden="1" x14ac:dyDescent="0.55000000000000004">
      <c r="A479" t="s">
        <v>731</v>
      </c>
      <c r="B479" t="s">
        <v>1663</v>
      </c>
      <c r="C479" t="s">
        <v>730</v>
      </c>
      <c r="D479" t="s">
        <v>1657</v>
      </c>
      <c r="E479" t="s">
        <v>2610</v>
      </c>
      <c r="F479" t="str">
        <f t="shared" si="7"/>
        <v>"C:\Program Files\VideoLAN\VLC\vlc.exe" "http://listen-jackmedia.sharp-stream.com/390_jack_3_128_mp3?ref=RF"</v>
      </c>
      <c r="M479" t="e">
        <f>VLOOKUP(A479,logos!$A$2:$A$10004,1,FALSE)</f>
        <v>#N/A</v>
      </c>
    </row>
    <row r="480" spans="1:13" hidden="1" x14ac:dyDescent="0.55000000000000004">
      <c r="A480" t="s">
        <v>724</v>
      </c>
      <c r="B480" t="s">
        <v>1663</v>
      </c>
      <c r="C480" t="s">
        <v>723</v>
      </c>
      <c r="D480" t="s">
        <v>1657</v>
      </c>
      <c r="E480" t="s">
        <v>2610</v>
      </c>
      <c r="F480" t="str">
        <f t="shared" si="7"/>
        <v>"C:\Program Files\VideoLAN\VLC\vlc.exe" "http://listen-jackmedia.sharp-stream.com/390_jack_fm_128_mp3?ref=RF"</v>
      </c>
      <c r="M480" t="e">
        <f>VLOOKUP(A480,logos!$A$2:$A$10004,1,FALSE)</f>
        <v>#N/A</v>
      </c>
    </row>
    <row r="481" spans="1:13" hidden="1" x14ac:dyDescent="0.55000000000000004">
      <c r="A481" t="s">
        <v>742</v>
      </c>
      <c r="B481" t="s">
        <v>1663</v>
      </c>
      <c r="C481" t="s">
        <v>741</v>
      </c>
      <c r="D481" t="s">
        <v>1657</v>
      </c>
      <c r="E481" t="s">
        <v>2610</v>
      </c>
      <c r="F481" t="str">
        <f t="shared" si="7"/>
        <v>"C:\Program Files\VideoLAN\VLC\vlc.exe" "http://listen-kingdomfm.sharp-stream.com/kingdomfm.mp3?ref=RF"</v>
      </c>
      <c r="M481" t="str">
        <f>VLOOKUP(A481,logos!$A$2:$A$10004,1,FALSE)</f>
        <v>Kingdom FM</v>
      </c>
    </row>
    <row r="482" spans="1:13" hidden="1" x14ac:dyDescent="0.55000000000000004">
      <c r="A482" t="s">
        <v>831</v>
      </c>
      <c r="B482" t="s">
        <v>1663</v>
      </c>
      <c r="C482" t="s">
        <v>830</v>
      </c>
      <c r="D482" t="s">
        <v>1657</v>
      </c>
      <c r="E482" t="s">
        <v>2610</v>
      </c>
      <c r="F482" t="str">
        <f t="shared" si="7"/>
        <v>"C:\Program Files\VideoLAN\VLC\vlc.exe" "http://trappist.shoutca.st:8058/stream"</v>
      </c>
      <c r="M482" t="e">
        <f>VLOOKUP(A482,logos!$A$2:$A$10004,1,FALSE)</f>
        <v>#N/A</v>
      </c>
    </row>
    <row r="483" spans="1:13" hidden="1" x14ac:dyDescent="0.55000000000000004">
      <c r="A483" t="s">
        <v>834</v>
      </c>
      <c r="B483" t="s">
        <v>1663</v>
      </c>
      <c r="C483" t="s">
        <v>833</v>
      </c>
      <c r="D483" t="s">
        <v>1657</v>
      </c>
      <c r="E483" t="s">
        <v>2610</v>
      </c>
      <c r="F483" t="str">
        <f t="shared" si="7"/>
        <v>"C:\Program Files\VideoLAN\VLC\vlc.exe" "http://listen-misoul.sharp-stream.com/462_mi_soul_128_mp3?ref=RF"</v>
      </c>
      <c r="M483" t="e">
        <f>VLOOKUP(A483,logos!$A$2:$A$10004,1,FALSE)</f>
        <v>#N/A</v>
      </c>
    </row>
    <row r="484" spans="1:13" hidden="1" x14ac:dyDescent="0.55000000000000004">
      <c r="A484" t="s">
        <v>865</v>
      </c>
      <c r="B484" t="s">
        <v>1663</v>
      </c>
      <c r="C484" t="s">
        <v>864</v>
      </c>
      <c r="D484" t="s">
        <v>1657</v>
      </c>
      <c r="E484" t="s">
        <v>2610</v>
      </c>
      <c r="F484" t="str">
        <f t="shared" si="7"/>
        <v>"C:\Program Files\VideoLAN\VLC\vlc.exe" "http://listen-nation.sharp-stream.com/nationradio00s.mp3?ref=RF"</v>
      </c>
      <c r="M484" t="e">
        <f>VLOOKUP(A484,logos!$A$2:$A$10004,1,FALSE)</f>
        <v>#N/A</v>
      </c>
    </row>
    <row r="485" spans="1:13" hidden="1" x14ac:dyDescent="0.55000000000000004">
      <c r="A485" t="s">
        <v>853</v>
      </c>
      <c r="B485" t="s">
        <v>1663</v>
      </c>
      <c r="C485" t="s">
        <v>852</v>
      </c>
      <c r="D485" t="s">
        <v>1657</v>
      </c>
      <c r="E485" t="s">
        <v>2610</v>
      </c>
      <c r="F485" t="str">
        <f t="shared" si="7"/>
        <v>"C:\Program Files\VideoLAN\VLC\vlc.exe" "http://listen-nation.sharp-stream.com/nation60s.mp3?ref=RF"</v>
      </c>
      <c r="M485" t="e">
        <f>VLOOKUP(A485,logos!$A$2:$A$10004,1,FALSE)</f>
        <v>#N/A</v>
      </c>
    </row>
    <row r="486" spans="1:13" hidden="1" x14ac:dyDescent="0.55000000000000004">
      <c r="A486" t="s">
        <v>856</v>
      </c>
      <c r="B486" t="s">
        <v>1663</v>
      </c>
      <c r="C486" t="s">
        <v>855</v>
      </c>
      <c r="D486" t="s">
        <v>1657</v>
      </c>
      <c r="E486" t="s">
        <v>2610</v>
      </c>
      <c r="F486" t="str">
        <f t="shared" si="7"/>
        <v>"C:\Program Files\VideoLAN\VLC\vlc.exe" "http://listen-nation.sharp-stream.com/nationradio70s.mp3?ref=RF"</v>
      </c>
      <c r="M486" t="e">
        <f>VLOOKUP(A486,logos!$A$2:$A$10004,1,FALSE)</f>
        <v>#N/A</v>
      </c>
    </row>
    <row r="487" spans="1:13" hidden="1" x14ac:dyDescent="0.55000000000000004">
      <c r="A487" t="s">
        <v>859</v>
      </c>
      <c r="B487" t="s">
        <v>1663</v>
      </c>
      <c r="C487" t="s">
        <v>858</v>
      </c>
      <c r="D487" t="s">
        <v>1657</v>
      </c>
      <c r="E487" t="s">
        <v>2610</v>
      </c>
      <c r="F487" t="str">
        <f t="shared" si="7"/>
        <v>"C:\Program Files\VideoLAN\VLC\vlc.exe" "http://listen-nation.sharp-stream.com/nationradio80s.mp3?ref=RF"</v>
      </c>
      <c r="M487" t="e">
        <f>VLOOKUP(A487,logos!$A$2:$A$10004,1,FALSE)</f>
        <v>#N/A</v>
      </c>
    </row>
    <row r="488" spans="1:13" hidden="1" x14ac:dyDescent="0.55000000000000004">
      <c r="A488" t="s">
        <v>862</v>
      </c>
      <c r="B488" t="s">
        <v>1663</v>
      </c>
      <c r="C488" t="s">
        <v>861</v>
      </c>
      <c r="D488" t="s">
        <v>1657</v>
      </c>
      <c r="E488" t="s">
        <v>2610</v>
      </c>
      <c r="F488" t="str">
        <f t="shared" si="7"/>
        <v>"C:\Program Files\VideoLAN\VLC\vlc.exe" "http://listen-nation.sharp-stream.com/nationradio90s.mp3?ref=RF"</v>
      </c>
      <c r="M488" t="e">
        <f>VLOOKUP(A488,logos!$A$2:$A$10004,1,FALSE)</f>
        <v>#N/A</v>
      </c>
    </row>
    <row r="489" spans="1:13" hidden="1" x14ac:dyDescent="0.55000000000000004">
      <c r="A489" t="s">
        <v>868</v>
      </c>
      <c r="B489" t="s">
        <v>1663</v>
      </c>
      <c r="C489" t="s">
        <v>867</v>
      </c>
      <c r="D489" t="s">
        <v>1657</v>
      </c>
      <c r="E489" t="s">
        <v>2610</v>
      </c>
      <c r="F489" t="str">
        <f t="shared" si="7"/>
        <v>"C:\Program Files\VideoLAN\VLC\vlc.exe" "http://listen-nation.sharp-stream.com/clubnation.mp3?ref=RF"</v>
      </c>
      <c r="M489" t="e">
        <f>VLOOKUP(A489,logos!$A$2:$A$10004,1,FALSE)</f>
        <v>#N/A</v>
      </c>
    </row>
    <row r="490" spans="1:13" hidden="1" x14ac:dyDescent="0.55000000000000004">
      <c r="A490" t="s">
        <v>871</v>
      </c>
      <c r="B490" t="s">
        <v>1663</v>
      </c>
      <c r="C490" t="s">
        <v>870</v>
      </c>
      <c r="D490" t="s">
        <v>1657</v>
      </c>
      <c r="E490" t="s">
        <v>2610</v>
      </c>
      <c r="F490" t="str">
        <f t="shared" si="7"/>
        <v>"C:\Program Files\VideoLAN\VLC\vlc.exe" "http://listen-nation.sharp-stream.com/nationhits.mp3?ref=RF"</v>
      </c>
      <c r="M490" t="e">
        <f>VLOOKUP(A490,logos!$A$2:$A$10004,1,FALSE)</f>
        <v>#N/A</v>
      </c>
    </row>
    <row r="491" spans="1:13" hidden="1" x14ac:dyDescent="0.55000000000000004">
      <c r="A491" t="s">
        <v>874</v>
      </c>
      <c r="B491" t="s">
        <v>1663</v>
      </c>
      <c r="C491" t="s">
        <v>873</v>
      </c>
      <c r="D491" t="s">
        <v>1657</v>
      </c>
      <c r="E491" t="s">
        <v>2610</v>
      </c>
      <c r="F491" t="str">
        <f t="shared" si="7"/>
        <v>"C:\Program Files\VideoLAN\VLC\vlc.exe" "http://listen-nation.sharp-stream.com/lovenation.mp3?ref=RF"</v>
      </c>
      <c r="M491" t="e">
        <f>VLOOKUP(A491,logos!$A$2:$A$10004,1,FALSE)</f>
        <v>#N/A</v>
      </c>
    </row>
    <row r="492" spans="1:13" hidden="1" x14ac:dyDescent="0.55000000000000004">
      <c r="A492" t="s">
        <v>877</v>
      </c>
      <c r="B492" t="s">
        <v>1663</v>
      </c>
      <c r="C492" t="s">
        <v>876</v>
      </c>
      <c r="D492" t="s">
        <v>1657</v>
      </c>
      <c r="E492" t="s">
        <v>2610</v>
      </c>
      <c r="F492" t="str">
        <f t="shared" si="7"/>
        <v>"C:\Program Files\VideoLAN\VLC\vlc.exe" "http://listen-nation.sharp-stream.com/nationparty.mp3?ref=RF"</v>
      </c>
      <c r="M492" t="e">
        <f>VLOOKUP(A492,logos!$A$2:$A$10004,1,FALSE)</f>
        <v>#N/A</v>
      </c>
    </row>
    <row r="493" spans="1:13" hidden="1" x14ac:dyDescent="0.55000000000000004">
      <c r="A493" t="s">
        <v>2783</v>
      </c>
      <c r="B493" t="s">
        <v>1663</v>
      </c>
      <c r="C493" t="s">
        <v>879</v>
      </c>
      <c r="D493" t="s">
        <v>1657</v>
      </c>
      <c r="E493" t="s">
        <v>2610</v>
      </c>
      <c r="F493" t="str">
        <f t="shared" si="7"/>
        <v>"C:\Program Files\VideoLAN\VLC\vlc.exe" "http://listen-nation.sharp-stream.com/hull.mp3?ref=RF"</v>
      </c>
      <c r="M493" t="e">
        <f>VLOOKUP(A493,logos!$A$2:$A$10004,1,FALSE)</f>
        <v>#N/A</v>
      </c>
    </row>
    <row r="494" spans="1:13" hidden="1" x14ac:dyDescent="0.55000000000000004">
      <c r="A494" t="s">
        <v>2784</v>
      </c>
      <c r="B494" t="s">
        <v>1663</v>
      </c>
      <c r="C494" t="s">
        <v>882</v>
      </c>
      <c r="D494" t="s">
        <v>1657</v>
      </c>
      <c r="E494" t="s">
        <v>2610</v>
      </c>
      <c r="F494" t="str">
        <f t="shared" si="7"/>
        <v>"C:\Program Files\VideoLAN\VLC\vlc.exe" "http://listen-nation.sharp-stream.com/yourradio.mp3?ref=RF"</v>
      </c>
      <c r="M494" t="e">
        <f>VLOOKUP(A494,logos!$A$2:$A$10004,1,FALSE)</f>
        <v>#N/A</v>
      </c>
    </row>
    <row r="495" spans="1:13" hidden="1" x14ac:dyDescent="0.55000000000000004">
      <c r="A495" t="s">
        <v>2785</v>
      </c>
      <c r="B495" t="s">
        <v>1663</v>
      </c>
      <c r="C495" t="s">
        <v>885</v>
      </c>
      <c r="D495" t="s">
        <v>1657</v>
      </c>
      <c r="E495" t="s">
        <v>2610</v>
      </c>
      <c r="F495" t="str">
        <f t="shared" si="7"/>
        <v>"C:\Program Files\VideoLAN\VLC\vlc.exe" "http://listen-nation.sharp-stream.com/nationscotland.mp3?ref=RF"</v>
      </c>
      <c r="M495" t="e">
        <f>VLOOKUP(A495,logos!$A$2:$A$10004,1,FALSE)</f>
        <v>#N/A</v>
      </c>
    </row>
    <row r="496" spans="1:13" hidden="1" x14ac:dyDescent="0.55000000000000004">
      <c r="A496" t="s">
        <v>2786</v>
      </c>
      <c r="B496" t="s">
        <v>1663</v>
      </c>
      <c r="C496" t="s">
        <v>888</v>
      </c>
      <c r="D496" t="s">
        <v>1657</v>
      </c>
      <c r="E496" t="s">
        <v>2610</v>
      </c>
      <c r="F496" t="str">
        <f t="shared" si="7"/>
        <v>"C:\Program Files\VideoLAN\VLC\vlc.exe" "http://listen-nation.sharp-stream.com/nationdorset.mp3?ref=RF"</v>
      </c>
      <c r="M496" t="e">
        <f>VLOOKUP(A496,logos!$A$2:$A$10004,1,FALSE)</f>
        <v>#N/A</v>
      </c>
    </row>
    <row r="497" spans="1:13" hidden="1" x14ac:dyDescent="0.55000000000000004">
      <c r="A497" t="s">
        <v>2787</v>
      </c>
      <c r="B497" t="s">
        <v>1663</v>
      </c>
      <c r="C497" t="s">
        <v>891</v>
      </c>
      <c r="D497" t="s">
        <v>1657</v>
      </c>
      <c r="E497" t="s">
        <v>2610</v>
      </c>
      <c r="F497" t="str">
        <f t="shared" si="7"/>
        <v>"C:\Program Files\VideoLAN\VLC\vlc.exe" "http://listen-nation.sharp-stream.com/nationhampshire.mp3?ref=RF"</v>
      </c>
      <c r="M497" t="e">
        <f>VLOOKUP(A497,logos!$A$2:$A$10004,1,FALSE)</f>
        <v>#N/A</v>
      </c>
    </row>
    <row r="498" spans="1:13" hidden="1" x14ac:dyDescent="0.55000000000000004">
      <c r="A498" t="s">
        <v>2788</v>
      </c>
      <c r="B498" t="s">
        <v>1663</v>
      </c>
      <c r="C498" t="s">
        <v>894</v>
      </c>
      <c r="D498" t="s">
        <v>1657</v>
      </c>
      <c r="E498" t="s">
        <v>2610</v>
      </c>
      <c r="F498" t="str">
        <f t="shared" si="7"/>
        <v>"C:\Program Files\VideoLAN\VLC\vlc.exe" "http://listen-nation.sharp-stream.com/nationsuffolk.mp3?ref=RF"</v>
      </c>
      <c r="M498" t="e">
        <f>VLOOKUP(A498,logos!$A$2:$A$10004,1,FALSE)</f>
        <v>#N/A</v>
      </c>
    </row>
    <row r="499" spans="1:13" hidden="1" x14ac:dyDescent="0.55000000000000004">
      <c r="A499" t="s">
        <v>2789</v>
      </c>
      <c r="B499" t="s">
        <v>1663</v>
      </c>
      <c r="C499" t="s">
        <v>897</v>
      </c>
      <c r="D499" t="s">
        <v>1657</v>
      </c>
      <c r="E499" t="s">
        <v>2610</v>
      </c>
      <c r="F499" t="str">
        <f t="shared" si="7"/>
        <v>"C:\Program Files\VideoLAN\VLC\vlc.exe" "http://listen-nation.sharp-stream.com/thamesradio.mp3?ref=RF"</v>
      </c>
      <c r="M499" t="e">
        <f>VLOOKUP(A499,logos!$A$2:$A$10004,1,FALSE)</f>
        <v>#N/A</v>
      </c>
    </row>
    <row r="500" spans="1:13" hidden="1" x14ac:dyDescent="0.55000000000000004">
      <c r="A500" t="s">
        <v>2790</v>
      </c>
      <c r="B500" t="s">
        <v>1663</v>
      </c>
      <c r="C500" t="s">
        <v>900</v>
      </c>
      <c r="D500" t="s">
        <v>1657</v>
      </c>
      <c r="E500" t="s">
        <v>2610</v>
      </c>
      <c r="F500" t="str">
        <f t="shared" si="7"/>
        <v>"C:\Program Files\VideoLAN\VLC\vlc.exe" "http://listen-nation.sharp-stream.com/tcceredigion.mp3?ref=RF"</v>
      </c>
      <c r="M500" t="e">
        <f>VLOOKUP(A500,logos!$A$2:$A$10004,1,FALSE)</f>
        <v>#N/A</v>
      </c>
    </row>
    <row r="501" spans="1:13" hidden="1" x14ac:dyDescent="0.55000000000000004">
      <c r="A501" t="s">
        <v>2791</v>
      </c>
      <c r="B501" t="s">
        <v>1663</v>
      </c>
      <c r="C501" t="s">
        <v>903</v>
      </c>
      <c r="D501" t="s">
        <v>1657</v>
      </c>
      <c r="E501" t="s">
        <v>2610</v>
      </c>
      <c r="F501" t="str">
        <f t="shared" si="7"/>
        <v>"C:\Program Files\VideoLAN\VLC\vlc.exe" "http://listen-nation.sharp-stream.com/tcnation.mp3?ref=RF"</v>
      </c>
      <c r="M501" t="e">
        <f>VLOOKUP(A501,logos!$A$2:$A$10004,1,FALSE)</f>
        <v>#N/A</v>
      </c>
    </row>
    <row r="502" spans="1:13" hidden="1" x14ac:dyDescent="0.55000000000000004">
      <c r="A502" t="s">
        <v>909</v>
      </c>
      <c r="B502" t="s">
        <v>1663</v>
      </c>
      <c r="C502" t="s">
        <v>908</v>
      </c>
      <c r="D502" t="s">
        <v>1657</v>
      </c>
      <c r="E502" t="s">
        <v>2610</v>
      </c>
      <c r="F502" t="str">
        <f t="shared" si="7"/>
        <v>"C:\Program Files\VideoLAN\VLC\vlc.exe" "http://listen-nation.sharp-stream.com/nationrocks.mp3?ref=RF"</v>
      </c>
      <c r="M502" t="e">
        <f>VLOOKUP(A502,logos!$A$2:$A$10004,1,FALSE)</f>
        <v>#N/A</v>
      </c>
    </row>
    <row r="503" spans="1:13" hidden="1" x14ac:dyDescent="0.55000000000000004">
      <c r="A503" t="s">
        <v>914</v>
      </c>
      <c r="B503" t="s">
        <v>1663</v>
      </c>
      <c r="C503" t="s">
        <v>913</v>
      </c>
      <c r="D503" t="s">
        <v>1657</v>
      </c>
      <c r="E503" t="s">
        <v>2610</v>
      </c>
      <c r="F503" t="str">
        <f t="shared" si="7"/>
        <v>"C:\Program Files\VideoLAN\VLC\vlc.exe" "http://listen-nme.sharp-stream.com/nme1.mp3?ref=RF"</v>
      </c>
      <c r="M503" t="e">
        <f>VLOOKUP(A503,logos!$A$2:$A$10004,1,FALSE)</f>
        <v>#N/A</v>
      </c>
    </row>
    <row r="504" spans="1:13" hidden="1" x14ac:dyDescent="0.55000000000000004">
      <c r="A504" t="s">
        <v>917</v>
      </c>
      <c r="B504" t="s">
        <v>1663</v>
      </c>
      <c r="C504" t="s">
        <v>916</v>
      </c>
      <c r="D504" t="s">
        <v>1657</v>
      </c>
      <c r="E504" t="s">
        <v>2610</v>
      </c>
      <c r="F504" t="str">
        <f t="shared" si="7"/>
        <v>"C:\Program Files\VideoLAN\VLC\vlc.exe" "http://listen-nme.sharp-stream.com/nme2.mp3?ref=RF"</v>
      </c>
      <c r="M504" t="e">
        <f>VLOOKUP(A504,logos!$A$2:$A$10004,1,FALSE)</f>
        <v>#N/A</v>
      </c>
    </row>
    <row r="505" spans="1:13" hidden="1" x14ac:dyDescent="0.55000000000000004">
      <c r="A505" t="s">
        <v>937</v>
      </c>
      <c r="B505" t="s">
        <v>1663</v>
      </c>
      <c r="C505" t="s">
        <v>936</v>
      </c>
      <c r="D505" t="s">
        <v>1657</v>
      </c>
      <c r="E505" t="s">
        <v>2610</v>
      </c>
      <c r="F505" t="str">
        <f t="shared" si="7"/>
        <v>"C:\Program Files\VideoLAN\VLC\vlc.exe" "http://streaming03.zfast.co.uk:8047/listen.mp3"</v>
      </c>
      <c r="M505" t="e">
        <f>VLOOKUP(A505,logos!$A$2:$A$10004,1,FALSE)</f>
        <v>#N/A</v>
      </c>
    </row>
    <row r="506" spans="1:13" hidden="1" x14ac:dyDescent="0.55000000000000004">
      <c r="A506" t="s">
        <v>959</v>
      </c>
      <c r="B506" t="s">
        <v>1663</v>
      </c>
      <c r="C506" t="s">
        <v>958</v>
      </c>
      <c r="D506" t="s">
        <v>1657</v>
      </c>
      <c r="E506" t="s">
        <v>2610</v>
      </c>
      <c r="F506" t="str">
        <f t="shared" si="7"/>
        <v>"C:\Program Files\VideoLAN\VLC\vlc.exe" "http://pointblankradio.co.uk/stream.mp3?ref=rf"</v>
      </c>
      <c r="M506" t="e">
        <f>VLOOKUP(A506,logos!$A$2:$A$10004,1,FALSE)</f>
        <v>#N/A</v>
      </c>
    </row>
    <row r="507" spans="1:13" hidden="1" x14ac:dyDescent="0.55000000000000004">
      <c r="A507" t="s">
        <v>1013</v>
      </c>
      <c r="B507" t="s">
        <v>1663</v>
      </c>
      <c r="C507" t="s">
        <v>1012</v>
      </c>
      <c r="D507" t="s">
        <v>1657</v>
      </c>
      <c r="E507" t="s">
        <v>2610</v>
      </c>
      <c r="F507" t="str">
        <f t="shared" si="7"/>
        <v>"C:\Program Files\VideoLAN\VLC\vlc.exe" "http://listen-nation.sharp-stream.com/tccarmarthenshire.mp3?ref=RF"</v>
      </c>
      <c r="M507" t="e">
        <f>VLOOKUP(A507,logos!$A$2:$A$10004,1,FALSE)</f>
        <v>#N/A</v>
      </c>
    </row>
    <row r="508" spans="1:13" hidden="1" x14ac:dyDescent="0.55000000000000004">
      <c r="A508" t="s">
        <v>1044</v>
      </c>
      <c r="B508" t="s">
        <v>1663</v>
      </c>
      <c r="C508" t="s">
        <v>1043</v>
      </c>
      <c r="D508" t="s">
        <v>1657</v>
      </c>
      <c r="E508" t="s">
        <v>2610</v>
      </c>
      <c r="F508" t="str">
        <f t="shared" si="7"/>
        <v>"C:\Program Files\VideoLAN\VLC\vlc.exe" "http://listen-nation.sharp-stream.com/tcpembrokeshire.mp3?ref=RF"</v>
      </c>
      <c r="M508" t="e">
        <f>VLOOKUP(A508,logos!$A$2:$A$10004,1,FALSE)</f>
        <v>#N/A</v>
      </c>
    </row>
    <row r="509" spans="1:13" hidden="1" x14ac:dyDescent="0.55000000000000004">
      <c r="A509" t="s">
        <v>1110</v>
      </c>
      <c r="B509" t="s">
        <v>1663</v>
      </c>
      <c r="C509" t="s">
        <v>1109</v>
      </c>
      <c r="D509" t="s">
        <v>1657</v>
      </c>
      <c r="E509" t="s">
        <v>2610</v>
      </c>
      <c r="F509" t="str">
        <f t="shared" si="7"/>
        <v>"C:\Program Files\VideoLAN\VLC\vlc.exe" "http://tx9.zetcast.net:8100/stream2?ref=RF"</v>
      </c>
      <c r="M509" t="e">
        <f>VLOOKUP(A509,logos!$A$2:$A$10004,1,FALSE)</f>
        <v>#N/A</v>
      </c>
    </row>
    <row r="510" spans="1:13" hidden="1" x14ac:dyDescent="0.55000000000000004">
      <c r="A510" t="s">
        <v>1181</v>
      </c>
      <c r="B510" t="s">
        <v>1663</v>
      </c>
      <c r="C510" t="s">
        <v>1180</v>
      </c>
      <c r="D510" t="s">
        <v>1657</v>
      </c>
      <c r="E510" t="s">
        <v>2610</v>
      </c>
      <c r="F510" t="str">
        <f t="shared" si="7"/>
        <v>"C:\Program Files\VideoLAN\VLC\vlc.exe" "http://svr1.msmn2.co:8324/stream"</v>
      </c>
      <c r="M510" t="e">
        <f>VLOOKUP(A510,logos!$A$2:$A$10004,1,FALSE)</f>
        <v>#N/A</v>
      </c>
    </row>
    <row r="511" spans="1:13" hidden="1" x14ac:dyDescent="0.55000000000000004">
      <c r="A511" t="s">
        <v>1185</v>
      </c>
      <c r="B511" t="s">
        <v>1663</v>
      </c>
      <c r="C511" t="s">
        <v>2181</v>
      </c>
      <c r="D511" t="s">
        <v>1657</v>
      </c>
      <c r="E511" t="s">
        <v>2610</v>
      </c>
      <c r="F511" t="str">
        <f t="shared" si="7"/>
        <v>"C:\Program Files\VideoLAN\VLC\vlc.exe" "http://n02a-eu.rcs.revma.com:80/e7c2n0nc508uv"</v>
      </c>
      <c r="M511" t="str">
        <f>VLOOKUP(A511,logos!$A$2:$A$10004,1,FALSE)</f>
        <v>Soleil Radio</v>
      </c>
    </row>
    <row r="512" spans="1:13" hidden="1" x14ac:dyDescent="0.55000000000000004">
      <c r="A512" t="s">
        <v>2829</v>
      </c>
      <c r="B512" t="s">
        <v>1663</v>
      </c>
      <c r="C512" t="s">
        <v>2183</v>
      </c>
      <c r="D512" t="s">
        <v>1657</v>
      </c>
      <c r="E512" t="s">
        <v>2610</v>
      </c>
      <c r="F512" t="str">
        <f t="shared" si="7"/>
        <v>"C:\Program Files\VideoLAN\VLC\vlc.exe" "http://n02a-eu.rcs.revma.com:80/4bxr9kkgewzuv"</v>
      </c>
      <c r="M512" t="e">
        <f>VLOOKUP(A512,logos!$A$2:$A$10004,1,FALSE)</f>
        <v>#N/A</v>
      </c>
    </row>
    <row r="513" spans="1:13" hidden="1" x14ac:dyDescent="0.55000000000000004">
      <c r="A513" t="s">
        <v>1213</v>
      </c>
      <c r="B513" t="s">
        <v>1663</v>
      </c>
      <c r="C513" t="s">
        <v>1212</v>
      </c>
      <c r="D513" t="s">
        <v>1657</v>
      </c>
      <c r="E513" t="s">
        <v>2610</v>
      </c>
      <c r="F513" t="str">
        <f t="shared" si="7"/>
        <v>"C:\Program Files\VideoLAN\VLC\vlc.exe" "http://listen-nation.sharp-stream.com/sunfm.mp3?ref=RF"</v>
      </c>
      <c r="M513" t="e">
        <f>VLOOKUP(A513,logos!$A$2:$A$10004,1,FALSE)</f>
        <v>#N/A</v>
      </c>
    </row>
    <row r="514" spans="1:13" hidden="1" x14ac:dyDescent="0.55000000000000004">
      <c r="A514" t="s">
        <v>2838</v>
      </c>
      <c r="B514" t="s">
        <v>1663</v>
      </c>
      <c r="C514" t="s">
        <v>1226</v>
      </c>
      <c r="D514" t="s">
        <v>1657</v>
      </c>
      <c r="E514" t="s">
        <v>2610</v>
      </c>
      <c r="F514" t="str">
        <f t="shared" si="7"/>
        <v>"C:\Program Files\VideoLAN\VLC\vlc.exe" "http://stream1.themediasite.co.uk:8070/mid"</v>
      </c>
      <c r="M514" t="e">
        <f>VLOOKUP(A514,logos!$A$2:$A$10004,1,FALSE)</f>
        <v>#N/A</v>
      </c>
    </row>
    <row r="515" spans="1:13" hidden="1" x14ac:dyDescent="0.55000000000000004">
      <c r="A515" t="s">
        <v>1257</v>
      </c>
      <c r="B515" t="s">
        <v>1663</v>
      </c>
      <c r="C515" t="s">
        <v>1258</v>
      </c>
      <c r="D515" t="s">
        <v>1657</v>
      </c>
      <c r="E515" t="s">
        <v>2610</v>
      </c>
      <c r="F515" t="str">
        <f t="shared" ref="F515:F578" si="8">"""C:\Program Files\VideoLAN\VLC\vlc.exe"" """&amp;C515&amp;""""</f>
        <v>"C:\Program Files\VideoLAN\VLC\vlc.exe" "http://therockservice.servebeer.com:7999/"</v>
      </c>
      <c r="M515" t="e">
        <f>VLOOKUP(A515,logos!$A$2:$A$10004,1,FALSE)</f>
        <v>#N/A</v>
      </c>
    </row>
    <row r="516" spans="1:13" hidden="1" x14ac:dyDescent="0.55000000000000004">
      <c r="A516" t="s">
        <v>1262</v>
      </c>
      <c r="B516" t="s">
        <v>1663</v>
      </c>
      <c r="C516" t="s">
        <v>1261</v>
      </c>
      <c r="D516" t="s">
        <v>1657</v>
      </c>
      <c r="E516" t="s">
        <v>2610</v>
      </c>
      <c r="F516" t="str">
        <f t="shared" si="8"/>
        <v>"C:\Program Files\VideoLAN\VLC\vlc.exe" "http://icecast3.rosisystems.com:8000/thevoice.mp3"</v>
      </c>
      <c r="M516" t="e">
        <f>VLOOKUP(A516,logos!$A$2:$A$10004,1,FALSE)</f>
        <v>#N/A</v>
      </c>
    </row>
    <row r="517" spans="1:13" hidden="1" x14ac:dyDescent="0.55000000000000004">
      <c r="A517" t="s">
        <v>1298</v>
      </c>
      <c r="B517" t="s">
        <v>1663</v>
      </c>
      <c r="C517" t="s">
        <v>1297</v>
      </c>
      <c r="D517" t="s">
        <v>1657</v>
      </c>
      <c r="E517" t="s">
        <v>2610</v>
      </c>
      <c r="F517" t="str">
        <f t="shared" si="8"/>
        <v>"C:\Program Files\VideoLAN\VLC\vlc.exe" "http://stream.v2radio.co.uk:80/V2RadioHQMP3"</v>
      </c>
      <c r="M517" t="str">
        <f>VLOOKUP(A517,logos!$A$2:$A$10004,1,FALSE)</f>
        <v>V2 Radio</v>
      </c>
    </row>
    <row r="518" spans="1:13" hidden="1" x14ac:dyDescent="0.55000000000000004">
      <c r="A518" t="s">
        <v>1340</v>
      </c>
      <c r="B518" t="s">
        <v>1663</v>
      </c>
      <c r="C518" t="s">
        <v>1341</v>
      </c>
      <c r="D518" t="s">
        <v>1657</v>
      </c>
      <c r="E518" t="s">
        <v>2610</v>
      </c>
      <c r="F518" t="str">
        <f t="shared" si="8"/>
        <v>"C:\Program Files\VideoLAN\VLC\vlc.exe" "http://stream2.hippynet.co.uk:8020/streamb"</v>
      </c>
      <c r="M518" t="e">
        <f>VLOOKUP(A518,logos!$A$2:$A$10004,1,FALSE)</f>
        <v>#N/A</v>
      </c>
    </row>
    <row r="519" spans="1:13" hidden="1" x14ac:dyDescent="0.55000000000000004">
      <c r="A519" t="s">
        <v>16</v>
      </c>
      <c r="B519" t="s">
        <v>1689</v>
      </c>
      <c r="C519" t="s">
        <v>15</v>
      </c>
      <c r="D519" t="s">
        <v>1657</v>
      </c>
      <c r="E519" t="s">
        <v>2610</v>
      </c>
      <c r="F519" t="str">
        <f t="shared" si="8"/>
        <v>"C:\Program Files\VideoLAN\VLC\vlc.exe" "http://edge.clrmedia.co.uk:10000/chiptunes"</v>
      </c>
      <c r="M519" t="e">
        <f>VLOOKUP(A519,logos!$A$2:$A$10004,1,FALSE)</f>
        <v>#N/A</v>
      </c>
    </row>
    <row r="520" spans="1:13" hidden="1" x14ac:dyDescent="0.55000000000000004">
      <c r="A520" t="s">
        <v>2798</v>
      </c>
      <c r="B520" t="s">
        <v>1689</v>
      </c>
      <c r="C520" t="s">
        <v>1026</v>
      </c>
      <c r="D520" t="s">
        <v>1657</v>
      </c>
      <c r="E520" t="s">
        <v>2610</v>
      </c>
      <c r="F520" t="str">
        <f t="shared" si="8"/>
        <v>"C:\Program Files\VideoLAN\VLC\vlc.exe" "http://playoutonestreaming.com:8012/mp3"</v>
      </c>
      <c r="M520" t="e">
        <f>VLOOKUP(A520,logos!$A$2:$A$10004,1,FALSE)</f>
        <v>#N/A</v>
      </c>
    </row>
    <row r="521" spans="1:13" hidden="1" x14ac:dyDescent="0.55000000000000004">
      <c r="A521" t="s">
        <v>2829</v>
      </c>
      <c r="B521" t="s">
        <v>1689</v>
      </c>
      <c r="C521" t="s">
        <v>2184</v>
      </c>
      <c r="D521" t="s">
        <v>1657</v>
      </c>
      <c r="E521" t="s">
        <v>2610</v>
      </c>
      <c r="F521" t="str">
        <f t="shared" si="8"/>
        <v>"C:\Program Files\VideoLAN\VLC\vlc.exe" "http://n02a-eu.rcs.revma.com:80/8rud7kqkdwzuv"</v>
      </c>
      <c r="M521" t="e">
        <f>VLOOKUP(A521,logos!$A$2:$A$10004,1,FALSE)</f>
        <v>#N/A</v>
      </c>
    </row>
    <row r="522" spans="1:13" hidden="1" x14ac:dyDescent="0.55000000000000004">
      <c r="A522" t="s">
        <v>2840</v>
      </c>
      <c r="B522" t="s">
        <v>1689</v>
      </c>
      <c r="C522" t="s">
        <v>1331</v>
      </c>
      <c r="D522" t="s">
        <v>1657</v>
      </c>
      <c r="E522" t="s">
        <v>2610</v>
      </c>
      <c r="F522" t="str">
        <f t="shared" si="8"/>
        <v>"C:\Program Files\VideoLAN\VLC\vlc.exe" "http://radio.canstream.co.uk:8039/live.mp3"</v>
      </c>
      <c r="M522" t="e">
        <f>VLOOKUP(A522,logos!$A$2:$A$10004,1,FALSE)</f>
        <v>#N/A</v>
      </c>
    </row>
    <row r="523" spans="1:13" hidden="1" x14ac:dyDescent="0.55000000000000004">
      <c r="A523" t="s">
        <v>81</v>
      </c>
      <c r="B523" t="s">
        <v>1669</v>
      </c>
      <c r="C523" t="s">
        <v>80</v>
      </c>
      <c r="D523" t="s">
        <v>1657</v>
      </c>
      <c r="E523" t="s">
        <v>2610</v>
      </c>
      <c r="F523" t="str">
        <f t="shared" si="8"/>
        <v>"C:\Program Files\VideoLAN\VLC\vlc.exe" "http://streaming.radio.co:80/s20224a067/listen"</v>
      </c>
      <c r="M523" t="e">
        <f>VLOOKUP(A523,logos!$A$2:$A$10004,1,FALSE)</f>
        <v>#N/A</v>
      </c>
    </row>
    <row r="524" spans="1:13" hidden="1" x14ac:dyDescent="0.55000000000000004">
      <c r="A524" t="s">
        <v>84</v>
      </c>
      <c r="B524" t="s">
        <v>1669</v>
      </c>
      <c r="C524" t="s">
        <v>83</v>
      </c>
      <c r="D524" t="s">
        <v>1657</v>
      </c>
      <c r="E524" t="s">
        <v>2610</v>
      </c>
      <c r="F524" t="str">
        <f t="shared" si="8"/>
        <v>"C:\Program Files\VideoLAN\VLC\vlc.exe" "http://streamer.radio.co:80/s5af29b339/listen"</v>
      </c>
      <c r="M524" t="e">
        <f>VLOOKUP(A524,logos!$A$2:$A$10004,1,FALSE)</f>
        <v>#N/A</v>
      </c>
    </row>
    <row r="525" spans="1:13" hidden="1" x14ac:dyDescent="0.55000000000000004">
      <c r="A525" t="s">
        <v>223</v>
      </c>
      <c r="B525" t="s">
        <v>1669</v>
      </c>
      <c r="C525" t="s">
        <v>224</v>
      </c>
      <c r="D525" t="s">
        <v>1657</v>
      </c>
      <c r="E525" t="s">
        <v>2610</v>
      </c>
      <c r="F525" t="str">
        <f t="shared" si="8"/>
        <v>"C:\Program Files\VideoLAN\VLC\vlc.exe" "http://bewaretheradio.out.airtime.pro:8000/bewaretheradio_a"</v>
      </c>
      <c r="M525" t="e">
        <f>VLOOKUP(A525,logos!$A$2:$A$10004,1,FALSE)</f>
        <v>#N/A</v>
      </c>
    </row>
    <row r="526" spans="1:13" hidden="1" x14ac:dyDescent="0.55000000000000004">
      <c r="A526" t="s">
        <v>253</v>
      </c>
      <c r="B526" t="s">
        <v>1669</v>
      </c>
      <c r="C526" t="s">
        <v>252</v>
      </c>
      <c r="D526" t="s">
        <v>1657</v>
      </c>
      <c r="E526" t="s">
        <v>2610</v>
      </c>
      <c r="F526" t="str">
        <f t="shared" si="8"/>
        <v>"C:\Program Files\VideoLAN\VLC\vlc.exe" "http://stream4.hippynet.co.uk:8008/stream"</v>
      </c>
      <c r="M526" t="e">
        <f>VLOOKUP(A526,logos!$A$2:$A$10004,1,FALSE)</f>
        <v>#N/A</v>
      </c>
    </row>
    <row r="527" spans="1:13" hidden="1" x14ac:dyDescent="0.55000000000000004">
      <c r="A527" t="s">
        <v>345</v>
      </c>
      <c r="B527" t="s">
        <v>1669</v>
      </c>
      <c r="C527" t="s">
        <v>344</v>
      </c>
      <c r="D527" t="s">
        <v>1657</v>
      </c>
      <c r="E527" t="s">
        <v>2610</v>
      </c>
      <c r="F527" t="str">
        <f t="shared" si="8"/>
        <v>"C:\Program Files\VideoLAN\VLC\vlc.exe" "http://s3.citrus3.com:8320/stream"</v>
      </c>
      <c r="M527" t="e">
        <f>VLOOKUP(A527,logos!$A$2:$A$10004,1,FALSE)</f>
        <v>#N/A</v>
      </c>
    </row>
    <row r="528" spans="1:13" hidden="1" x14ac:dyDescent="0.55000000000000004">
      <c r="A528" t="s">
        <v>372</v>
      </c>
      <c r="B528" t="s">
        <v>1669</v>
      </c>
      <c r="C528" t="s">
        <v>374</v>
      </c>
      <c r="D528" t="s">
        <v>1657</v>
      </c>
      <c r="E528" t="s">
        <v>2610</v>
      </c>
      <c r="F528" t="str">
        <f t="shared" si="8"/>
        <v>"C:\Program Files\VideoLAN\VLC\vlc.exe" "http://stream.deliteonline.com:48000/live192"</v>
      </c>
      <c r="M528" t="e">
        <f>VLOOKUP(A528,logos!$A$2:$A$10004,1,FALSE)</f>
        <v>#N/A</v>
      </c>
    </row>
    <row r="529" spans="1:13" hidden="1" x14ac:dyDescent="0.55000000000000004">
      <c r="A529" t="s">
        <v>384</v>
      </c>
      <c r="B529" t="s">
        <v>1669</v>
      </c>
      <c r="C529" t="s">
        <v>383</v>
      </c>
      <c r="D529" t="s">
        <v>1657</v>
      </c>
      <c r="E529" t="s">
        <v>2610</v>
      </c>
      <c r="F529" t="str">
        <f t="shared" si="8"/>
        <v>"C:\Program Files\VideoLAN\VLC\vlc.exe" "http://fra-ranger01.dedicateware.com:18010/stream"</v>
      </c>
      <c r="M529" t="e">
        <f>VLOOKUP(A529,logos!$A$2:$A$10004,1,FALSE)</f>
        <v>#N/A</v>
      </c>
    </row>
    <row r="530" spans="1:13" hidden="1" x14ac:dyDescent="0.55000000000000004">
      <c r="A530" t="s">
        <v>386</v>
      </c>
      <c r="B530" t="s">
        <v>1669</v>
      </c>
      <c r="C530" t="s">
        <v>385</v>
      </c>
      <c r="D530" t="s">
        <v>1657</v>
      </c>
      <c r="E530" t="s">
        <v>2610</v>
      </c>
      <c r="F530" t="str">
        <f t="shared" si="8"/>
        <v>"C:\Program Files\VideoLAN\VLC\vlc.exe" "http://109.169.54.86:8018/live"</v>
      </c>
      <c r="M530" t="e">
        <f>VLOOKUP(A530,logos!$A$2:$A$10004,1,FALSE)</f>
        <v>#N/A</v>
      </c>
    </row>
    <row r="531" spans="1:13" hidden="1" x14ac:dyDescent="0.55000000000000004">
      <c r="A531" t="s">
        <v>401</v>
      </c>
      <c r="B531" t="s">
        <v>1669</v>
      </c>
      <c r="C531" t="s">
        <v>400</v>
      </c>
      <c r="D531" t="s">
        <v>1657</v>
      </c>
      <c r="E531" t="s">
        <v>2610</v>
      </c>
      <c r="F531" t="str">
        <f t="shared" si="8"/>
        <v>"C:\Program Files\VideoLAN\VLC\vlc.exe" "http://s5.radio.co:80/s813789af2/listen"</v>
      </c>
      <c r="M531" t="e">
        <f>VLOOKUP(A531,logos!$A$2:$A$10004,1,FALSE)</f>
        <v>#N/A</v>
      </c>
    </row>
    <row r="532" spans="1:13" hidden="1" x14ac:dyDescent="0.55000000000000004">
      <c r="A532" t="s">
        <v>407</v>
      </c>
      <c r="B532" t="s">
        <v>1669</v>
      </c>
      <c r="C532" t="s">
        <v>408</v>
      </c>
      <c r="D532" t="s">
        <v>1657</v>
      </c>
      <c r="E532" t="s">
        <v>2610</v>
      </c>
      <c r="F532" t="str">
        <f t="shared" si="8"/>
        <v>"C:\Program Files\VideoLAN\VLC\vlc.exe" "http://aries.streaming.zfast.co.uk:8116/stream"</v>
      </c>
      <c r="M532" t="e">
        <f>VLOOKUP(A532,logos!$A$2:$A$10004,1,FALSE)</f>
        <v>#N/A</v>
      </c>
    </row>
    <row r="533" spans="1:13" hidden="1" x14ac:dyDescent="0.55000000000000004">
      <c r="A533" t="s">
        <v>2761</v>
      </c>
      <c r="B533" t="s">
        <v>1669</v>
      </c>
      <c r="C533" t="s">
        <v>703</v>
      </c>
      <c r="D533" t="s">
        <v>1657</v>
      </c>
      <c r="E533" t="s">
        <v>2610</v>
      </c>
      <c r="F533" t="str">
        <f t="shared" si="8"/>
        <v>"C:\Program Files\VideoLAN\VLC\vlc.exe" "http://radio2.hopefm.org.uk:12364/live-stream128"</v>
      </c>
      <c r="M533" t="e">
        <f>VLOOKUP(A533,logos!$A$2:$A$10004,1,FALSE)</f>
        <v>#N/A</v>
      </c>
    </row>
    <row r="534" spans="1:13" hidden="1" x14ac:dyDescent="0.55000000000000004">
      <c r="A534" t="s">
        <v>2836</v>
      </c>
      <c r="B534" t="s">
        <v>1669</v>
      </c>
      <c r="C534" t="s">
        <v>2163</v>
      </c>
      <c r="D534" t="s">
        <v>1657</v>
      </c>
      <c r="E534" t="s">
        <v>2610</v>
      </c>
      <c r="F534" t="str">
        <f t="shared" si="8"/>
        <v>"C:\Program Files\VideoLAN\VLC\vlc.exe" "http://streamstwo.anytek.co.uk:8027/stream"</v>
      </c>
      <c r="M534" t="e">
        <f>VLOOKUP(A534,logos!$A$2:$A$10004,1,FALSE)</f>
        <v>#N/A</v>
      </c>
    </row>
    <row r="535" spans="1:13" hidden="1" x14ac:dyDescent="0.55000000000000004">
      <c r="A535" t="s">
        <v>801</v>
      </c>
      <c r="B535" t="s">
        <v>1669</v>
      </c>
      <c r="C535" t="s">
        <v>800</v>
      </c>
      <c r="D535" t="s">
        <v>1657</v>
      </c>
      <c r="E535" t="s">
        <v>2610</v>
      </c>
      <c r="F535" t="str">
        <f t="shared" si="8"/>
        <v>"C:\Program Files\VideoLAN\VLC\vlc.exe" "http://listen-lycaradio.sharp-stream.com/1035.mp3?ref=RF"</v>
      </c>
      <c r="M535" t="e">
        <f>VLOOKUP(A535,logos!$A$2:$A$10004,1,FALSE)</f>
        <v>#N/A</v>
      </c>
    </row>
    <row r="536" spans="1:13" hidden="1" x14ac:dyDescent="0.55000000000000004">
      <c r="A536" t="s">
        <v>920</v>
      </c>
      <c r="B536" t="s">
        <v>1669</v>
      </c>
      <c r="C536" t="s">
        <v>921</v>
      </c>
      <c r="D536" t="s">
        <v>1657</v>
      </c>
      <c r="E536" t="s">
        <v>2610</v>
      </c>
      <c r="F536" t="str">
        <f t="shared" si="8"/>
        <v>"C:\Program Files\VideoLAN\VLC\vlc.exe" "http://noodsradio.out.airtime.pro:8000/noodsradio_a"</v>
      </c>
      <c r="M536" t="str">
        <f>VLOOKUP(A536,logos!$A$2:$A$10004,1,FALSE)</f>
        <v>NOODS Radio</v>
      </c>
    </row>
    <row r="537" spans="1:13" hidden="1" x14ac:dyDescent="0.55000000000000004">
      <c r="A537" t="s">
        <v>937</v>
      </c>
      <c r="B537" t="s">
        <v>1669</v>
      </c>
      <c r="C537" t="s">
        <v>938</v>
      </c>
      <c r="D537" t="s">
        <v>1657</v>
      </c>
      <c r="E537" t="s">
        <v>2610</v>
      </c>
      <c r="F537" t="str">
        <f t="shared" si="8"/>
        <v>"C:\Program Files\VideoLAN\VLC\vlc.exe" "http://playoutonestreaming.com:8075/stream"</v>
      </c>
      <c r="M537" t="e">
        <f>VLOOKUP(A537,logos!$A$2:$A$10004,1,FALSE)</f>
        <v>#N/A</v>
      </c>
    </row>
    <row r="538" spans="1:13" hidden="1" x14ac:dyDescent="0.55000000000000004">
      <c r="A538" t="s">
        <v>944</v>
      </c>
      <c r="B538" t="s">
        <v>1669</v>
      </c>
      <c r="C538" t="s">
        <v>943</v>
      </c>
      <c r="D538" t="s">
        <v>1657</v>
      </c>
      <c r="E538" t="s">
        <v>2610</v>
      </c>
      <c r="F538" t="str">
        <f t="shared" si="8"/>
        <v>"C:\Program Files\VideoLAN\VLC\vlc.exe" "http://streams.radio.co:80/sbaa068f97/listen"</v>
      </c>
      <c r="M538" t="e">
        <f>VLOOKUP(A538,logos!$A$2:$A$10004,1,FALSE)</f>
        <v>#N/A</v>
      </c>
    </row>
    <row r="539" spans="1:13" hidden="1" x14ac:dyDescent="0.55000000000000004">
      <c r="A539" t="s">
        <v>1039</v>
      </c>
      <c r="B539" t="s">
        <v>1669</v>
      </c>
      <c r="C539" t="s">
        <v>1038</v>
      </c>
      <c r="D539" t="s">
        <v>1657</v>
      </c>
      <c r="E539" t="s">
        <v>2610</v>
      </c>
      <c r="F539" t="str">
        <f t="shared" si="8"/>
        <v>"C:\Program Files\VideoLAN\VLC\vlc.exe" "http://213.159.214.57:8000/matryoshka"</v>
      </c>
      <c r="M539" t="e">
        <f>VLOOKUP(A539,logos!$A$2:$A$10004,1,FALSE)</f>
        <v>#N/A</v>
      </c>
    </row>
    <row r="540" spans="1:13" hidden="1" x14ac:dyDescent="0.55000000000000004">
      <c r="A540" t="s">
        <v>1053</v>
      </c>
      <c r="B540" t="s">
        <v>1669</v>
      </c>
      <c r="C540" t="s">
        <v>1052</v>
      </c>
      <c r="D540" t="s">
        <v>1657</v>
      </c>
      <c r="E540" t="s">
        <v>2610</v>
      </c>
      <c r="F540" t="str">
        <f t="shared" si="8"/>
        <v>"C:\Program Files\VideoLAN\VLC\vlc.exe" "http://hyades.shoutca.st:8034/live"</v>
      </c>
      <c r="M540" t="e">
        <f>VLOOKUP(A540,logos!$A$2:$A$10004,1,FALSE)</f>
        <v>#N/A</v>
      </c>
    </row>
    <row r="541" spans="1:13" hidden="1" x14ac:dyDescent="0.55000000000000004">
      <c r="A541" t="s">
        <v>1067</v>
      </c>
      <c r="B541" t="s">
        <v>1669</v>
      </c>
      <c r="C541" t="s">
        <v>1066</v>
      </c>
      <c r="D541" t="s">
        <v>1657</v>
      </c>
      <c r="E541" t="s">
        <v>2610</v>
      </c>
      <c r="F541" t="str">
        <f t="shared" si="8"/>
        <v>"C:\Program Files\VideoLAN\VLC\vlc.exe" "http://stream1.themediasite.co.uk:8046/stream"</v>
      </c>
      <c r="M541" t="e">
        <f>VLOOKUP(A541,logos!$A$2:$A$10004,1,FALSE)</f>
        <v>#N/A</v>
      </c>
    </row>
    <row r="542" spans="1:13" hidden="1" x14ac:dyDescent="0.55000000000000004">
      <c r="A542" t="s">
        <v>1071</v>
      </c>
      <c r="B542" t="s">
        <v>1669</v>
      </c>
      <c r="C542" t="s">
        <v>1072</v>
      </c>
      <c r="D542" t="s">
        <v>1657</v>
      </c>
      <c r="E542" t="s">
        <v>2610</v>
      </c>
      <c r="F542" t="str">
        <f t="shared" si="8"/>
        <v>"C:\Program Files\VideoLAN\VLC\vlc.exe" "http://stream.resonance.fm:80/resonance-extra"</v>
      </c>
      <c r="M542" t="e">
        <f>VLOOKUP(A542,logos!$A$2:$A$10004,1,FALSE)</f>
        <v>#N/A</v>
      </c>
    </row>
    <row r="543" spans="1:13" hidden="1" x14ac:dyDescent="0.55000000000000004">
      <c r="A543" t="s">
        <v>2837</v>
      </c>
      <c r="B543" t="s">
        <v>1669</v>
      </c>
      <c r="C543" t="s">
        <v>1077</v>
      </c>
      <c r="D543" t="s">
        <v>1657</v>
      </c>
      <c r="E543" t="s">
        <v>2610</v>
      </c>
      <c r="F543" t="str">
        <f t="shared" si="8"/>
        <v>"C:\Program Files\VideoLAN\VLC\vlc.exe" "http://listen.radioking.com/radio/376111/stream/426805?ref=rf"</v>
      </c>
      <c r="M543" t="e">
        <f>VLOOKUP(A543,logos!$A$2:$A$10004,1,FALSE)</f>
        <v>#N/A</v>
      </c>
    </row>
    <row r="544" spans="1:13" hidden="1" x14ac:dyDescent="0.55000000000000004">
      <c r="A544" t="s">
        <v>1096</v>
      </c>
      <c r="B544" t="s">
        <v>1669</v>
      </c>
      <c r="C544" t="s">
        <v>1095</v>
      </c>
      <c r="D544" t="s">
        <v>1657</v>
      </c>
      <c r="E544" t="s">
        <v>2610</v>
      </c>
      <c r="F544" t="str">
        <f t="shared" si="8"/>
        <v>"C:\Program Files\VideoLAN\VLC\vlc.exe" "http://s4.xrad.io:8086/stream"</v>
      </c>
      <c r="M544" t="e">
        <f>VLOOKUP(A544,logos!$A$2:$A$10004,1,FALSE)</f>
        <v>#N/A</v>
      </c>
    </row>
    <row r="545" spans="1:13" hidden="1" x14ac:dyDescent="0.55000000000000004">
      <c r="A545" t="s">
        <v>1098</v>
      </c>
      <c r="B545" t="s">
        <v>1669</v>
      </c>
      <c r="C545" t="s">
        <v>1097</v>
      </c>
      <c r="D545" t="s">
        <v>1657</v>
      </c>
      <c r="E545" t="s">
        <v>2610</v>
      </c>
      <c r="F545" t="str">
        <f t="shared" si="8"/>
        <v>"C:\Program Files\VideoLAN\VLC\vlc.exe" "http://s2.radio.co:80/s0dc6b5c9b/listen"</v>
      </c>
      <c r="M545" t="e">
        <f>VLOOKUP(A545,logos!$A$2:$A$10004,1,FALSE)</f>
        <v>#N/A</v>
      </c>
    </row>
    <row r="546" spans="1:13" hidden="1" x14ac:dyDescent="0.55000000000000004">
      <c r="A546" t="s">
        <v>1110</v>
      </c>
      <c r="B546" t="s">
        <v>1669</v>
      </c>
      <c r="C546" t="s">
        <v>1111</v>
      </c>
      <c r="D546" t="s">
        <v>1657</v>
      </c>
      <c r="E546" t="s">
        <v>2610</v>
      </c>
      <c r="F546" t="str">
        <f t="shared" si="8"/>
        <v>"C:\Program Files\VideoLAN\VLC\vlc.exe" "http://tx9.zetcast.net:8100/stream?ref=RF"</v>
      </c>
      <c r="M546" t="e">
        <f>VLOOKUP(A546,logos!$A$2:$A$10004,1,FALSE)</f>
        <v>#N/A</v>
      </c>
    </row>
    <row r="547" spans="1:13" hidden="1" x14ac:dyDescent="0.55000000000000004">
      <c r="A547" t="s">
        <v>1120</v>
      </c>
      <c r="B547" t="s">
        <v>1669</v>
      </c>
      <c r="C547" t="s">
        <v>2180</v>
      </c>
      <c r="D547" t="s">
        <v>1657</v>
      </c>
      <c r="E547" t="s">
        <v>2610</v>
      </c>
      <c r="F547" t="str">
        <f t="shared" si="8"/>
        <v>"C:\Program Files\VideoLAN\VLC\vlc.exe" "http://edge-audio-05-gos2.sharp-stream.com:80/slackcity.mp3"</v>
      </c>
      <c r="M547" t="e">
        <f>VLOOKUP(A547,logos!$A$2:$A$10004,1,FALSE)</f>
        <v>#N/A</v>
      </c>
    </row>
    <row r="548" spans="1:13" hidden="1" x14ac:dyDescent="0.55000000000000004">
      <c r="A548" t="s">
        <v>1181</v>
      </c>
      <c r="B548" t="s">
        <v>1669</v>
      </c>
      <c r="C548" t="s">
        <v>1182</v>
      </c>
      <c r="D548" t="s">
        <v>1657</v>
      </c>
      <c r="E548" t="s">
        <v>2610</v>
      </c>
      <c r="F548" t="str">
        <f t="shared" si="8"/>
        <v>"C:\Program Files\VideoLAN\VLC\vlc.exe" "http://82.163.73.123:8330/stream"</v>
      </c>
      <c r="M548" t="e">
        <f>VLOOKUP(A548,logos!$A$2:$A$10004,1,FALSE)</f>
        <v>#N/A</v>
      </c>
    </row>
    <row r="549" spans="1:13" hidden="1" x14ac:dyDescent="0.55000000000000004">
      <c r="A549" t="s">
        <v>1199</v>
      </c>
      <c r="B549" t="s">
        <v>1669</v>
      </c>
      <c r="C549" t="s">
        <v>1200</v>
      </c>
      <c r="D549" t="s">
        <v>1657</v>
      </c>
      <c r="E549" t="s">
        <v>2610</v>
      </c>
      <c r="F549" t="str">
        <f t="shared" si="8"/>
        <v>"C:\Program Files\VideoLAN\VLC\vlc.exe" "http://stream2.hippynet.co.uk:8084/stream.mp3"</v>
      </c>
      <c r="M549" t="e">
        <f>VLOOKUP(A549,logos!$A$2:$A$10004,1,FALSE)</f>
        <v>#N/A</v>
      </c>
    </row>
    <row r="550" spans="1:13" hidden="1" x14ac:dyDescent="0.55000000000000004">
      <c r="A550" t="s">
        <v>1257</v>
      </c>
      <c r="B550" t="s">
        <v>1669</v>
      </c>
      <c r="C550" t="s">
        <v>1259</v>
      </c>
      <c r="D550" t="s">
        <v>1657</v>
      </c>
      <c r="E550" t="s">
        <v>2610</v>
      </c>
      <c r="F550" t="str">
        <f t="shared" si="8"/>
        <v>"C:\Program Files\VideoLAN\VLC\vlc.exe" "http://therockservice.servebeer.com:7997/"</v>
      </c>
      <c r="M550" t="e">
        <f>VLOOKUP(A550,logos!$A$2:$A$10004,1,FALSE)</f>
        <v>#N/A</v>
      </c>
    </row>
    <row r="551" spans="1:13" hidden="1" x14ac:dyDescent="0.55000000000000004">
      <c r="A551" t="s">
        <v>1269</v>
      </c>
      <c r="B551" t="s">
        <v>1669</v>
      </c>
      <c r="C551" t="s">
        <v>1268</v>
      </c>
      <c r="D551" t="s">
        <v>1657</v>
      </c>
      <c r="E551" t="s">
        <v>2610</v>
      </c>
      <c r="F551" t="str">
        <f t="shared" si="8"/>
        <v>"C:\Program Files\VideoLAN\VLC\vlc.exe" "http://listen-lycaradio.sharp-stream.com/1075.mp3?ref=RF"</v>
      </c>
      <c r="M551" t="e">
        <f>VLOOKUP(A551,logos!$A$2:$A$10004,1,FALSE)</f>
        <v>#N/A</v>
      </c>
    </row>
    <row r="552" spans="1:13" hidden="1" x14ac:dyDescent="0.55000000000000004">
      <c r="A552" t="s">
        <v>1283</v>
      </c>
      <c r="B552" t="s">
        <v>1669</v>
      </c>
      <c r="C552" t="s">
        <v>1282</v>
      </c>
      <c r="D552" t="s">
        <v>1657</v>
      </c>
      <c r="E552" t="s">
        <v>2610</v>
      </c>
      <c r="F552" t="str">
        <f t="shared" si="8"/>
        <v>"C:\Program Files\VideoLAN\VLC\vlc.exe" "http://stream1.themediasite.co.uk:8008/stream"</v>
      </c>
      <c r="M552" t="e">
        <f>VLOOKUP(A552,logos!$A$2:$A$10004,1,FALSE)</f>
        <v>#N/A</v>
      </c>
    </row>
    <row r="553" spans="1:13" hidden="1" x14ac:dyDescent="0.55000000000000004">
      <c r="A553" t="s">
        <v>2839</v>
      </c>
      <c r="B553" t="s">
        <v>1669</v>
      </c>
      <c r="C553" t="s">
        <v>2187</v>
      </c>
      <c r="D553" t="s">
        <v>1657</v>
      </c>
      <c r="E553" t="s">
        <v>2610</v>
      </c>
      <c r="F553" t="str">
        <f t="shared" si="8"/>
        <v>"C:\Program Files\VideoLAN\VLC\vlc.exe" "http://edge-audio-05-gos2.sharp-stream.com:80/urfonline.mp3"</v>
      </c>
      <c r="M553" t="e">
        <f>VLOOKUP(A553,logos!$A$2:$A$10004,1,FALSE)</f>
        <v>#N/A</v>
      </c>
    </row>
    <row r="554" spans="1:13" hidden="1" x14ac:dyDescent="0.55000000000000004">
      <c r="A554" t="s">
        <v>1691</v>
      </c>
      <c r="B554" t="s">
        <v>1669</v>
      </c>
      <c r="C554" t="s">
        <v>1325</v>
      </c>
      <c r="D554" t="s">
        <v>1657</v>
      </c>
      <c r="E554" t="s">
        <v>2610</v>
      </c>
      <c r="F554" t="str">
        <f t="shared" si="8"/>
        <v>"C:\Program Files\VideoLAN\VLC\vlc.exe" "http://s2.stationplaylist.com:7012/listen.mp3"</v>
      </c>
      <c r="M554" t="e">
        <f>VLOOKUP(A554,logos!$A$2:$A$10004,1,FALSE)</f>
        <v>#N/A</v>
      </c>
    </row>
    <row r="555" spans="1:13" hidden="1" x14ac:dyDescent="0.55000000000000004">
      <c r="A555" t="s">
        <v>2841</v>
      </c>
      <c r="B555" t="s">
        <v>1669</v>
      </c>
      <c r="C555" t="s">
        <v>1337</v>
      </c>
      <c r="D555" t="s">
        <v>1657</v>
      </c>
      <c r="E555" t="s">
        <v>2610</v>
      </c>
      <c r="F555" t="str">
        <f t="shared" si="8"/>
        <v>"C:\Program Files\VideoLAN\VLC\vlc.exe" "http://ec1.yesstreaming.net:1490/stream"</v>
      </c>
      <c r="M555" t="e">
        <f>VLOOKUP(A555,logos!$A$2:$A$10004,1,FALSE)</f>
        <v>#N/A</v>
      </c>
    </row>
    <row r="556" spans="1:13" hidden="1" x14ac:dyDescent="0.55000000000000004">
      <c r="A556" t="s">
        <v>56</v>
      </c>
      <c r="B556" t="s">
        <v>1666</v>
      </c>
      <c r="C556" t="s">
        <v>55</v>
      </c>
      <c r="D556" t="s">
        <v>1657</v>
      </c>
      <c r="E556" t="s">
        <v>2610</v>
      </c>
      <c r="F556" t="str">
        <f t="shared" si="8"/>
        <v>"C:\Program Files\VideoLAN\VLC\vlc.exe" "http://88.208.244.107:8002/stream"</v>
      </c>
      <c r="M556" t="e">
        <f>VLOOKUP(A556,logos!$A$2:$A$10004,1,FALSE)</f>
        <v>#N/A</v>
      </c>
    </row>
    <row r="557" spans="1:13" hidden="1" x14ac:dyDescent="0.55000000000000004">
      <c r="A557" t="s">
        <v>75</v>
      </c>
      <c r="B557" t="s">
        <v>1666</v>
      </c>
      <c r="C557" t="s">
        <v>77</v>
      </c>
      <c r="D557" t="s">
        <v>1657</v>
      </c>
      <c r="E557" t="s">
        <v>2610</v>
      </c>
      <c r="F557" t="str">
        <f t="shared" si="8"/>
        <v>"C:\Program Files\VideoLAN\VLC\vlc.exe" "http://s1.voscast.com:9038/"</v>
      </c>
      <c r="M557" t="e">
        <f>VLOOKUP(A557,logos!$A$2:$A$10004,1,FALSE)</f>
        <v>#N/A</v>
      </c>
    </row>
    <row r="558" spans="1:13" hidden="1" x14ac:dyDescent="0.55000000000000004">
      <c r="A558" t="s">
        <v>88</v>
      </c>
      <c r="B558" t="s">
        <v>1666</v>
      </c>
      <c r="C558" t="s">
        <v>87</v>
      </c>
      <c r="D558" t="s">
        <v>1657</v>
      </c>
      <c r="E558" t="s">
        <v>2610</v>
      </c>
      <c r="F558" t="str">
        <f t="shared" si="8"/>
        <v>"C:\Program Files\VideoLAN\VLC\vlc.exe" "http://streaming03.zfast.co.uk:8021/stream"</v>
      </c>
      <c r="M558" t="e">
        <f>VLOOKUP(A558,logos!$A$2:$A$10004,1,FALSE)</f>
        <v>#N/A</v>
      </c>
    </row>
    <row r="559" spans="1:13" hidden="1" x14ac:dyDescent="0.55000000000000004">
      <c r="A559" t="s">
        <v>324</v>
      </c>
      <c r="B559" t="s">
        <v>1666</v>
      </c>
      <c r="C559" t="s">
        <v>325</v>
      </c>
      <c r="D559" t="s">
        <v>1657</v>
      </c>
      <c r="E559" t="s">
        <v>2610</v>
      </c>
      <c r="F559" t="str">
        <f t="shared" si="8"/>
        <v>"C:\Program Files\VideoLAN\VLC\vlc.exe" "http://msmn7.co:8018/stream"</v>
      </c>
      <c r="M559" t="e">
        <f>VLOOKUP(A559,logos!$A$2:$A$10004,1,FALSE)</f>
        <v>#N/A</v>
      </c>
    </row>
    <row r="560" spans="1:13" hidden="1" x14ac:dyDescent="0.55000000000000004">
      <c r="A560" t="s">
        <v>405</v>
      </c>
      <c r="B560" t="s">
        <v>1666</v>
      </c>
      <c r="C560" t="s">
        <v>404</v>
      </c>
      <c r="D560" t="s">
        <v>1657</v>
      </c>
      <c r="E560" t="s">
        <v>2610</v>
      </c>
      <c r="F560" t="str">
        <f t="shared" si="8"/>
        <v>"C:\Program Files\VideoLAN\VLC\vlc.exe" "http://uksouth.streaming.broadcast.radio:15580/energyfm"</v>
      </c>
      <c r="M560" t="e">
        <f>VLOOKUP(A560,logos!$A$2:$A$10004,1,FALSE)</f>
        <v>#N/A</v>
      </c>
    </row>
    <row r="561" spans="1:13" hidden="1" x14ac:dyDescent="0.55000000000000004">
      <c r="A561" t="s">
        <v>463</v>
      </c>
      <c r="B561" t="s">
        <v>1666</v>
      </c>
      <c r="C561" t="s">
        <v>465</v>
      </c>
      <c r="D561" t="s">
        <v>1657</v>
      </c>
      <c r="E561" t="s">
        <v>2610</v>
      </c>
      <c r="F561" t="str">
        <f t="shared" si="8"/>
        <v>"C:\Program Files\VideoLAN\VLC\vlc.exe" "http://s6.citrus3.com:8216/stream"</v>
      </c>
      <c r="M561" t="e">
        <f>VLOOKUP(A561,logos!$A$2:$A$10004,1,FALSE)</f>
        <v>#N/A</v>
      </c>
    </row>
    <row r="562" spans="1:13" hidden="1" x14ac:dyDescent="0.55000000000000004">
      <c r="A562" t="s">
        <v>574</v>
      </c>
      <c r="B562" t="s">
        <v>1666</v>
      </c>
      <c r="C562" t="s">
        <v>2161</v>
      </c>
      <c r="D562" t="s">
        <v>1657</v>
      </c>
      <c r="E562" t="s">
        <v>2610</v>
      </c>
      <c r="F562" t="str">
        <f t="shared" si="8"/>
        <v>"C:\Program Files\VideoLAN\VLC\vlc.exe" "http://playoutonestreaming.com:8026/dab"</v>
      </c>
      <c r="M562" t="e">
        <f>VLOOKUP(A562,logos!$A$2:$A$10004,1,FALSE)</f>
        <v>#N/A</v>
      </c>
    </row>
    <row r="563" spans="1:13" hidden="1" x14ac:dyDescent="0.55000000000000004">
      <c r="A563" t="s">
        <v>742</v>
      </c>
      <c r="B563" t="s">
        <v>1666</v>
      </c>
      <c r="C563" t="s">
        <v>743</v>
      </c>
      <c r="D563" t="s">
        <v>1657</v>
      </c>
      <c r="E563" t="s">
        <v>2610</v>
      </c>
      <c r="F563" t="str">
        <f t="shared" si="8"/>
        <v>"C:\Program Files\VideoLAN\VLC\vlc.exe" "http://listen-kingdomfm.sharp-stream.com/kingdomdab.mp3?ref=RF"</v>
      </c>
      <c r="M563" t="str">
        <f>VLOOKUP(A563,logos!$A$2:$A$10004,1,FALSE)</f>
        <v>Kingdom FM</v>
      </c>
    </row>
    <row r="564" spans="1:13" hidden="1" x14ac:dyDescent="0.55000000000000004">
      <c r="A564" t="s">
        <v>914</v>
      </c>
      <c r="B564" t="s">
        <v>1666</v>
      </c>
      <c r="C564" t="s">
        <v>915</v>
      </c>
      <c r="D564" t="s">
        <v>1657</v>
      </c>
      <c r="E564" t="s">
        <v>2610</v>
      </c>
      <c r="F564" t="str">
        <f t="shared" si="8"/>
        <v>"C:\Program Files\VideoLAN\VLC\vlc.exe" "http://listen-nme.sharp-stream.com/nme1high.mp3?ref=RF"</v>
      </c>
      <c r="M564" t="e">
        <f>VLOOKUP(A564,logos!$A$2:$A$10004,1,FALSE)</f>
        <v>#N/A</v>
      </c>
    </row>
    <row r="565" spans="1:13" hidden="1" x14ac:dyDescent="0.55000000000000004">
      <c r="A565" t="s">
        <v>917</v>
      </c>
      <c r="B565" t="s">
        <v>1666</v>
      </c>
      <c r="C565" t="s">
        <v>918</v>
      </c>
      <c r="D565" t="s">
        <v>1657</v>
      </c>
      <c r="E565" t="s">
        <v>2610</v>
      </c>
      <c r="F565" t="str">
        <f t="shared" si="8"/>
        <v>"C:\Program Files\VideoLAN\VLC\vlc.exe" "http://listen-nme.sharp-stream.com/nme2high.mp3?ref=RF"</v>
      </c>
      <c r="M565" t="e">
        <f>VLOOKUP(A565,logos!$A$2:$A$10004,1,FALSE)</f>
        <v>#N/A</v>
      </c>
    </row>
    <row r="566" spans="1:13" hidden="1" x14ac:dyDescent="0.55000000000000004">
      <c r="A566" t="s">
        <v>1181</v>
      </c>
      <c r="B566" t="s">
        <v>1666</v>
      </c>
      <c r="C566" t="s">
        <v>1183</v>
      </c>
      <c r="D566" t="s">
        <v>1657</v>
      </c>
      <c r="E566" t="s">
        <v>2610</v>
      </c>
      <c r="F566" t="str">
        <f t="shared" si="8"/>
        <v>"C:\Program Files\VideoLAN\VLC\vlc.exe" "http://88.202.230.61:8330/stream"</v>
      </c>
      <c r="M566" t="e">
        <f>VLOOKUP(A566,logos!$A$2:$A$10004,1,FALSE)</f>
        <v>#N/A</v>
      </c>
    </row>
    <row r="567" spans="1:13" hidden="1" x14ac:dyDescent="0.55000000000000004">
      <c r="A567" t="s">
        <v>1188</v>
      </c>
      <c r="B567" t="s">
        <v>1666</v>
      </c>
      <c r="C567" t="s">
        <v>1189</v>
      </c>
      <c r="D567" t="s">
        <v>1657</v>
      </c>
      <c r="E567" t="s">
        <v>2610</v>
      </c>
      <c r="F567" t="str">
        <f t="shared" si="8"/>
        <v>"C:\Program Files\VideoLAN\VLC\vlc.exe" "http://centova.solidradio.co.uk:8000/solidmp3"</v>
      </c>
      <c r="M567" t="e">
        <f>VLOOKUP(A567,logos!$A$2:$A$10004,1,FALSE)</f>
        <v>#N/A</v>
      </c>
    </row>
    <row r="568" spans="1:13" hidden="1" x14ac:dyDescent="0.55000000000000004">
      <c r="A568" t="s">
        <v>2829</v>
      </c>
      <c r="B568" t="s">
        <v>1666</v>
      </c>
      <c r="C568" t="s">
        <v>2185</v>
      </c>
      <c r="D568" t="s">
        <v>1657</v>
      </c>
      <c r="E568" t="s">
        <v>2610</v>
      </c>
      <c r="F568" t="str">
        <f t="shared" si="8"/>
        <v>"C:\Program Files\VideoLAN\VLC\vlc.exe" "http://n02a-eu.rcs.revma.com:80/hyyz8327ptzuv"</v>
      </c>
      <c r="M568" t="e">
        <f>VLOOKUP(A568,logos!$A$2:$A$10004,1,FALSE)</f>
        <v>#N/A</v>
      </c>
    </row>
    <row r="569" spans="1:13" hidden="1" x14ac:dyDescent="0.55000000000000004">
      <c r="A569" t="s">
        <v>1249</v>
      </c>
      <c r="B569" t="s">
        <v>1666</v>
      </c>
      <c r="C569" t="s">
        <v>1248</v>
      </c>
      <c r="D569" t="s">
        <v>1657</v>
      </c>
      <c r="E569" t="s">
        <v>2610</v>
      </c>
      <c r="F569" t="str">
        <f t="shared" si="8"/>
        <v>"C:\Program Files\VideoLAN\VLC\vlc.exe" "http://uk3.internet-radio.com:8154/live"</v>
      </c>
      <c r="M569" t="e">
        <f>VLOOKUP(A569,logos!$A$2:$A$10004,1,FALSE)</f>
        <v>#N/A</v>
      </c>
    </row>
    <row r="570" spans="1:13" hidden="1" x14ac:dyDescent="0.55000000000000004">
      <c r="A570" t="s">
        <v>1262</v>
      </c>
      <c r="B570" t="s">
        <v>1666</v>
      </c>
      <c r="C570" t="s">
        <v>1263</v>
      </c>
      <c r="D570" t="s">
        <v>1657</v>
      </c>
      <c r="E570" t="s">
        <v>2610</v>
      </c>
      <c r="F570" t="str">
        <f t="shared" si="8"/>
        <v>"C:\Program Files\VideoLAN\VLC\vlc.exe" "http://icecast3.rosisystems.com:8000/thevoice_hq"</v>
      </c>
      <c r="M570" t="e">
        <f>VLOOKUP(A570,logos!$A$2:$A$10004,1,FALSE)</f>
        <v>#N/A</v>
      </c>
    </row>
    <row r="571" spans="1:13" hidden="1" x14ac:dyDescent="0.55000000000000004">
      <c r="A571" t="s">
        <v>1275</v>
      </c>
      <c r="B571" t="s">
        <v>1666</v>
      </c>
      <c r="C571" t="s">
        <v>1274</v>
      </c>
      <c r="D571" t="s">
        <v>1657</v>
      </c>
      <c r="E571" t="s">
        <v>2610</v>
      </c>
      <c r="F571" t="str">
        <f t="shared" si="8"/>
        <v>"C:\Program Files\VideoLAN\VLC\vlc.exe" "http://s6.citrus3.com:8310/stream"</v>
      </c>
      <c r="M571" t="e">
        <f>VLOOKUP(A571,logos!$A$2:$A$10004,1,FALSE)</f>
        <v>#N/A</v>
      </c>
    </row>
    <row r="572" spans="1:13" hidden="1" x14ac:dyDescent="0.55000000000000004">
      <c r="A572" t="s">
        <v>1296</v>
      </c>
      <c r="B572" t="s">
        <v>1666</v>
      </c>
      <c r="C572" t="s">
        <v>1295</v>
      </c>
      <c r="D572" t="s">
        <v>1657</v>
      </c>
      <c r="E572" t="s">
        <v>2610</v>
      </c>
      <c r="F572" t="str">
        <f t="shared" si="8"/>
        <v>"C:\Program Files\VideoLAN\VLC\vlc.exe" "http://live.canstream.co.uk:8000/ucaradio.mp3"</v>
      </c>
      <c r="M572" t="e">
        <f>VLOOKUP(A572,logos!$A$2:$A$10004,1,FALSE)</f>
        <v>#N/A</v>
      </c>
    </row>
    <row r="573" spans="1:13" hidden="1" x14ac:dyDescent="0.55000000000000004">
      <c r="A573" t="s">
        <v>1298</v>
      </c>
      <c r="B573" t="s">
        <v>1666</v>
      </c>
      <c r="C573" t="s">
        <v>1299</v>
      </c>
      <c r="D573" t="s">
        <v>1657</v>
      </c>
      <c r="E573" t="s">
        <v>2610</v>
      </c>
      <c r="F573" t="str">
        <f t="shared" si="8"/>
        <v>"C:\Program Files\VideoLAN\VLC\vlc.exe" "http://stream.v2radio.co.uk:80/V2RadioDAB"</v>
      </c>
      <c r="M573" t="str">
        <f>VLOOKUP(A573,logos!$A$2:$A$10004,1,FALSE)</f>
        <v>V2 Radio</v>
      </c>
    </row>
    <row r="574" spans="1:13" hidden="1" x14ac:dyDescent="0.55000000000000004">
      <c r="A574" t="s">
        <v>1301</v>
      </c>
      <c r="B574" t="s">
        <v>1666</v>
      </c>
      <c r="C574" t="s">
        <v>1300</v>
      </c>
      <c r="D574" t="s">
        <v>1657</v>
      </c>
      <c r="E574" t="s">
        <v>2610</v>
      </c>
      <c r="F574" t="str">
        <f t="shared" si="8"/>
        <v>"C:\Program Files\VideoLAN\VLC\vlc.exe" "http://playoutonestreaming.com:8133/mp3"</v>
      </c>
      <c r="M574" t="e">
        <f>VLOOKUP(A574,logos!$A$2:$A$10004,1,FALSE)</f>
        <v>#N/A</v>
      </c>
    </row>
    <row r="575" spans="1:13" hidden="1" x14ac:dyDescent="0.55000000000000004">
      <c r="A575" t="s">
        <v>68</v>
      </c>
      <c r="B575" t="s">
        <v>1670</v>
      </c>
      <c r="C575" t="s">
        <v>67</v>
      </c>
      <c r="D575" t="s">
        <v>1657</v>
      </c>
      <c r="E575" t="s">
        <v>2610</v>
      </c>
      <c r="F575" t="str">
        <f t="shared" si="8"/>
        <v>"C:\Program Files\VideoLAN\VLC\vlc.exe" "http://live.argyllfm.com/stream?ref=RF"</v>
      </c>
      <c r="M575" t="e">
        <f>VLOOKUP(A575,logos!$A$2:$A$10004,1,FALSE)</f>
        <v>#N/A</v>
      </c>
    </row>
    <row r="576" spans="1:13" hidden="1" x14ac:dyDescent="0.55000000000000004">
      <c r="A576" t="s">
        <v>2618</v>
      </c>
      <c r="B576" t="s">
        <v>1670</v>
      </c>
      <c r="C576" t="s">
        <v>2155</v>
      </c>
      <c r="D576" t="s">
        <v>1657</v>
      </c>
      <c r="E576" t="s">
        <v>2610</v>
      </c>
      <c r="F576" t="str">
        <f t="shared" si="8"/>
        <v>"C:\Program Files\VideoLAN\VLC\vlc.exe" "http://edge-audio-05-gos2.sharp-stream.com:80/bridgefmdab.mp3"</v>
      </c>
      <c r="M576" t="e">
        <f>VLOOKUP(A576,logos!$A$2:$A$10004,1,FALSE)</f>
        <v>#N/A</v>
      </c>
    </row>
    <row r="577" spans="1:13" hidden="1" x14ac:dyDescent="0.55000000000000004">
      <c r="A577" t="s">
        <v>329</v>
      </c>
      <c r="B577" t="s">
        <v>1670</v>
      </c>
      <c r="C577" t="s">
        <v>332</v>
      </c>
      <c r="D577" t="s">
        <v>1657</v>
      </c>
      <c r="E577" t="s">
        <v>2610</v>
      </c>
      <c r="F577" t="str">
        <f t="shared" si="8"/>
        <v>"C:\Program Files\VideoLAN\VLC\vlc.exe" "http://centreforce.streamgb.com:8830/stream"</v>
      </c>
      <c r="M577" t="e">
        <f>VLOOKUP(A577,logos!$A$2:$A$10004,1,FALSE)</f>
        <v>#N/A</v>
      </c>
    </row>
    <row r="578" spans="1:13" hidden="1" x14ac:dyDescent="0.55000000000000004">
      <c r="A578" t="s">
        <v>336</v>
      </c>
      <c r="B578" t="s">
        <v>1670</v>
      </c>
      <c r="C578" t="s">
        <v>2157</v>
      </c>
      <c r="D578" t="s">
        <v>1657</v>
      </c>
      <c r="E578" t="s">
        <v>2610</v>
      </c>
      <c r="F578" t="str">
        <f t="shared" si="8"/>
        <v>"C:\Program Files\VideoLAN\VLC\vlc.exe" "http://n02a-eu.rcs.revma.com:80/1b7wddebanzuv"</v>
      </c>
      <c r="M578" t="str">
        <f>VLOOKUP(A578,logos!$A$2:$A$10004,1,FALSE)</f>
        <v>Channel 103</v>
      </c>
    </row>
    <row r="579" spans="1:13" hidden="1" x14ac:dyDescent="0.55000000000000004">
      <c r="A579" t="s">
        <v>353</v>
      </c>
      <c r="B579" t="s">
        <v>1670</v>
      </c>
      <c r="C579" t="s">
        <v>352</v>
      </c>
      <c r="D579" t="s">
        <v>1657</v>
      </c>
      <c r="E579" t="s">
        <v>2610</v>
      </c>
      <c r="F579" t="str">
        <f t="shared" ref="F579:F642" si="9">"""C:\Program Files\VideoLAN\VLC\vlc.exe"" """&amp;C579&amp;""""</f>
        <v>"C:\Program Files\VideoLAN\VLC\vlc.exe" "http://streaming.colourfulradio.com:8000/colourful"</v>
      </c>
      <c r="M579" t="e">
        <f>VLOOKUP(A579,logos!$A$2:$A$10004,1,FALSE)</f>
        <v>#N/A</v>
      </c>
    </row>
    <row r="580" spans="1:13" hidden="1" x14ac:dyDescent="0.55000000000000004">
      <c r="A580" t="s">
        <v>353</v>
      </c>
      <c r="B580" t="s">
        <v>1670</v>
      </c>
      <c r="C580" t="s">
        <v>352</v>
      </c>
      <c r="D580" t="s">
        <v>1657</v>
      </c>
      <c r="E580" t="s">
        <v>2610</v>
      </c>
      <c r="F580" t="str">
        <f t="shared" si="9"/>
        <v>"C:\Program Files\VideoLAN\VLC\vlc.exe" "http://streaming.colourfulradio.com:8000/colourful"</v>
      </c>
      <c r="M580" t="e">
        <f>VLOOKUP(A580,logos!$A$2:$A$10004,1,FALSE)</f>
        <v>#N/A</v>
      </c>
    </row>
    <row r="581" spans="1:13" hidden="1" x14ac:dyDescent="0.55000000000000004">
      <c r="A581" t="s">
        <v>2654</v>
      </c>
      <c r="B581" t="s">
        <v>1670</v>
      </c>
      <c r="C581" t="s">
        <v>2158</v>
      </c>
      <c r="D581" t="s">
        <v>1657</v>
      </c>
      <c r="E581" t="s">
        <v>2610</v>
      </c>
      <c r="F581" t="str">
        <f t="shared" si="9"/>
        <v>"C:\Program Files\VideoLAN\VLC\vlc.exe" "http://edge-audio-05-gos2.sharp-stream.com:80/chriscountrydab.mp3"</v>
      </c>
      <c r="M581" t="e">
        <f>VLOOKUP(A581,logos!$A$2:$A$10004,1,FALSE)</f>
        <v>#N/A</v>
      </c>
    </row>
    <row r="582" spans="1:13" hidden="1" x14ac:dyDescent="0.55000000000000004">
      <c r="A582" t="s">
        <v>372</v>
      </c>
      <c r="B582" t="s">
        <v>1670</v>
      </c>
      <c r="C582" t="s">
        <v>375</v>
      </c>
      <c r="D582" t="s">
        <v>1657</v>
      </c>
      <c r="E582" t="s">
        <v>2610</v>
      </c>
      <c r="F582" t="str">
        <f t="shared" si="9"/>
        <v>"C:\Program Files\VideoLAN\VLC\vlc.exe" "http://stream.deliteonline.com:48000/live320"</v>
      </c>
      <c r="M582" t="e">
        <f>VLOOKUP(A582,logos!$A$2:$A$10004,1,FALSE)</f>
        <v>#N/A</v>
      </c>
    </row>
    <row r="583" spans="1:13" hidden="1" x14ac:dyDescent="0.55000000000000004">
      <c r="A583" t="s">
        <v>381</v>
      </c>
      <c r="B583" t="s">
        <v>1670</v>
      </c>
      <c r="C583" t="s">
        <v>2159</v>
      </c>
      <c r="D583" t="s">
        <v>1657</v>
      </c>
      <c r="E583" t="s">
        <v>2610</v>
      </c>
      <c r="F583" t="str">
        <f t="shared" si="9"/>
        <v>"C:\Program Files\VideoLAN\VLC\vlc.exe" "http://edge-audio-05-gos2.sharp-stream.com:80/dragonradio-dab.mp3"</v>
      </c>
      <c r="M583" t="e">
        <f>VLOOKUP(A583,logos!$A$2:$A$10004,1,FALSE)</f>
        <v>#N/A</v>
      </c>
    </row>
    <row r="584" spans="1:13" hidden="1" x14ac:dyDescent="0.55000000000000004">
      <c r="A584" t="s">
        <v>2655</v>
      </c>
      <c r="B584" t="s">
        <v>1670</v>
      </c>
      <c r="C584" t="s">
        <v>390</v>
      </c>
      <c r="D584" t="s">
        <v>1657</v>
      </c>
      <c r="E584" t="s">
        <v>2610</v>
      </c>
      <c r="F584" t="str">
        <f t="shared" si="9"/>
        <v>"C:\Program Files\VideoLAN\VLC\vlc.exe" "http://listen-nation.sharp-stream.com/nationeasyportsdab.mp3?ref=RF"</v>
      </c>
      <c r="M584" t="e">
        <f>VLOOKUP(A584,logos!$A$2:$A$10004,1,FALSE)</f>
        <v>#N/A</v>
      </c>
    </row>
    <row r="585" spans="1:13" hidden="1" x14ac:dyDescent="0.55000000000000004">
      <c r="A585" t="s">
        <v>2656</v>
      </c>
      <c r="B585" t="s">
        <v>1670</v>
      </c>
      <c r="C585" t="s">
        <v>393</v>
      </c>
      <c r="D585" t="s">
        <v>1657</v>
      </c>
      <c r="E585" t="s">
        <v>2610</v>
      </c>
      <c r="F585" t="str">
        <f t="shared" si="9"/>
        <v>"C:\Program Files\VideoLAN\VLC\vlc.exe" "http://listen-nation.sharp-stream.com/nationeasysotondab.mp3?ref=RF"</v>
      </c>
      <c r="M585" t="e">
        <f>VLOOKUP(A585,logos!$A$2:$A$10004,1,FALSE)</f>
        <v>#N/A</v>
      </c>
    </row>
    <row r="586" spans="1:13" hidden="1" x14ac:dyDescent="0.55000000000000004">
      <c r="A586" t="s">
        <v>2657</v>
      </c>
      <c r="B586" t="s">
        <v>1670</v>
      </c>
      <c r="C586" t="s">
        <v>396</v>
      </c>
      <c r="D586" t="s">
        <v>1657</v>
      </c>
      <c r="E586" t="s">
        <v>2610</v>
      </c>
      <c r="F586" t="str">
        <f t="shared" si="9"/>
        <v>"C:\Program Files\VideoLAN\VLC\vlc.exe" "http://listen-nation.sharp-stream.com/breezyradioukdab.mp3?ref=RF"</v>
      </c>
      <c r="M586" t="e">
        <f>VLOOKUP(A586,logos!$A$2:$A$10004,1,FALSE)</f>
        <v>#N/A</v>
      </c>
    </row>
    <row r="587" spans="1:13" hidden="1" x14ac:dyDescent="0.55000000000000004">
      <c r="A587" t="s">
        <v>2658</v>
      </c>
      <c r="B587" t="s">
        <v>1670</v>
      </c>
      <c r="C587" t="s">
        <v>2160</v>
      </c>
      <c r="D587" t="s">
        <v>1657</v>
      </c>
      <c r="E587" t="s">
        <v>2610</v>
      </c>
      <c r="F587" t="str">
        <f t="shared" si="9"/>
        <v>"C:\Program Files\VideoLAN\VLC\vlc.exe" "http://edge-audio-05-gos2.sharp-stream.com:80/swanseabay.mp3"</v>
      </c>
      <c r="M587" t="e">
        <f>VLOOKUP(A587,logos!$A$2:$A$10004,1,FALSE)</f>
        <v>#N/A</v>
      </c>
    </row>
    <row r="588" spans="1:13" hidden="1" x14ac:dyDescent="0.55000000000000004">
      <c r="A588" t="s">
        <v>2662</v>
      </c>
      <c r="B588" t="s">
        <v>1670</v>
      </c>
      <c r="C588" t="s">
        <v>438</v>
      </c>
      <c r="D588" t="s">
        <v>1657</v>
      </c>
      <c r="E588" t="s">
        <v>2610</v>
      </c>
      <c r="F588" t="str">
        <f t="shared" si="9"/>
        <v>"C:\Program Files\VideoLAN\VLC\vlc.exe" "http://listen-gaydio.sharp-stream.com/467_gaydio_birmingham_320_mp3?ref=RF"</v>
      </c>
      <c r="M588" t="e">
        <f>VLOOKUP(A588,logos!$A$2:$A$10004,1,FALSE)</f>
        <v>#N/A</v>
      </c>
    </row>
    <row r="589" spans="1:13" hidden="1" x14ac:dyDescent="0.55000000000000004">
      <c r="A589" t="s">
        <v>2663</v>
      </c>
      <c r="B589" t="s">
        <v>1670</v>
      </c>
      <c r="C589" t="s">
        <v>441</v>
      </c>
      <c r="D589" t="s">
        <v>1657</v>
      </c>
      <c r="E589" t="s">
        <v>2610</v>
      </c>
      <c r="F589" t="str">
        <f t="shared" si="9"/>
        <v>"C:\Program Files\VideoLAN\VLC\vlc.exe" "http://listen-gaydio.sharp-stream.com/76_gaydio_scotland_320?ref=RF"</v>
      </c>
      <c r="M589" t="e">
        <f>VLOOKUP(A589,logos!$A$2:$A$10004,1,FALSE)</f>
        <v>#N/A</v>
      </c>
    </row>
    <row r="590" spans="1:13" hidden="1" x14ac:dyDescent="0.55000000000000004">
      <c r="A590" t="s">
        <v>2664</v>
      </c>
      <c r="B590" t="s">
        <v>1670</v>
      </c>
      <c r="C590" t="s">
        <v>444</v>
      </c>
      <c r="D590" t="s">
        <v>1657</v>
      </c>
      <c r="E590" t="s">
        <v>2610</v>
      </c>
      <c r="F590" t="str">
        <f t="shared" si="9"/>
        <v>"C:\Program Files\VideoLAN\VLC\vlc.exe" "http://listen-gaydio.sharp-stream.com/472_gaydio_london_320_mp3?ref=RF"</v>
      </c>
      <c r="M590" t="e">
        <f>VLOOKUP(A590,logos!$A$2:$A$10004,1,FALSE)</f>
        <v>#N/A</v>
      </c>
    </row>
    <row r="591" spans="1:13" hidden="1" x14ac:dyDescent="0.55000000000000004">
      <c r="A591" t="s">
        <v>2665</v>
      </c>
      <c r="B591" t="s">
        <v>1670</v>
      </c>
      <c r="C591" t="s">
        <v>447</v>
      </c>
      <c r="D591" t="s">
        <v>1657</v>
      </c>
      <c r="E591" t="s">
        <v>2610</v>
      </c>
      <c r="F591" t="str">
        <f t="shared" si="9"/>
        <v>"C:\Program Files\VideoLAN\VLC\vlc.exe" "http://listen-gaydio.sharp-stream.com/gaydioukhq.mp3?ref=RF"</v>
      </c>
      <c r="M591" t="e">
        <f>VLOOKUP(A591,logos!$A$2:$A$10004,1,FALSE)</f>
        <v>#N/A</v>
      </c>
    </row>
    <row r="592" spans="1:13" hidden="1" x14ac:dyDescent="0.55000000000000004">
      <c r="A592" t="s">
        <v>467</v>
      </c>
      <c r="B592" t="s">
        <v>1670</v>
      </c>
      <c r="C592" t="s">
        <v>466</v>
      </c>
      <c r="D592" t="s">
        <v>1657</v>
      </c>
      <c r="E592" t="s">
        <v>2610</v>
      </c>
      <c r="F592" t="str">
        <f t="shared" si="9"/>
        <v>"C:\Program Files\VideoLAN\VLC\vlc.exe" "http://my.superstreaming.co.uk:8064/gyronline"</v>
      </c>
      <c r="M592" t="e">
        <f>VLOOKUP(A592,logos!$A$2:$A$10004,1,FALSE)</f>
        <v>#N/A</v>
      </c>
    </row>
    <row r="593" spans="1:13" hidden="1" x14ac:dyDescent="0.55000000000000004">
      <c r="A593" t="s">
        <v>718</v>
      </c>
      <c r="B593" t="s">
        <v>1670</v>
      </c>
      <c r="C593" t="s">
        <v>2162</v>
      </c>
      <c r="D593" t="s">
        <v>1657</v>
      </c>
      <c r="E593" t="s">
        <v>2610</v>
      </c>
      <c r="F593" t="str">
        <f t="shared" si="9"/>
        <v>"C:\Program Files\VideoLAN\VLC\vlc.exe" "http://n02a-eu.rcs.revma.com:80/epatpyebanzuv"</v>
      </c>
      <c r="M593" t="str">
        <f>VLOOKUP(A593,logos!$A$2:$A$10004,1,FALSE)</f>
        <v>Island FM</v>
      </c>
    </row>
    <row r="594" spans="1:13" hidden="1" x14ac:dyDescent="0.55000000000000004">
      <c r="A594" t="s">
        <v>728</v>
      </c>
      <c r="B594" t="s">
        <v>1670</v>
      </c>
      <c r="C594" t="s">
        <v>729</v>
      </c>
      <c r="D594" t="s">
        <v>1657</v>
      </c>
      <c r="E594" t="s">
        <v>2610</v>
      </c>
      <c r="F594" t="str">
        <f t="shared" si="9"/>
        <v>"C:\Program Files\VideoLAN\VLC\vlc.exe" "http://listen-jackmedia.sharp-stream.com/390_jack_2_320_mp3?ref=RF"</v>
      </c>
      <c r="M594" t="e">
        <f>VLOOKUP(A594,logos!$A$2:$A$10004,1,FALSE)</f>
        <v>#N/A</v>
      </c>
    </row>
    <row r="595" spans="1:13" hidden="1" x14ac:dyDescent="0.55000000000000004">
      <c r="A595" t="s">
        <v>731</v>
      </c>
      <c r="B595" t="s">
        <v>1670</v>
      </c>
      <c r="C595" t="s">
        <v>732</v>
      </c>
      <c r="D595" t="s">
        <v>1657</v>
      </c>
      <c r="E595" t="s">
        <v>2610</v>
      </c>
      <c r="F595" t="str">
        <f t="shared" si="9"/>
        <v>"C:\Program Files\VideoLAN\VLC\vlc.exe" "http://listen-jackmedia.sharp-stream.com/390_jack_3_320_mp3?ref=RF"</v>
      </c>
      <c r="M595" t="e">
        <f>VLOOKUP(A595,logos!$A$2:$A$10004,1,FALSE)</f>
        <v>#N/A</v>
      </c>
    </row>
    <row r="596" spans="1:13" hidden="1" x14ac:dyDescent="0.55000000000000004">
      <c r="A596" t="s">
        <v>724</v>
      </c>
      <c r="B596" t="s">
        <v>1670</v>
      </c>
      <c r="C596" t="s">
        <v>726</v>
      </c>
      <c r="D596" t="s">
        <v>1657</v>
      </c>
      <c r="E596" t="s">
        <v>2610</v>
      </c>
      <c r="F596" t="str">
        <f t="shared" si="9"/>
        <v>"C:\Program Files\VideoLAN\VLC\vlc.exe" "http://listen-jackmedia.sharp-stream.com/390_jack_fm_320_mp3?ref=RF"</v>
      </c>
      <c r="M596" t="e">
        <f>VLOOKUP(A596,logos!$A$2:$A$10004,1,FALSE)</f>
        <v>#N/A</v>
      </c>
    </row>
    <row r="597" spans="1:13" hidden="1" x14ac:dyDescent="0.55000000000000004">
      <c r="A597" t="s">
        <v>778</v>
      </c>
      <c r="B597" t="s">
        <v>1670</v>
      </c>
      <c r="C597" t="s">
        <v>779</v>
      </c>
      <c r="D597" t="s">
        <v>1657</v>
      </c>
      <c r="E597" t="s">
        <v>2610</v>
      </c>
      <c r="F597" t="str">
        <f t="shared" si="9"/>
        <v>"C:\Program Files\VideoLAN\VLC\vlc.exe" "http://centauri.shoutca.st:8290/live"</v>
      </c>
      <c r="M597" t="e">
        <f>VLOOKUP(A597,logos!$A$2:$A$10004,1,FALSE)</f>
        <v>#N/A</v>
      </c>
    </row>
    <row r="598" spans="1:13" hidden="1" x14ac:dyDescent="0.55000000000000004">
      <c r="A598" t="s">
        <v>831</v>
      </c>
      <c r="B598" t="s">
        <v>1670</v>
      </c>
      <c r="C598" t="s">
        <v>832</v>
      </c>
      <c r="D598" t="s">
        <v>1657</v>
      </c>
      <c r="E598" t="s">
        <v>2610</v>
      </c>
      <c r="F598" t="str">
        <f t="shared" si="9"/>
        <v>"C:\Program Files\VideoLAN\VLC\vlc.exe" "http://trappist.shoutca.st:8101/stream"</v>
      </c>
      <c r="M598" t="e">
        <f>VLOOKUP(A598,logos!$A$2:$A$10004,1,FALSE)</f>
        <v>#N/A</v>
      </c>
    </row>
    <row r="599" spans="1:13" hidden="1" x14ac:dyDescent="0.55000000000000004">
      <c r="A599" t="s">
        <v>834</v>
      </c>
      <c r="B599" t="s">
        <v>1670</v>
      </c>
      <c r="C599" t="s">
        <v>835</v>
      </c>
      <c r="D599" t="s">
        <v>1657</v>
      </c>
      <c r="E599" t="s">
        <v>2610</v>
      </c>
      <c r="F599" t="str">
        <f t="shared" si="9"/>
        <v>"C:\Program Files\VideoLAN\VLC\vlc.exe" "http://listen-misoul.sharp-stream.com/462_mi_soul_320_mp3?ref=RF"</v>
      </c>
      <c r="M599" t="e">
        <f>VLOOKUP(A599,logos!$A$2:$A$10004,1,FALSE)</f>
        <v>#N/A</v>
      </c>
    </row>
    <row r="600" spans="1:13" hidden="1" x14ac:dyDescent="0.55000000000000004">
      <c r="A600" t="s">
        <v>865</v>
      </c>
      <c r="B600" t="s">
        <v>1670</v>
      </c>
      <c r="C600" t="s">
        <v>866</v>
      </c>
      <c r="D600" t="s">
        <v>1657</v>
      </c>
      <c r="E600" t="s">
        <v>2610</v>
      </c>
      <c r="F600" t="str">
        <f t="shared" si="9"/>
        <v>"C:\Program Files\VideoLAN\VLC\vlc.exe" "http://listen-nation.sharp-stream.com/nationradio00sdab.mp3?ref=RF"</v>
      </c>
      <c r="M600" t="e">
        <f>VLOOKUP(A600,logos!$A$2:$A$10004,1,FALSE)</f>
        <v>#N/A</v>
      </c>
    </row>
    <row r="601" spans="1:13" hidden="1" x14ac:dyDescent="0.55000000000000004">
      <c r="A601" t="s">
        <v>853</v>
      </c>
      <c r="B601" t="s">
        <v>1670</v>
      </c>
      <c r="C601" t="s">
        <v>2164</v>
      </c>
      <c r="D601" t="s">
        <v>1657</v>
      </c>
      <c r="E601" t="s">
        <v>2610</v>
      </c>
      <c r="F601" t="str">
        <f t="shared" si="9"/>
        <v>"C:\Program Files\VideoLAN\VLC\vlc.exe" "http://edge-audio-05-gos2.sharp-stream.com:80/nation60sdab.mp3"</v>
      </c>
      <c r="M601" t="e">
        <f>VLOOKUP(A601,logos!$A$2:$A$10004,1,FALSE)</f>
        <v>#N/A</v>
      </c>
    </row>
    <row r="602" spans="1:13" hidden="1" x14ac:dyDescent="0.55000000000000004">
      <c r="A602" t="s">
        <v>856</v>
      </c>
      <c r="B602" t="s">
        <v>1670</v>
      </c>
      <c r="C602" t="s">
        <v>2165</v>
      </c>
      <c r="D602" t="s">
        <v>1657</v>
      </c>
      <c r="E602" t="s">
        <v>2610</v>
      </c>
      <c r="F602" t="str">
        <f t="shared" si="9"/>
        <v>"C:\Program Files\VideoLAN\VLC\vlc.exe" "http://edge-audio-05-gos2.sharp-stream.com:80/nationradio70s-dab.mp3"</v>
      </c>
      <c r="M602" t="e">
        <f>VLOOKUP(A602,logos!$A$2:$A$10004,1,FALSE)</f>
        <v>#N/A</v>
      </c>
    </row>
    <row r="603" spans="1:13" hidden="1" x14ac:dyDescent="0.55000000000000004">
      <c r="A603" t="s">
        <v>859</v>
      </c>
      <c r="B603" t="s">
        <v>1670</v>
      </c>
      <c r="C603" t="s">
        <v>2166</v>
      </c>
      <c r="D603" t="s">
        <v>1657</v>
      </c>
      <c r="E603" t="s">
        <v>2610</v>
      </c>
      <c r="F603" t="str">
        <f t="shared" si="9"/>
        <v>"C:\Program Files\VideoLAN\VLC\vlc.exe" "http://edge-audio-05-gos2.sharp-stream.com:80/nationradio80s-dab.mp3"</v>
      </c>
      <c r="M603" t="e">
        <f>VLOOKUP(A603,logos!$A$2:$A$10004,1,FALSE)</f>
        <v>#N/A</v>
      </c>
    </row>
    <row r="604" spans="1:13" hidden="1" x14ac:dyDescent="0.55000000000000004">
      <c r="A604" t="s">
        <v>862</v>
      </c>
      <c r="B604" t="s">
        <v>1670</v>
      </c>
      <c r="C604" t="s">
        <v>2167</v>
      </c>
      <c r="D604" t="s">
        <v>1657</v>
      </c>
      <c r="E604" t="s">
        <v>2610</v>
      </c>
      <c r="F604" t="str">
        <f t="shared" si="9"/>
        <v>"C:\Program Files\VideoLAN\VLC\vlc.exe" "http://edge-audio-05-gos2.sharp-stream.com:80/nationradio90s-dab.mp3"</v>
      </c>
      <c r="M604" t="e">
        <f>VLOOKUP(A604,logos!$A$2:$A$10004,1,FALSE)</f>
        <v>#N/A</v>
      </c>
    </row>
    <row r="605" spans="1:13" hidden="1" x14ac:dyDescent="0.55000000000000004">
      <c r="A605" t="s">
        <v>868</v>
      </c>
      <c r="B605" t="s">
        <v>1670</v>
      </c>
      <c r="C605" t="s">
        <v>2168</v>
      </c>
      <c r="D605" t="s">
        <v>1657</v>
      </c>
      <c r="E605" t="s">
        <v>2610</v>
      </c>
      <c r="F605" t="str">
        <f t="shared" si="9"/>
        <v>"C:\Program Files\VideoLAN\VLC\vlc.exe" "http://edge-audio-05-gos2.sharp-stream.com:80/clubnationdab.mp3"</v>
      </c>
      <c r="M605" t="e">
        <f>VLOOKUP(A605,logos!$A$2:$A$10004,1,FALSE)</f>
        <v>#N/A</v>
      </c>
    </row>
    <row r="606" spans="1:13" hidden="1" x14ac:dyDescent="0.55000000000000004">
      <c r="A606" t="s">
        <v>871</v>
      </c>
      <c r="B606" t="s">
        <v>1670</v>
      </c>
      <c r="C606" t="s">
        <v>2169</v>
      </c>
      <c r="D606" t="s">
        <v>1657</v>
      </c>
      <c r="E606" t="s">
        <v>2610</v>
      </c>
      <c r="F606" t="str">
        <f t="shared" si="9"/>
        <v>"C:\Program Files\VideoLAN\VLC\vlc.exe" "http://edge-audio-05-gos2.sharp-stream.com:80/nationhitsdab.mp3"</v>
      </c>
      <c r="M606" t="e">
        <f>VLOOKUP(A606,logos!$A$2:$A$10004,1,FALSE)</f>
        <v>#N/A</v>
      </c>
    </row>
    <row r="607" spans="1:13" hidden="1" x14ac:dyDescent="0.55000000000000004">
      <c r="A607" t="s">
        <v>874</v>
      </c>
      <c r="B607" t="s">
        <v>1670</v>
      </c>
      <c r="C607" t="s">
        <v>2170</v>
      </c>
      <c r="D607" t="s">
        <v>1657</v>
      </c>
      <c r="E607" t="s">
        <v>2610</v>
      </c>
      <c r="F607" t="str">
        <f t="shared" si="9"/>
        <v>"C:\Program Files\VideoLAN\VLC\vlc.exe" "http://edge-audio-05-gos2.sharp-stream.com:80/lovenationdab.mp3"</v>
      </c>
      <c r="M607" t="e">
        <f>VLOOKUP(A607,logos!$A$2:$A$10004,1,FALSE)</f>
        <v>#N/A</v>
      </c>
    </row>
    <row r="608" spans="1:13" hidden="1" x14ac:dyDescent="0.55000000000000004">
      <c r="A608" t="s">
        <v>877</v>
      </c>
      <c r="B608" t="s">
        <v>1670</v>
      </c>
      <c r="C608" t="s">
        <v>878</v>
      </c>
      <c r="D608" t="s">
        <v>1657</v>
      </c>
      <c r="E608" t="s">
        <v>2610</v>
      </c>
      <c r="F608" t="str">
        <f t="shared" si="9"/>
        <v>"C:\Program Files\VideoLAN\VLC\vlc.exe" "http://listen-nation.sharp-stream.com/nationpartydab.mp3?ref=RF"</v>
      </c>
      <c r="M608" t="e">
        <f>VLOOKUP(A608,logos!$A$2:$A$10004,1,FALSE)</f>
        <v>#N/A</v>
      </c>
    </row>
    <row r="609" spans="1:13" hidden="1" x14ac:dyDescent="0.55000000000000004">
      <c r="A609" t="s">
        <v>2783</v>
      </c>
      <c r="B609" t="s">
        <v>1670</v>
      </c>
      <c r="C609" t="s">
        <v>2171</v>
      </c>
      <c r="D609" t="s">
        <v>1657</v>
      </c>
      <c r="E609" t="s">
        <v>2610</v>
      </c>
      <c r="F609" t="str">
        <f t="shared" si="9"/>
        <v>"C:\Program Files\VideoLAN\VLC\vlc.exe" "http://edge-audio-05-gos2.sharp-stream.com:80/ghrhulldab.mp3"</v>
      </c>
      <c r="M609" t="e">
        <f>VLOOKUP(A609,logos!$A$2:$A$10004,1,FALSE)</f>
        <v>#N/A</v>
      </c>
    </row>
    <row r="610" spans="1:13" hidden="1" x14ac:dyDescent="0.55000000000000004">
      <c r="A610" t="s">
        <v>2784</v>
      </c>
      <c r="B610" t="s">
        <v>1670</v>
      </c>
      <c r="C610" t="s">
        <v>2172</v>
      </c>
      <c r="D610" t="s">
        <v>1657</v>
      </c>
      <c r="E610" t="s">
        <v>2610</v>
      </c>
      <c r="F610" t="str">
        <f t="shared" si="9"/>
        <v>"C:\Program Files\VideoLAN\VLC\vlc.exe" "http://edge-audio-05-gos2.sharp-stream.com:80/yourradiodab.mp3"</v>
      </c>
      <c r="M610" t="e">
        <f>VLOOKUP(A610,logos!$A$2:$A$10004,1,FALSE)</f>
        <v>#N/A</v>
      </c>
    </row>
    <row r="611" spans="1:13" hidden="1" x14ac:dyDescent="0.55000000000000004">
      <c r="A611" t="s">
        <v>2785</v>
      </c>
      <c r="B611" t="s">
        <v>1670</v>
      </c>
      <c r="C611" t="s">
        <v>2173</v>
      </c>
      <c r="D611" t="s">
        <v>1657</v>
      </c>
      <c r="E611" t="s">
        <v>2610</v>
      </c>
      <c r="F611" t="str">
        <f t="shared" si="9"/>
        <v>"C:\Program Files\VideoLAN\VLC\vlc.exe" "http://edge-audio-05-gos2.sharp-stream.com:80/nationscotlanddab.mp3"</v>
      </c>
      <c r="M611" t="e">
        <f>VLOOKUP(A611,logos!$A$2:$A$10004,1,FALSE)</f>
        <v>#N/A</v>
      </c>
    </row>
    <row r="612" spans="1:13" hidden="1" x14ac:dyDescent="0.55000000000000004">
      <c r="A612" t="s">
        <v>2786</v>
      </c>
      <c r="B612" t="s">
        <v>1670</v>
      </c>
      <c r="C612" t="s">
        <v>890</v>
      </c>
      <c r="D612" t="s">
        <v>1657</v>
      </c>
      <c r="E612" t="s">
        <v>2610</v>
      </c>
      <c r="F612" t="str">
        <f t="shared" si="9"/>
        <v>"C:\Program Files\VideoLAN\VLC\vlc.exe" "http://listen-nation.sharp-stream.com/nationdorsetdab.mp3?ref=RF"</v>
      </c>
      <c r="M612" t="e">
        <f>VLOOKUP(A612,logos!$A$2:$A$10004,1,FALSE)</f>
        <v>#N/A</v>
      </c>
    </row>
    <row r="613" spans="1:13" hidden="1" x14ac:dyDescent="0.55000000000000004">
      <c r="A613" t="s">
        <v>2787</v>
      </c>
      <c r="B613" t="s">
        <v>1670</v>
      </c>
      <c r="C613" t="s">
        <v>893</v>
      </c>
      <c r="D613" t="s">
        <v>1657</v>
      </c>
      <c r="E613" t="s">
        <v>2610</v>
      </c>
      <c r="F613" t="str">
        <f t="shared" si="9"/>
        <v>"C:\Program Files\VideoLAN\VLC\vlc.exe" "http://listen-nation.sharp-stream.com/nationhampshiredab.mp3?ref=RF"</v>
      </c>
      <c r="M613" t="e">
        <f>VLOOKUP(A613,logos!$A$2:$A$10004,1,FALSE)</f>
        <v>#N/A</v>
      </c>
    </row>
    <row r="614" spans="1:13" hidden="1" x14ac:dyDescent="0.55000000000000004">
      <c r="A614" t="s">
        <v>2788</v>
      </c>
      <c r="B614" t="s">
        <v>1670</v>
      </c>
      <c r="C614" t="s">
        <v>896</v>
      </c>
      <c r="D614" t="s">
        <v>1657</v>
      </c>
      <c r="E614" t="s">
        <v>2610</v>
      </c>
      <c r="F614" t="str">
        <f t="shared" si="9"/>
        <v>"C:\Program Files\VideoLAN\VLC\vlc.exe" "http://listen-nation.sharp-stream.com/nationsuffolk-dab.mp3?ref=RF"</v>
      </c>
      <c r="M614" t="e">
        <f>VLOOKUP(A614,logos!$A$2:$A$10004,1,FALSE)</f>
        <v>#N/A</v>
      </c>
    </row>
    <row r="615" spans="1:13" hidden="1" x14ac:dyDescent="0.55000000000000004">
      <c r="A615" t="s">
        <v>2789</v>
      </c>
      <c r="B615" t="s">
        <v>1670</v>
      </c>
      <c r="C615" t="s">
        <v>2174</v>
      </c>
      <c r="D615" t="s">
        <v>1657</v>
      </c>
      <c r="E615" t="s">
        <v>2610</v>
      </c>
      <c r="F615" t="str">
        <f t="shared" si="9"/>
        <v>"C:\Program Files\VideoLAN\VLC\vlc.exe" "http://edge-audio-05-gos2.sharp-stream.com:80/nationukdab.mp3"</v>
      </c>
      <c r="M615" t="e">
        <f>VLOOKUP(A615,logos!$A$2:$A$10004,1,FALSE)</f>
        <v>#N/A</v>
      </c>
    </row>
    <row r="616" spans="1:13" hidden="1" x14ac:dyDescent="0.55000000000000004">
      <c r="A616" t="s">
        <v>2790</v>
      </c>
      <c r="B616" t="s">
        <v>1670</v>
      </c>
      <c r="C616" t="s">
        <v>2175</v>
      </c>
      <c r="D616" t="s">
        <v>1657</v>
      </c>
      <c r="E616" t="s">
        <v>2610</v>
      </c>
      <c r="F616" t="str">
        <f t="shared" si="9"/>
        <v>"C:\Program Files\VideoLAN\VLC\vlc.exe" "http://edge-audio-05-gos2.sharp-stream.com:80/ceredigiondab.mp3"</v>
      </c>
      <c r="M616" t="e">
        <f>VLOOKUP(A616,logos!$A$2:$A$10004,1,FALSE)</f>
        <v>#N/A</v>
      </c>
    </row>
    <row r="617" spans="1:13" hidden="1" x14ac:dyDescent="0.55000000000000004">
      <c r="A617" t="s">
        <v>2791</v>
      </c>
      <c r="B617" t="s">
        <v>1670</v>
      </c>
      <c r="C617" t="s">
        <v>2176</v>
      </c>
      <c r="D617" t="s">
        <v>1657</v>
      </c>
      <c r="E617" t="s">
        <v>2610</v>
      </c>
      <c r="F617" t="str">
        <f t="shared" si="9"/>
        <v>"C:\Program Files\VideoLAN\VLC\vlc.exe" "http://edge-audio-05-gos2.sharp-stream.com:80/nationwalesdab.mp3"</v>
      </c>
      <c r="M617" t="e">
        <f>VLOOKUP(A617,logos!$A$2:$A$10004,1,FALSE)</f>
        <v>#N/A</v>
      </c>
    </row>
    <row r="618" spans="1:13" hidden="1" x14ac:dyDescent="0.55000000000000004">
      <c r="A618" t="s">
        <v>909</v>
      </c>
      <c r="B618" t="s">
        <v>1670</v>
      </c>
      <c r="C618" t="s">
        <v>2177</v>
      </c>
      <c r="D618" t="s">
        <v>1657</v>
      </c>
      <c r="E618" t="s">
        <v>2610</v>
      </c>
      <c r="F618" t="str">
        <f t="shared" si="9"/>
        <v>"C:\Program Files\VideoLAN\VLC\vlc.exe" "http://edge-audio-05-gos2.sharp-stream.com:80/nationrocksdab.mp3"</v>
      </c>
      <c r="M618" t="e">
        <f>VLOOKUP(A618,logos!$A$2:$A$10004,1,FALSE)</f>
        <v>#N/A</v>
      </c>
    </row>
    <row r="619" spans="1:13" hidden="1" x14ac:dyDescent="0.55000000000000004">
      <c r="A619" t="s">
        <v>959</v>
      </c>
      <c r="B619" t="s">
        <v>1670</v>
      </c>
      <c r="C619" t="s">
        <v>960</v>
      </c>
      <c r="D619" t="s">
        <v>1657</v>
      </c>
      <c r="E619" t="s">
        <v>2610</v>
      </c>
      <c r="F619" t="str">
        <f t="shared" si="9"/>
        <v>"C:\Program Files\VideoLAN\VLC\vlc.exe" "http://pointblankradio.co.uk/stream?ref=rf"</v>
      </c>
      <c r="M619" t="e">
        <f>VLOOKUP(A619,logos!$A$2:$A$10004,1,FALSE)</f>
        <v>#N/A</v>
      </c>
    </row>
    <row r="620" spans="1:13" hidden="1" x14ac:dyDescent="0.55000000000000004">
      <c r="A620" t="s">
        <v>1013</v>
      </c>
      <c r="B620" t="s">
        <v>1670</v>
      </c>
      <c r="C620" t="s">
        <v>2178</v>
      </c>
      <c r="D620" t="s">
        <v>1657</v>
      </c>
      <c r="E620" t="s">
        <v>2610</v>
      </c>
      <c r="F620" t="str">
        <f t="shared" si="9"/>
        <v>"C:\Program Files\VideoLAN\VLC\vlc.exe" "http://edge-audio-05-gos2.sharp-stream.com:80/nationcarmarthenshiredab.mp3"</v>
      </c>
      <c r="M620" t="e">
        <f>VLOOKUP(A620,logos!$A$2:$A$10004,1,FALSE)</f>
        <v>#N/A</v>
      </c>
    </row>
    <row r="621" spans="1:13" hidden="1" x14ac:dyDescent="0.55000000000000004">
      <c r="A621" t="s">
        <v>1025</v>
      </c>
      <c r="B621" t="s">
        <v>1670</v>
      </c>
      <c r="C621" t="s">
        <v>1024</v>
      </c>
      <c r="D621" t="s">
        <v>1657</v>
      </c>
      <c r="E621" t="s">
        <v>2610</v>
      </c>
      <c r="F621" t="str">
        <f t="shared" si="9"/>
        <v>"C:\Program Files\VideoLAN\VLC\vlc.exe" "http://usa19.fastcast4u.com:1120/;"</v>
      </c>
      <c r="M621" t="e">
        <f>VLOOKUP(A621,logos!$A$2:$A$10004,1,FALSE)</f>
        <v>#N/A</v>
      </c>
    </row>
    <row r="622" spans="1:13" hidden="1" x14ac:dyDescent="0.55000000000000004">
      <c r="A622" t="s">
        <v>1044</v>
      </c>
      <c r="B622" t="s">
        <v>1670</v>
      </c>
      <c r="C622" t="s">
        <v>2179</v>
      </c>
      <c r="D622" t="s">
        <v>1657</v>
      </c>
      <c r="E622" t="s">
        <v>2610</v>
      </c>
      <c r="F622" t="str">
        <f t="shared" si="9"/>
        <v>"C:\Program Files\VideoLAN\VLC\vlc.exe" "http://edge-audio-05-gos2.sharp-stream.com:80/nationpembrokeshiredab.mp3"</v>
      </c>
      <c r="M622" t="e">
        <f>VLOOKUP(A622,logos!$A$2:$A$10004,1,FALSE)</f>
        <v>#N/A</v>
      </c>
    </row>
    <row r="623" spans="1:13" hidden="1" x14ac:dyDescent="0.55000000000000004">
      <c r="A623" t="s">
        <v>1065</v>
      </c>
      <c r="B623" t="s">
        <v>1670</v>
      </c>
      <c r="C623" t="s">
        <v>1064</v>
      </c>
      <c r="D623" t="s">
        <v>1657</v>
      </c>
      <c r="E623" t="s">
        <v>2610</v>
      </c>
      <c r="F623" t="str">
        <f t="shared" si="9"/>
        <v>"C:\Program Files\VideoLAN\VLC\vlc.exe" "http://listen.switchradio.co.uk:8000/rajoradio?ref=RF"</v>
      </c>
      <c r="M623" t="e">
        <f>VLOOKUP(A623,logos!$A$2:$A$10004,1,FALSE)</f>
        <v>#N/A</v>
      </c>
    </row>
    <row r="624" spans="1:13" hidden="1" x14ac:dyDescent="0.55000000000000004">
      <c r="A624" t="s">
        <v>1069</v>
      </c>
      <c r="B624" t="s">
        <v>1670</v>
      </c>
      <c r="C624" t="s">
        <v>1068</v>
      </c>
      <c r="D624" t="s">
        <v>1657</v>
      </c>
      <c r="E624" t="s">
        <v>2610</v>
      </c>
      <c r="F624" t="str">
        <f t="shared" si="9"/>
        <v>"C:\Program Files\VideoLAN\VLC\vlc.exe" "http://stream.releaseradio.net:80/stream"</v>
      </c>
      <c r="M624" t="e">
        <f>VLOOKUP(A624,logos!$A$2:$A$10004,1,FALSE)</f>
        <v>#N/A</v>
      </c>
    </row>
    <row r="625" spans="1:13" hidden="1" x14ac:dyDescent="0.55000000000000004">
      <c r="A625" t="s">
        <v>1185</v>
      </c>
      <c r="B625" t="s">
        <v>1670</v>
      </c>
      <c r="C625" t="s">
        <v>2182</v>
      </c>
      <c r="D625" t="s">
        <v>1657</v>
      </c>
      <c r="E625" t="s">
        <v>2610</v>
      </c>
      <c r="F625" t="str">
        <f t="shared" si="9"/>
        <v>"C:\Program Files\VideoLAN\VLC\vlc.exe" "http://n02a-eu.rcs.revma.com:80/sa3ccwa9yy8uv"</v>
      </c>
      <c r="M625" t="str">
        <f>VLOOKUP(A625,logos!$A$2:$A$10004,1,FALSE)</f>
        <v>Soleil Radio</v>
      </c>
    </row>
    <row r="626" spans="1:13" hidden="1" x14ac:dyDescent="0.55000000000000004">
      <c r="A626" t="s">
        <v>1213</v>
      </c>
      <c r="B626" t="s">
        <v>1670</v>
      </c>
      <c r="C626" t="s">
        <v>2186</v>
      </c>
      <c r="D626" t="s">
        <v>1657</v>
      </c>
      <c r="E626" t="s">
        <v>2610</v>
      </c>
      <c r="F626" t="str">
        <f t="shared" si="9"/>
        <v>"C:\Program Files\VideoLAN\VLC\vlc.exe" "http://edge-audio-05-gos2.sharp-stream.com:80/sunfmdab.mp3"</v>
      </c>
      <c r="M626" t="e">
        <f>VLOOKUP(A626,logos!$A$2:$A$10004,1,FALSE)</f>
        <v>#N/A</v>
      </c>
    </row>
    <row r="627" spans="1:13" hidden="1" x14ac:dyDescent="0.55000000000000004">
      <c r="A627" t="s">
        <v>2838</v>
      </c>
      <c r="B627" t="s">
        <v>1670</v>
      </c>
      <c r="C627" t="s">
        <v>1227</v>
      </c>
      <c r="D627" t="s">
        <v>1657</v>
      </c>
      <c r="E627" t="s">
        <v>2610</v>
      </c>
      <c r="F627" t="str">
        <f t="shared" si="9"/>
        <v>"C:\Program Files\VideoLAN\VLC\vlc.exe" "http://stream1.themediasite.co.uk:8070/stream"</v>
      </c>
      <c r="M627" t="e">
        <f>VLOOKUP(A627,logos!$A$2:$A$10004,1,FALSE)</f>
        <v>#N/A</v>
      </c>
    </row>
    <row r="628" spans="1:13" hidden="1" x14ac:dyDescent="0.55000000000000004">
      <c r="A628" t="s">
        <v>1257</v>
      </c>
      <c r="B628" t="s">
        <v>1670</v>
      </c>
      <c r="C628" t="s">
        <v>1260</v>
      </c>
      <c r="D628" t="s">
        <v>1657</v>
      </c>
      <c r="E628" t="s">
        <v>2610</v>
      </c>
      <c r="F628" t="str">
        <f t="shared" si="9"/>
        <v>"C:\Program Files\VideoLAN\VLC\vlc.exe" "http://therockservice.servebeer.com:7993/"</v>
      </c>
      <c r="M628" t="e">
        <f>VLOOKUP(A628,logos!$A$2:$A$10004,1,FALSE)</f>
        <v>#N/A</v>
      </c>
    </row>
    <row r="629" spans="1:13" hidden="1" x14ac:dyDescent="0.55000000000000004">
      <c r="A629" t="s">
        <v>1340</v>
      </c>
      <c r="B629" t="s">
        <v>1670</v>
      </c>
      <c r="C629" t="s">
        <v>1342</v>
      </c>
      <c r="D629" t="s">
        <v>1657</v>
      </c>
      <c r="E629" t="s">
        <v>2610</v>
      </c>
      <c r="F629" t="str">
        <f t="shared" si="9"/>
        <v>"C:\Program Files\VideoLAN\VLC\vlc.exe" "http://stream2.hippynet.co.uk:8021/stream"</v>
      </c>
      <c r="M629" t="e">
        <f>VLOOKUP(A629,logos!$A$2:$A$10004,1,FALSE)</f>
        <v>#N/A</v>
      </c>
    </row>
    <row r="630" spans="1:13" hidden="1" x14ac:dyDescent="0.55000000000000004">
      <c r="A630" t="s">
        <v>1340</v>
      </c>
      <c r="B630" t="s">
        <v>1687</v>
      </c>
      <c r="C630" t="s">
        <v>1339</v>
      </c>
      <c r="D630" t="s">
        <v>1657</v>
      </c>
      <c r="E630" t="s">
        <v>2610</v>
      </c>
      <c r="F630" t="str">
        <f t="shared" si="9"/>
        <v>"C:\Program Files\VideoLAN\VLC\vlc.exe" "http://stream2.hippynet.co.uk:8020/mobile"</v>
      </c>
      <c r="M630" t="e">
        <f>VLOOKUP(A630,logos!$A$2:$A$10004,1,FALSE)</f>
        <v>#N/A</v>
      </c>
    </row>
    <row r="631" spans="1:13" hidden="1" x14ac:dyDescent="0.55000000000000004">
      <c r="A631" t="s">
        <v>2838</v>
      </c>
      <c r="B631" t="s">
        <v>1679</v>
      </c>
      <c r="C631" t="s">
        <v>1222</v>
      </c>
      <c r="D631" t="s">
        <v>1657</v>
      </c>
      <c r="E631" t="s">
        <v>2610</v>
      </c>
      <c r="F631" t="str">
        <f t="shared" si="9"/>
        <v>"C:\Program Files\VideoLAN\VLC\vlc.exe" "http://stream1.themediasite.co.uk:8070/low2"</v>
      </c>
      <c r="M631" t="e">
        <f>VLOOKUP(A631,logos!$A$2:$A$10004,1,FALSE)</f>
        <v>#N/A</v>
      </c>
    </row>
    <row r="632" spans="1:13" hidden="1" x14ac:dyDescent="0.55000000000000004">
      <c r="A632" t="s">
        <v>1199</v>
      </c>
      <c r="B632" t="s">
        <v>1664</v>
      </c>
      <c r="C632" t="s">
        <v>1198</v>
      </c>
      <c r="D632" t="s">
        <v>1657</v>
      </c>
      <c r="E632" t="s">
        <v>2610</v>
      </c>
      <c r="F632" t="str">
        <f t="shared" si="9"/>
        <v>"C:\Program Files\VideoLAN\VLC\vlc.exe" "http://stream2.hippynet.co.uk:8086/stream.mp3"</v>
      </c>
      <c r="M632" t="e">
        <f>VLOOKUP(A632,logos!$A$2:$A$10004,1,FALSE)</f>
        <v>#N/A</v>
      </c>
    </row>
    <row r="633" spans="1:13" hidden="1" x14ac:dyDescent="0.55000000000000004">
      <c r="A633" t="s">
        <v>2654</v>
      </c>
      <c r="B633" t="s">
        <v>1662</v>
      </c>
      <c r="C633" t="s">
        <v>360</v>
      </c>
      <c r="D633" t="s">
        <v>1657</v>
      </c>
      <c r="E633" t="s">
        <v>2610</v>
      </c>
      <c r="F633" t="str">
        <f t="shared" si="9"/>
        <v>"C:\Program Files\VideoLAN\VLC\vlc.exe" "http://listen-chriscountry.sharp-stream.com/chriscountryi.mp3?ref=RF"</v>
      </c>
      <c r="M633" t="e">
        <f>VLOOKUP(A633,logos!$A$2:$A$10004,1,FALSE)</f>
        <v>#N/A</v>
      </c>
    </row>
    <row r="634" spans="1:13" hidden="1" x14ac:dyDescent="0.55000000000000004">
      <c r="A634" t="s">
        <v>778</v>
      </c>
      <c r="B634" t="s">
        <v>1662</v>
      </c>
      <c r="C634" t="s">
        <v>777</v>
      </c>
      <c r="D634" t="s">
        <v>1657</v>
      </c>
      <c r="E634" t="s">
        <v>2610</v>
      </c>
      <c r="F634" t="str">
        <f t="shared" si="9"/>
        <v>"C:\Program Files\VideoLAN\VLC\vlc.exe" "http://liferadiostream.uk:8062/stream"</v>
      </c>
      <c r="M634" t="e">
        <f>VLOOKUP(A634,logos!$A$2:$A$10004,1,FALSE)</f>
        <v>#N/A</v>
      </c>
    </row>
    <row r="635" spans="1:13" hidden="1" x14ac:dyDescent="0.55000000000000004">
      <c r="A635" t="s">
        <v>1071</v>
      </c>
      <c r="B635" t="s">
        <v>1662</v>
      </c>
      <c r="C635" t="s">
        <v>1070</v>
      </c>
      <c r="D635" t="s">
        <v>1657</v>
      </c>
      <c r="E635" t="s">
        <v>2610</v>
      </c>
      <c r="F635" t="str">
        <f t="shared" si="9"/>
        <v>"C:\Program Files\VideoLAN\VLC\vlc.exe" "http://stream.resonance.fm:80/resonance-extra-lo"</v>
      </c>
      <c r="M635" t="e">
        <f>VLOOKUP(A635,logos!$A$2:$A$10004,1,FALSE)</f>
        <v>#N/A</v>
      </c>
    </row>
    <row r="636" spans="1:13" hidden="1" x14ac:dyDescent="0.55000000000000004">
      <c r="A636" t="s">
        <v>1257</v>
      </c>
      <c r="B636" t="s">
        <v>1690</v>
      </c>
      <c r="C636" t="s">
        <v>1256</v>
      </c>
      <c r="D636" t="s">
        <v>1657</v>
      </c>
      <c r="E636" t="s">
        <v>2610</v>
      </c>
      <c r="F636" t="str">
        <f t="shared" si="9"/>
        <v>"C:\Program Files\VideoLAN\VLC\vlc.exe" "http://therockservice.servebeer.com:8001/"</v>
      </c>
      <c r="M636" t="e">
        <f>VLOOKUP(A636,logos!$A$2:$A$10004,1,FALSE)</f>
        <v>#N/A</v>
      </c>
    </row>
    <row r="637" spans="1:13" hidden="1" x14ac:dyDescent="0.55000000000000004">
      <c r="A637" t="s">
        <v>75</v>
      </c>
      <c r="B637" t="s">
        <v>1668</v>
      </c>
      <c r="C637" t="s">
        <v>74</v>
      </c>
      <c r="D637" t="s">
        <v>1657</v>
      </c>
      <c r="E637" t="s">
        <v>2610</v>
      </c>
      <c r="F637" t="str">
        <f t="shared" si="9"/>
        <v>"C:\Program Files\VideoLAN\VLC\vlc.exe" "http://38.96.148.140:6150/;"</v>
      </c>
      <c r="M637" t="e">
        <f>VLOOKUP(A637,logos!$A$2:$A$10004,1,FALSE)</f>
        <v>#N/A</v>
      </c>
    </row>
    <row r="638" spans="1:13" hidden="1" x14ac:dyDescent="0.55000000000000004">
      <c r="A638" t="s">
        <v>336</v>
      </c>
      <c r="B638" t="s">
        <v>1668</v>
      </c>
      <c r="C638" t="s">
        <v>2156</v>
      </c>
      <c r="D638" t="s">
        <v>1657</v>
      </c>
      <c r="E638" t="s">
        <v>2610</v>
      </c>
      <c r="F638" t="str">
        <f t="shared" si="9"/>
        <v>"C:\Program Files\VideoLAN\VLC\vlc.exe" "http://n02a-eu.rcs.revma.com:80/kbxu5chhqd0uv"</v>
      </c>
      <c r="M638" t="str">
        <f>VLOOKUP(A638,logos!$A$2:$A$10004,1,FALSE)</f>
        <v>Channel 103</v>
      </c>
    </row>
    <row r="639" spans="1:13" hidden="1" x14ac:dyDescent="0.55000000000000004">
      <c r="A639" t="s">
        <v>463</v>
      </c>
      <c r="B639" t="s">
        <v>1668</v>
      </c>
      <c r="C639" t="s">
        <v>462</v>
      </c>
      <c r="D639" t="s">
        <v>1657</v>
      </c>
      <c r="E639" t="s">
        <v>2610</v>
      </c>
      <c r="F639" t="str">
        <f t="shared" si="9"/>
        <v>"C:\Program Files\VideoLAN\VLC\vlc.exe" "http://s6.citrus3.com:8008/stream"</v>
      </c>
      <c r="M639" t="e">
        <f>VLOOKUP(A639,logos!$A$2:$A$10004,1,FALSE)</f>
        <v>#N/A</v>
      </c>
    </row>
    <row r="640" spans="1:13" hidden="1" x14ac:dyDescent="0.55000000000000004">
      <c r="A640" t="s">
        <v>920</v>
      </c>
      <c r="B640" t="s">
        <v>1668</v>
      </c>
      <c r="C640" t="s">
        <v>919</v>
      </c>
      <c r="D640" t="s">
        <v>1657</v>
      </c>
      <c r="E640" t="s">
        <v>2610</v>
      </c>
      <c r="F640" t="str">
        <f t="shared" si="9"/>
        <v>"C:\Program Files\VideoLAN\VLC\vlc.exe" "http://noodsradio.out.airtime.pro:8000/noodsradio_b"</v>
      </c>
      <c r="M640" t="str">
        <f>VLOOKUP(A640,logos!$A$2:$A$10004,1,FALSE)</f>
        <v>NOODS Radio</v>
      </c>
    </row>
    <row r="641" spans="1:13" hidden="1" x14ac:dyDescent="0.55000000000000004">
      <c r="A641" t="s">
        <v>1188</v>
      </c>
      <c r="B641" t="s">
        <v>1668</v>
      </c>
      <c r="C641" t="s">
        <v>1187</v>
      </c>
      <c r="D641" t="s">
        <v>1657</v>
      </c>
      <c r="E641" t="s">
        <v>2610</v>
      </c>
      <c r="F641" t="str">
        <f t="shared" si="9"/>
        <v>"C:\Program Files\VideoLAN\VLC\vlc.exe" "http://centova.solidradio.co.uk:8000/solidlowmp3"</v>
      </c>
      <c r="M641" t="e">
        <f>VLOOKUP(A641,logos!$A$2:$A$10004,1,FALSE)</f>
        <v>#N/A</v>
      </c>
    </row>
    <row r="642" spans="1:13" hidden="1" x14ac:dyDescent="0.55000000000000004">
      <c r="A642" t="s">
        <v>2838</v>
      </c>
      <c r="B642" t="s">
        <v>1668</v>
      </c>
      <c r="C642" t="s">
        <v>1225</v>
      </c>
      <c r="D642" t="s">
        <v>1657</v>
      </c>
      <c r="E642" t="s">
        <v>2610</v>
      </c>
      <c r="F642" t="str">
        <f t="shared" si="9"/>
        <v>"C:\Program Files\VideoLAN\VLC\vlc.exe" "http://stream1.themediasite.co.uk:8070/low1"</v>
      </c>
      <c r="M642" t="e">
        <f>VLOOKUP(A642,logos!$A$2:$A$10004,1,FALSE)</f>
        <v>#N/A</v>
      </c>
    </row>
    <row r="643" spans="1:13" hidden="1" x14ac:dyDescent="0.55000000000000004">
      <c r="A643" t="s">
        <v>329</v>
      </c>
      <c r="B643" t="s">
        <v>1682</v>
      </c>
      <c r="C643" t="s">
        <v>328</v>
      </c>
      <c r="D643" t="s">
        <v>1657</v>
      </c>
      <c r="E643" t="s">
        <v>2610</v>
      </c>
      <c r="F643" t="str">
        <f t="shared" ref="F643:F706" si="10">"""C:\Program Files\VideoLAN\VLC\vlc.exe"" """&amp;C643&amp;""""</f>
        <v>"C:\Program Files\VideoLAN\VLC\vlc.exe" "http://centreforce.streamgb.com:8830/96"</v>
      </c>
      <c r="M643" t="e">
        <f>VLOOKUP(A643,logos!$A$2:$A$10004,1,FALSE)</f>
        <v>#N/A</v>
      </c>
    </row>
    <row r="644" spans="1:13" hidden="1" x14ac:dyDescent="0.55000000000000004">
      <c r="A644" t="s">
        <v>372</v>
      </c>
      <c r="B644" t="s">
        <v>1682</v>
      </c>
      <c r="C644" t="s">
        <v>371</v>
      </c>
      <c r="D644" t="s">
        <v>1657</v>
      </c>
      <c r="E644" t="s">
        <v>2610</v>
      </c>
      <c r="F644" t="str">
        <f t="shared" si="10"/>
        <v>"C:\Program Files\VideoLAN\VLC\vlc.exe" "http://s4.voscast.com:8642/live"</v>
      </c>
      <c r="M644" t="e">
        <f>VLOOKUP(A644,logos!$A$2:$A$10004,1,FALSE)</f>
        <v>#N/A</v>
      </c>
    </row>
    <row r="645" spans="1:13" hidden="1" x14ac:dyDescent="0.55000000000000004">
      <c r="A645" t="s">
        <v>34</v>
      </c>
      <c r="B645" t="s">
        <v>1692</v>
      </c>
      <c r="C645" t="s">
        <v>2188</v>
      </c>
      <c r="D645" t="s">
        <v>1657</v>
      </c>
      <c r="E645" t="s">
        <v>23</v>
      </c>
      <c r="F645" t="str">
        <f t="shared" si="10"/>
        <v>"C:\Program Files\VideoLAN\VLC\vlc.exe" "http://edge-bauerabsolute-05-gos2.sharp-stream.com/absoluteclassicrock.mp3?aw_0_1st.skey=1666797541&amp;aw_0_1st.playerid=BMUK_RPi"</v>
      </c>
      <c r="M645" t="str">
        <f>VLOOKUP(A645,logos!$A$2:$A$10004,1,FALSE)</f>
        <v>Absolute Classic Rock</v>
      </c>
    </row>
    <row r="646" spans="1:13" hidden="1" x14ac:dyDescent="0.55000000000000004">
      <c r="A646" t="s">
        <v>38</v>
      </c>
      <c r="B646" t="s">
        <v>1692</v>
      </c>
      <c r="C646" t="s">
        <v>2189</v>
      </c>
      <c r="D646" t="s">
        <v>1657</v>
      </c>
      <c r="E646" t="s">
        <v>23</v>
      </c>
      <c r="F646" t="str">
        <f t="shared" si="10"/>
        <v>"C:\Program Files\VideoLAN\VLC\vlc.exe" "http://edge-bauerabsolute-05-gos2.sharp-stream.com/absoluteradio.mp3?aw_0_1st.skey=1666797541&amp;aw_0_1st.playerid=BMUK_RPi"</v>
      </c>
      <c r="M646" t="str">
        <f>VLOOKUP(A646,logos!$A$2:$A$10004,1,FALSE)</f>
        <v>Absolute Radio</v>
      </c>
    </row>
    <row r="647" spans="1:13" hidden="1" x14ac:dyDescent="0.55000000000000004">
      <c r="A647" t="s">
        <v>48</v>
      </c>
      <c r="B647" t="s">
        <v>1692</v>
      </c>
      <c r="C647" t="s">
        <v>2194</v>
      </c>
      <c r="D647" t="s">
        <v>1657</v>
      </c>
      <c r="E647" t="s">
        <v>23</v>
      </c>
      <c r="F647" t="str">
        <f t="shared" si="10"/>
        <v>"C:\Program Files\VideoLAN\VLC\vlc.exe" "http://edge-bauerabsolute-05-gos2.sharp-stream.com/absolute00s.mp3?aw_0_1st.skey=1666797542&amp;aw_0_1st.playerid=BMUK_RPi"</v>
      </c>
      <c r="M647" t="str">
        <f>VLOOKUP(A647,logos!$A$2:$A$10004,1,FALSE)</f>
        <v>Absolute Radio 00s</v>
      </c>
    </row>
    <row r="648" spans="1:13" hidden="1" x14ac:dyDescent="0.55000000000000004">
      <c r="A648" t="s">
        <v>50</v>
      </c>
      <c r="B648" t="s">
        <v>1692</v>
      </c>
      <c r="C648" t="s">
        <v>2195</v>
      </c>
      <c r="D648" t="s">
        <v>1657</v>
      </c>
      <c r="E648" t="s">
        <v>23</v>
      </c>
      <c r="F648" t="str">
        <f t="shared" si="10"/>
        <v>"C:\Program Files\VideoLAN\VLC\vlc.exe" "http://edge-bauerabsolute-05-gos2.sharp-stream.com/absolute10s.mp3?aw_0_1st.skey=1666797542&amp;aw_0_1st.playerid=BMUK_RPi"</v>
      </c>
      <c r="M648" t="str">
        <f>VLOOKUP(A648,logos!$A$2:$A$10004,1,FALSE)</f>
        <v>Absolute Radio 10s</v>
      </c>
    </row>
    <row r="649" spans="1:13" hidden="1" x14ac:dyDescent="0.55000000000000004">
      <c r="A649" t="s">
        <v>40</v>
      </c>
      <c r="B649" t="s">
        <v>1692</v>
      </c>
      <c r="C649" t="s">
        <v>2190</v>
      </c>
      <c r="D649" t="s">
        <v>1657</v>
      </c>
      <c r="E649" t="s">
        <v>23</v>
      </c>
      <c r="F649" t="str">
        <f t="shared" si="10"/>
        <v>"C:\Program Files\VideoLAN\VLC\vlc.exe" "http://edge-bauerabsolute-05-gos2.sharp-stream.com/absolute60s.mp3?aw_0_1st.skey=1666797541&amp;aw_0_1st.playerid=BMUK_RPi"</v>
      </c>
      <c r="M649" t="str">
        <f>VLOOKUP(A649,logos!$A$2:$A$10004,1,FALSE)</f>
        <v>Absolute Radio 60s</v>
      </c>
    </row>
    <row r="650" spans="1:13" hidden="1" x14ac:dyDescent="0.55000000000000004">
      <c r="A650" t="s">
        <v>42</v>
      </c>
      <c r="B650" t="s">
        <v>1692</v>
      </c>
      <c r="C650" t="s">
        <v>2191</v>
      </c>
      <c r="D650" t="s">
        <v>1657</v>
      </c>
      <c r="E650" t="s">
        <v>23</v>
      </c>
      <c r="F650" t="str">
        <f t="shared" si="10"/>
        <v>"C:\Program Files\VideoLAN\VLC\vlc.exe" "http://edge-bauerabsolute-05-gos2.sharp-stream.com/absolute70s.mp3?aw_0_1st.skey=1666797542&amp;aw_0_1st.playerid=BMUK_RPi"</v>
      </c>
      <c r="M650" t="str">
        <f>VLOOKUP(A650,logos!$A$2:$A$10004,1,FALSE)</f>
        <v>Absolute Radio 70s</v>
      </c>
    </row>
    <row r="651" spans="1:13" hidden="1" x14ac:dyDescent="0.55000000000000004">
      <c r="A651" t="s">
        <v>4811</v>
      </c>
      <c r="B651" t="s">
        <v>1692</v>
      </c>
      <c r="C651" t="s">
        <v>2192</v>
      </c>
      <c r="D651" t="s">
        <v>1657</v>
      </c>
      <c r="E651" t="s">
        <v>23</v>
      </c>
      <c r="F651" t="str">
        <f t="shared" si="10"/>
        <v>"C:\Program Files\VideoLAN\VLC\vlc.exe" "http://edge-bauerabsolute-05-gos2.sharp-stream.com/absolute80s.mp3?aw_0_1st.skey=1666797542&amp;aw_0_1st.playerid=BMUK_RPi"</v>
      </c>
      <c r="M651" t="str">
        <f>VLOOKUP(A651,logos!$A$2:$A$10004,1,FALSE)</f>
        <v>Absolute Radio 80s</v>
      </c>
    </row>
    <row r="652" spans="1:13" hidden="1" x14ac:dyDescent="0.55000000000000004">
      <c r="A652" t="s">
        <v>46</v>
      </c>
      <c r="B652" t="s">
        <v>1692</v>
      </c>
      <c r="C652" t="s">
        <v>2193</v>
      </c>
      <c r="D652" t="s">
        <v>1657</v>
      </c>
      <c r="E652" t="s">
        <v>23</v>
      </c>
      <c r="F652" t="str">
        <f t="shared" si="10"/>
        <v>"C:\Program Files\VideoLAN\VLC\vlc.exe" "http://edge-bauerabsolute-05-gos2.sharp-stream.com/absolute90s.mp3?aw_0_1st.skey=1666797542&amp;aw_0_1st.playerid=BMUK_RPi"</v>
      </c>
      <c r="M652" t="str">
        <f>VLOOKUP(A652,logos!$A$2:$A$10004,1,FALSE)</f>
        <v>Absolute Radio 90s</v>
      </c>
    </row>
    <row r="653" spans="1:13" hidden="1" x14ac:dyDescent="0.55000000000000004">
      <c r="A653" t="s">
        <v>52</v>
      </c>
      <c r="B653" t="s">
        <v>1692</v>
      </c>
      <c r="C653" t="s">
        <v>2196</v>
      </c>
      <c r="D653" t="s">
        <v>1657</v>
      </c>
      <c r="E653" t="s">
        <v>23</v>
      </c>
      <c r="F653" t="str">
        <f t="shared" si="10"/>
        <v>"C:\Program Files\VideoLAN\VLC\vlc.exe" "http://edge-bauerall-01-gos2.sharp-stream.com/countryhits.mp3?aw_0_1st.skey=1666797543"</v>
      </c>
      <c r="M653" t="str">
        <f>VLOOKUP(A653,logos!$A$2:$A$10004,1,FALSE)</f>
        <v>Absolute Radio Country</v>
      </c>
    </row>
    <row r="654" spans="1:13" hidden="1" x14ac:dyDescent="0.55000000000000004">
      <c r="A654" t="s">
        <v>2863</v>
      </c>
      <c r="B654" t="s">
        <v>1692</v>
      </c>
      <c r="C654" t="s">
        <v>246</v>
      </c>
      <c r="D654" t="s">
        <v>1657</v>
      </c>
      <c r="E654" t="s">
        <v>23</v>
      </c>
      <c r="F654" t="str">
        <f t="shared" si="10"/>
        <v>"C:\Program Files\VideoLAN\VLC\vlc.exe" "http://stream.audiospace.co:80/bridgefm"</v>
      </c>
      <c r="M654" t="e">
        <f>VLOOKUP(A654,logos!$A$2:$A$10004,1,FALSE)</f>
        <v>#N/A</v>
      </c>
    </row>
    <row r="655" spans="1:13" hidden="1" x14ac:dyDescent="0.55000000000000004">
      <c r="A655" t="s">
        <v>2651</v>
      </c>
      <c r="B655" t="s">
        <v>1692</v>
      </c>
      <c r="C655" t="s">
        <v>2204</v>
      </c>
      <c r="D655" t="s">
        <v>1657</v>
      </c>
      <c r="E655" t="s">
        <v>23</v>
      </c>
      <c r="F655" t="str">
        <f t="shared" si="10"/>
        <v>"C:\Program Files\VideoLAN\VLC\vlc.exe" "http://edge-bauerall-01-gos2.sharp-stream.com/cfm.mp3?aw_0_1st.skey=1666797565"</v>
      </c>
      <c r="M655" t="str">
        <f>VLOOKUP(A655,logos!$A$2:$A$10004,1,FALSE)</f>
        <v>CFM (East)</v>
      </c>
    </row>
    <row r="656" spans="1:13" hidden="1" x14ac:dyDescent="0.55000000000000004">
      <c r="A656" t="s">
        <v>347</v>
      </c>
      <c r="B656" t="s">
        <v>1692</v>
      </c>
      <c r="C656" t="s">
        <v>2207</v>
      </c>
      <c r="D656" t="s">
        <v>1657</v>
      </c>
      <c r="E656" t="s">
        <v>23</v>
      </c>
      <c r="F656" t="str">
        <f t="shared" si="10"/>
        <v>"C:\Program Files\VideoLAN\VLC\vlc.exe" "http://edge-bauerall-01-gos2.sharp-stream.com/clyde1.mp3?aw_0_1st.skey=1666797566"</v>
      </c>
      <c r="M656" t="str">
        <f>VLOOKUP(A656,logos!$A$2:$A$10004,1,FALSE)</f>
        <v>Clyde 1</v>
      </c>
    </row>
    <row r="657" spans="1:13" hidden="1" x14ac:dyDescent="0.55000000000000004">
      <c r="A657" t="s">
        <v>349</v>
      </c>
      <c r="B657" t="s">
        <v>1692</v>
      </c>
      <c r="C657" t="s">
        <v>2208</v>
      </c>
      <c r="D657" t="s">
        <v>1657</v>
      </c>
      <c r="E657" t="s">
        <v>23</v>
      </c>
      <c r="F657" t="str">
        <f t="shared" si="10"/>
        <v>"C:\Program Files\VideoLAN\VLC\vlc.exe" "http://edge-bauerall-01-gos2.sharp-stream.com/clyde2.mp3?aw_0_1st.skey=1666797566"</v>
      </c>
      <c r="M657" t="str">
        <f>VLOOKUP(A657,logos!$A$2:$A$10004,1,FALSE)</f>
        <v>Clyde 2</v>
      </c>
    </row>
    <row r="658" spans="1:13" hidden="1" x14ac:dyDescent="0.55000000000000004">
      <c r="A658" t="s">
        <v>355</v>
      </c>
      <c r="B658" t="s">
        <v>1692</v>
      </c>
      <c r="C658" t="s">
        <v>2209</v>
      </c>
      <c r="D658" t="s">
        <v>1657</v>
      </c>
      <c r="E658" t="s">
        <v>23</v>
      </c>
      <c r="F658" t="str">
        <f t="shared" si="10"/>
        <v>"C:\Program Files\VideoLAN\VLC\vlc.exe" "http://edge-bauerall-01-gos2.sharp-stream.com/coolfm.mp3?aw_0_1st.skey=1666797567"</v>
      </c>
      <c r="M658" t="str">
        <f>VLOOKUP(A658,logos!$A$2:$A$10004,1,FALSE)</f>
        <v>Cool FM</v>
      </c>
    </row>
    <row r="659" spans="1:13" hidden="1" x14ac:dyDescent="0.55000000000000004">
      <c r="A659" t="s">
        <v>377</v>
      </c>
      <c r="B659" t="s">
        <v>1692</v>
      </c>
      <c r="C659" t="s">
        <v>2212</v>
      </c>
      <c r="D659" t="s">
        <v>1657</v>
      </c>
      <c r="E659" t="s">
        <v>23</v>
      </c>
      <c r="F659" t="str">
        <f t="shared" si="10"/>
        <v>"C:\Program Files\VideoLAN\VLC\vlc.exe" "http://edge-bauerall-01-gos2.sharp-stream.com/downtowncountry.mp3?aw_0_1st.skey=1666797569"</v>
      </c>
      <c r="M659" t="str">
        <f>VLOOKUP(A659,logos!$A$2:$A$10004,1,FALSE)</f>
        <v>Downtown Country</v>
      </c>
    </row>
    <row r="660" spans="1:13" hidden="1" x14ac:dyDescent="0.55000000000000004">
      <c r="A660" t="s">
        <v>379</v>
      </c>
      <c r="B660" t="s">
        <v>1692</v>
      </c>
      <c r="C660" t="s">
        <v>2213</v>
      </c>
      <c r="D660" t="s">
        <v>1657</v>
      </c>
      <c r="E660" t="s">
        <v>23</v>
      </c>
      <c r="F660" t="str">
        <f t="shared" si="10"/>
        <v>"C:\Program Files\VideoLAN\VLC\vlc.exe" "http://edge-bauerall-01-gos2.sharp-stream.com/downtown.mp3?aw_0_1st.skey=1666797569"</v>
      </c>
      <c r="M660" t="str">
        <f>VLOOKUP(A660,logos!$A$2:$A$10004,1,FALSE)</f>
        <v>Downtown Radio</v>
      </c>
    </row>
    <row r="661" spans="1:13" hidden="1" x14ac:dyDescent="0.55000000000000004">
      <c r="A661" t="s">
        <v>414</v>
      </c>
      <c r="B661" t="s">
        <v>1692</v>
      </c>
      <c r="C661" t="s">
        <v>4837</v>
      </c>
      <c r="D661" t="s">
        <v>1657</v>
      </c>
      <c r="E661" t="s">
        <v>23</v>
      </c>
      <c r="F661" t="str">
        <f t="shared" si="10"/>
        <v>"C:\Program Files\VideoLAN\VLC\vlc.exe" "http://edge-bauerall-01-gos2.sharp-stream.com/forth1.mp3"</v>
      </c>
      <c r="M661" t="str">
        <f>VLOOKUP(A661,logos!$A$2:$A$10004,1,FALSE)</f>
        <v>Forth 1</v>
      </c>
    </row>
    <row r="662" spans="1:13" hidden="1" x14ac:dyDescent="0.55000000000000004">
      <c r="A662" t="s">
        <v>416</v>
      </c>
      <c r="B662" t="s">
        <v>1692</v>
      </c>
      <c r="C662" t="s">
        <v>4838</v>
      </c>
      <c r="D662" t="s">
        <v>1657</v>
      </c>
      <c r="E662" t="s">
        <v>23</v>
      </c>
      <c r="F662" t="str">
        <f t="shared" si="10"/>
        <v>"C:\Program Files\VideoLAN\VLC\vlc.exe" "http://edge-bauerall-01-gos2.sharp-stream.com/forth2.mp3"</v>
      </c>
      <c r="M662" t="str">
        <f>VLOOKUP(A662,logos!$A$2:$A$10004,1,FALSE)</f>
        <v>Forth 2</v>
      </c>
    </row>
    <row r="663" spans="1:13" hidden="1" x14ac:dyDescent="0.55000000000000004">
      <c r="A663" t="s">
        <v>1576</v>
      </c>
      <c r="B663" t="s">
        <v>1692</v>
      </c>
      <c r="C663" t="s">
        <v>2217</v>
      </c>
      <c r="D663" t="s">
        <v>1657</v>
      </c>
      <c r="E663" t="s">
        <v>23</v>
      </c>
      <c r="F663" t="str">
        <f t="shared" si="10"/>
        <v>"C:\Program Files\VideoLAN\VLC\vlc.exe" "http://edge-bauerall-01-gos2.sharp-stream.com/freebirmingham.mp3?aw_0_1st.skey=1666797573"</v>
      </c>
      <c r="M663" t="str">
        <f>VLOOKUP(A663,logos!$A$2:$A$10004,1,FALSE)</f>
        <v>Free Radio (Birmingham)</v>
      </c>
    </row>
    <row r="664" spans="1:13" hidden="1" x14ac:dyDescent="0.55000000000000004">
      <c r="A664" t="s">
        <v>1577</v>
      </c>
      <c r="B664" t="s">
        <v>1692</v>
      </c>
      <c r="C664" t="s">
        <v>2218</v>
      </c>
      <c r="D664" t="s">
        <v>1657</v>
      </c>
      <c r="E664" t="s">
        <v>23</v>
      </c>
      <c r="F664" t="str">
        <f t="shared" si="10"/>
        <v>"C:\Program Files\VideoLAN\VLC\vlc.exe" "http://edge-bauerall-01-gos2.sharp-stream.com/freeblackcountry.mp3?aw_0_1st.skey=1666797573"</v>
      </c>
      <c r="M664" t="str">
        <f>VLOOKUP(A664,logos!$A$2:$A$10004,1,FALSE)</f>
        <v>Free Radio (Black Country)</v>
      </c>
    </row>
    <row r="665" spans="1:13" hidden="1" x14ac:dyDescent="0.55000000000000004">
      <c r="A665" t="s">
        <v>1578</v>
      </c>
      <c r="B665" t="s">
        <v>1692</v>
      </c>
      <c r="C665" t="s">
        <v>2219</v>
      </c>
      <c r="D665" t="s">
        <v>1657</v>
      </c>
      <c r="E665" t="s">
        <v>23</v>
      </c>
      <c r="F665" t="str">
        <f t="shared" si="10"/>
        <v>"C:\Program Files\VideoLAN\VLC\vlc.exe" "http://edge-bauerall-01-gos2.sharp-stream.com/freecoventry.mp3?aw_0_1st.skey=1666797573"</v>
      </c>
      <c r="M665" t="str">
        <f>VLOOKUP(A665,logos!$A$2:$A$10004,1,FALSE)</f>
        <v>Free Radio (Coventry &amp; Warwickshire)</v>
      </c>
    </row>
    <row r="666" spans="1:13" hidden="1" x14ac:dyDescent="0.55000000000000004">
      <c r="A666" t="s">
        <v>2661</v>
      </c>
      <c r="B666" t="s">
        <v>1692</v>
      </c>
      <c r="C666" t="s">
        <v>2220</v>
      </c>
      <c r="D666" t="s">
        <v>1657</v>
      </c>
      <c r="E666" t="s">
        <v>23</v>
      </c>
      <c r="F666" t="str">
        <f t="shared" si="10"/>
        <v>"C:\Program Files\VideoLAN\VLC\vlc.exe" "http://edge-bauerall-01-gos2.sharp-stream.com/freehereford.mp3?aw_0_1st.skey=1666797573"</v>
      </c>
      <c r="M666" t="e">
        <f>VLOOKUP(A666,logos!$A$2:$A$10004,1,FALSE)</f>
        <v>#N/A</v>
      </c>
    </row>
    <row r="667" spans="1:13" hidden="1" x14ac:dyDescent="0.55000000000000004">
      <c r="A667" t="s">
        <v>1580</v>
      </c>
      <c r="B667" t="s">
        <v>1692</v>
      </c>
      <c r="C667" t="s">
        <v>2221</v>
      </c>
      <c r="D667" t="s">
        <v>1657</v>
      </c>
      <c r="E667" t="s">
        <v>23</v>
      </c>
      <c r="F667" t="str">
        <f t="shared" si="10"/>
        <v>"C:\Program Files\VideoLAN\VLC\vlc.exe" "http://edge-bauerall-01-gos2.sharp-stream.com/freeshropshire.mp3?aw_0_1st.skey=1666797573"</v>
      </c>
      <c r="M667" t="str">
        <f>VLOOKUP(A667,logos!$A$2:$A$10004,1,FALSE)</f>
        <v>Free Radio (Shropshire)</v>
      </c>
    </row>
    <row r="668" spans="1:13" hidden="1" x14ac:dyDescent="0.55000000000000004">
      <c r="A668" t="s">
        <v>451</v>
      </c>
      <c r="B668" t="s">
        <v>1692</v>
      </c>
      <c r="C668" t="s">
        <v>2224</v>
      </c>
      <c r="D668" t="s">
        <v>1657</v>
      </c>
      <c r="E668" t="s">
        <v>23</v>
      </c>
      <c r="F668" t="str">
        <f t="shared" si="10"/>
        <v>"C:\Program Files\VideoLAN\VLC\vlc.exe" "http://edge-bauerall-01-gos2.sharp-stream.com/gem106.mp3?aw_0_1st.skey=1666797575"</v>
      </c>
      <c r="M668" t="str">
        <f>VLOOKUP(A668,logos!$A$2:$A$10004,1,FALSE)</f>
        <v>Gem</v>
      </c>
    </row>
    <row r="669" spans="1:13" hidden="1" x14ac:dyDescent="0.55000000000000004">
      <c r="A669" t="s">
        <v>2666</v>
      </c>
      <c r="B669" t="s">
        <v>1692</v>
      </c>
      <c r="C669" t="s">
        <v>2225</v>
      </c>
      <c r="D669" t="s">
        <v>1657</v>
      </c>
      <c r="E669" t="s">
        <v>23</v>
      </c>
      <c r="F669" t="str">
        <f t="shared" si="10"/>
        <v>"C:\Program Files\VideoLAN\VLC\vlc.exe" "http://edge-bauermz-01-gos2.sharp-stream.com/net2essex.mp3?aw_0_1st.skey=1666797577"</v>
      </c>
      <c r="M669" t="str">
        <f>VLOOKUP(A669,logos!$A$2:$A$10004,1,FALSE)</f>
        <v>Greatest Hits Radio (East) (Essex)</v>
      </c>
    </row>
    <row r="670" spans="1:13" hidden="1" x14ac:dyDescent="0.55000000000000004">
      <c r="A670" t="s">
        <v>2667</v>
      </c>
      <c r="B670" t="s">
        <v>1692</v>
      </c>
      <c r="C670" t="s">
        <v>2226</v>
      </c>
      <c r="D670" t="s">
        <v>1657</v>
      </c>
      <c r="E670" t="s">
        <v>23</v>
      </c>
      <c r="F670" t="str">
        <f t="shared" si="10"/>
        <v>"C:\Program Files\VideoLAN\VLC\vlc.exe" "http://edge-bauermz-01-gos2.sharp-stream.com/net2suffolk.mp3?aw_0_1st.skey=1666797577"</v>
      </c>
      <c r="M670" t="str">
        <f>VLOOKUP(A670,logos!$A$2:$A$10004,1,FALSE)</f>
        <v>Greatest Hits Radio (East) (Ipswich &amp; Suffolk)</v>
      </c>
    </row>
    <row r="671" spans="1:13" hidden="1" x14ac:dyDescent="0.55000000000000004">
      <c r="A671" t="s">
        <v>2668</v>
      </c>
      <c r="B671" t="s">
        <v>1692</v>
      </c>
      <c r="C671" t="s">
        <v>2227</v>
      </c>
      <c r="D671" t="s">
        <v>1657</v>
      </c>
      <c r="E671" t="s">
        <v>23</v>
      </c>
      <c r="F671" t="str">
        <f t="shared" si="10"/>
        <v>"C:\Program Files\VideoLAN\VLC\vlc.exe" "http://edge-bauermz-01-gos2.sharp-stream.com/net2norfolk.mp3?aw_0_1st.skey=1666797577"</v>
      </c>
      <c r="M671" t="str">
        <f>VLOOKUP(A671,logos!$A$2:$A$10004,1,FALSE)</f>
        <v>Greatest Hits Radio (East) (Norfolk &amp; North Suffolk)</v>
      </c>
    </row>
    <row r="672" spans="1:13" hidden="1" x14ac:dyDescent="0.55000000000000004">
      <c r="A672" t="s">
        <v>2669</v>
      </c>
      <c r="B672" t="s">
        <v>1692</v>
      </c>
      <c r="C672" t="s">
        <v>2228</v>
      </c>
      <c r="D672" t="s">
        <v>1657</v>
      </c>
      <c r="E672" t="s">
        <v>23</v>
      </c>
      <c r="F672" t="str">
        <f t="shared" si="10"/>
        <v>"C:\Program Files\VideoLAN\VLC\vlc.exe" "http://edge-bauermz-01-gos2.sharp-stream.com/net2westnorfolk.mp3?aw_0_1st.skey=1666797577"</v>
      </c>
      <c r="M672" t="str">
        <f>VLOOKUP(A672,logos!$A$2:$A$10004,1,FALSE)</f>
        <v>Greatest Hits Radio (East) (West Norfolk)</v>
      </c>
    </row>
    <row r="673" spans="1:13" hidden="1" x14ac:dyDescent="0.55000000000000004">
      <c r="A673" t="s">
        <v>1590</v>
      </c>
      <c r="B673" t="s">
        <v>1692</v>
      </c>
      <c r="C673" t="s">
        <v>2229</v>
      </c>
      <c r="D673" t="s">
        <v>1657</v>
      </c>
      <c r="E673" t="s">
        <v>23</v>
      </c>
      <c r="F673" t="str">
        <f t="shared" si="10"/>
        <v>"C:\Program Files\VideoLAN\VLC\vlc.exe" "http://edge-bauermz-01-gos2.sharp-stream.com/net2london.mp3?aw_0_1st.skey=1666797578"</v>
      </c>
      <c r="M673" t="str">
        <f>VLOOKUP(A673,logos!$A$2:$A$10004,1,FALSE)</f>
        <v>Greatest Hits Radio (London)</v>
      </c>
    </row>
    <row r="674" spans="1:13" hidden="1" x14ac:dyDescent="0.55000000000000004">
      <c r="A674" t="s">
        <v>2670</v>
      </c>
      <c r="B674" t="s">
        <v>1692</v>
      </c>
      <c r="C674" t="s">
        <v>2230</v>
      </c>
      <c r="D674" t="s">
        <v>1657</v>
      </c>
      <c r="E674" t="s">
        <v>23</v>
      </c>
      <c r="F674" t="str">
        <f t="shared" si="10"/>
        <v>"C:\Program Files\VideoLAN\VLC\vlc.exe" "http://edge-bauermz-01-gos2.sharp-stream.com/net2westmidlands.mp3?aw_0_1st.skey=1666797578"</v>
      </c>
      <c r="M674" t="str">
        <f>VLOOKUP(A674,logos!$A$2:$A$10004,1,FALSE)</f>
        <v>Greatest Hits Radio (Midlands) (Birmingham &amp; the West Midlands)</v>
      </c>
    </row>
    <row r="675" spans="1:13" hidden="1" x14ac:dyDescent="0.55000000000000004">
      <c r="A675" t="s">
        <v>2671</v>
      </c>
      <c r="B675" t="s">
        <v>1692</v>
      </c>
      <c r="C675" t="s">
        <v>2231</v>
      </c>
      <c r="D675" t="s">
        <v>1657</v>
      </c>
      <c r="E675" t="s">
        <v>23</v>
      </c>
      <c r="F675" t="str">
        <f t="shared" si="10"/>
        <v>"C:\Program Files\VideoLAN\VLC\vlc.exe" "http://edge-bauermz-01-gos2.sharp-stream.com/net2wolverhampton.mp3?aw_0_1st.skey=1666797578"</v>
      </c>
      <c r="M675" t="str">
        <f>VLOOKUP(A675,logos!$A$2:$A$10004,1,FALSE)</f>
        <v>Greatest Hits Radio (Midlands) (Black Country &amp; Shropshire) (Black Country)</v>
      </c>
    </row>
    <row r="676" spans="1:13" hidden="1" x14ac:dyDescent="0.55000000000000004">
      <c r="A676" t="s">
        <v>2672</v>
      </c>
      <c r="B676" t="s">
        <v>1692</v>
      </c>
      <c r="C676" t="s">
        <v>2232</v>
      </c>
      <c r="D676" t="s">
        <v>1657</v>
      </c>
      <c r="E676" t="s">
        <v>23</v>
      </c>
      <c r="F676" t="str">
        <f t="shared" si="10"/>
        <v>"C:\Program Files\VideoLAN\VLC\vlc.exe" "http://edge-bauermz-01-gos2.sharp-stream.com/net2coventry.mp3?aw_0_1st.skey=1666797578"</v>
      </c>
      <c r="M676" t="str">
        <f>VLOOKUP(A676,logos!$A$2:$A$10004,1,FALSE)</f>
        <v>Greatest Hits Radio (Midlands) (Coventry &amp; Warwickshire)</v>
      </c>
    </row>
    <row r="677" spans="1:13" hidden="1" x14ac:dyDescent="0.55000000000000004">
      <c r="A677" t="s">
        <v>2673</v>
      </c>
      <c r="B677" t="s">
        <v>1692</v>
      </c>
      <c r="C677" t="s">
        <v>2233</v>
      </c>
      <c r="D677" t="s">
        <v>1657</v>
      </c>
      <c r="E677" t="s">
        <v>23</v>
      </c>
      <c r="F677" t="str">
        <f t="shared" si="10"/>
        <v>"C:\Program Files\VideoLAN\VLC\vlc.exe" "http://edge-bauermz-01-gos2.sharp-stream.com/net2eastmidlands.mp3?aw_0_1st.skey=1666797578"</v>
      </c>
      <c r="M677" t="str">
        <f>VLOOKUP(A677,logos!$A$2:$A$10004,1,FALSE)</f>
        <v>Greatest Hits Radio (Midlands) (East Midlands)</v>
      </c>
    </row>
    <row r="678" spans="1:13" hidden="1" x14ac:dyDescent="0.55000000000000004">
      <c r="A678" t="s">
        <v>2674</v>
      </c>
      <c r="B678" t="s">
        <v>1692</v>
      </c>
      <c r="C678" t="s">
        <v>2234</v>
      </c>
      <c r="D678" t="s">
        <v>1657</v>
      </c>
      <c r="E678" t="s">
        <v>23</v>
      </c>
      <c r="F678" t="str">
        <f t="shared" si="10"/>
        <v>"C:\Program Files\VideoLAN\VLC\vlc.exe" "http://edge-bauermz-01-gos2.sharp-stream.com/net2worcester.mp3?aw_0_1st.skey=1666797579"</v>
      </c>
      <c r="M678" t="str">
        <f>VLOOKUP(A678,logos!$A$2:$A$10004,1,FALSE)</f>
        <v>Greatest Hits Radio (Midlands) (Herefordshire &amp; Worcestershire)</v>
      </c>
    </row>
    <row r="679" spans="1:13" hidden="1" x14ac:dyDescent="0.55000000000000004">
      <c r="A679" t="s">
        <v>2675</v>
      </c>
      <c r="B679" t="s">
        <v>1692</v>
      </c>
      <c r="C679" t="s">
        <v>2235</v>
      </c>
      <c r="D679" t="s">
        <v>1657</v>
      </c>
      <c r="E679" t="s">
        <v>23</v>
      </c>
      <c r="F679" t="str">
        <f t="shared" si="10"/>
        <v>"C:\Program Files\VideoLAN\VLC\vlc.exe" "http://edge-bauermz-01-gos2.sharp-stream.com/net2derbyshire.mp3?aw_0_1st.skey=1666797579"</v>
      </c>
      <c r="M679" t="str">
        <f>VLOOKUP(A679,logos!$A$2:$A$10004,1,FALSE)</f>
        <v>Greatest Hits Radio (Midlands) (South Derbyshire)</v>
      </c>
    </row>
    <row r="680" spans="1:13" hidden="1" x14ac:dyDescent="0.55000000000000004">
      <c r="A680" t="s">
        <v>2676</v>
      </c>
      <c r="B680" t="s">
        <v>1692</v>
      </c>
      <c r="C680" t="s">
        <v>2236</v>
      </c>
      <c r="D680" t="s">
        <v>1657</v>
      </c>
      <c r="E680" t="s">
        <v>23</v>
      </c>
      <c r="F680" t="str">
        <f t="shared" si="10"/>
        <v>"C:\Program Files\VideoLAN\VLC\vlc.exe" "http://edge-bauermz-01-gos2.sharp-stream.com/net2stoke.mp3?aw_0_1st.skey=1666797579"</v>
      </c>
      <c r="M680" t="str">
        <f>VLOOKUP(A680,logos!$A$2:$A$10004,1,FALSE)</f>
        <v>Greatest Hits Radio (Midlands) (Staffordshire &amp; Cheshire)</v>
      </c>
    </row>
    <row r="681" spans="1:13" hidden="1" x14ac:dyDescent="0.55000000000000004">
      <c r="A681" t="s">
        <v>2677</v>
      </c>
      <c r="B681" t="s">
        <v>1692</v>
      </c>
      <c r="C681" t="s">
        <v>2237</v>
      </c>
      <c r="D681" t="s">
        <v>1657</v>
      </c>
      <c r="E681" t="s">
        <v>23</v>
      </c>
      <c r="F681" t="str">
        <f t="shared" si="10"/>
        <v>"C:\Program Files\VideoLAN\VLC\vlc.exe" "http://edge-bauermz-01-gos2.sharp-stream.com/net2rutland.mp3?aw_0_1st.skey=1666797579"</v>
      </c>
      <c r="M681" t="str">
        <f>VLOOKUP(A681,logos!$A$2:$A$10004,1,FALSE)</f>
        <v>Greatest Hits Radio (Midlands) (Stamford &amp; Rutland)</v>
      </c>
    </row>
    <row r="682" spans="1:13" hidden="1" x14ac:dyDescent="0.55000000000000004">
      <c r="A682" t="s">
        <v>2678</v>
      </c>
      <c r="B682" t="s">
        <v>1692</v>
      </c>
      <c r="C682" t="s">
        <v>2238</v>
      </c>
      <c r="D682" t="s">
        <v>1657</v>
      </c>
      <c r="E682" t="s">
        <v>23</v>
      </c>
      <c r="F682" t="str">
        <f t="shared" si="10"/>
        <v>"C:\Program Files\VideoLAN\VLC\vlc.exe" "http://edge-bauermz-01-gos2.sharp-stream.com/magic1170.mp3?aw_0_1st.skey=1666797579"</v>
      </c>
      <c r="M682" t="str">
        <f>VLOOKUP(A682,logos!$A$2:$A$10004,1,FALSE)</f>
        <v>Greatest Hits Radio (North East) (Teesside)</v>
      </c>
    </row>
    <row r="683" spans="1:13" hidden="1" x14ac:dyDescent="0.55000000000000004">
      <c r="A683" t="s">
        <v>2679</v>
      </c>
      <c r="B683" t="s">
        <v>1692</v>
      </c>
      <c r="C683" t="s">
        <v>2239</v>
      </c>
      <c r="D683" t="s">
        <v>1657</v>
      </c>
      <c r="E683" t="s">
        <v>23</v>
      </c>
      <c r="F683" t="str">
        <f t="shared" si="10"/>
        <v>"C:\Program Files\VideoLAN\VLC\vlc.exe" "http://edge-bauermz-01-gos2.sharp-stream.com/magic1152n.mp3?aw_0_1st.skey=1666797579"</v>
      </c>
      <c r="M683" t="str">
        <f>VLOOKUP(A683,logos!$A$2:$A$10004,1,FALSE)</f>
        <v>Greatest Hits Radio (North East) (Tyne &amp; Wear)</v>
      </c>
    </row>
    <row r="684" spans="1:13" hidden="1" x14ac:dyDescent="0.55000000000000004">
      <c r="A684" t="s">
        <v>2680</v>
      </c>
      <c r="B684" t="s">
        <v>1692</v>
      </c>
      <c r="C684" t="s">
        <v>2240</v>
      </c>
      <c r="D684" t="s">
        <v>1657</v>
      </c>
      <c r="E684" t="s">
        <v>23</v>
      </c>
      <c r="F684" t="str">
        <f t="shared" si="10"/>
        <v>"C:\Program Files\VideoLAN\VLC\vlc.exe" "http://edge-bauermz-01-gos2.sharp-stream.com/net2cumbria.mp3?aw_0_1st.skey=1666797580"</v>
      </c>
      <c r="M684" t="str">
        <f>VLOOKUP(A684,logos!$A$2:$A$10004,1,FALSE)</f>
        <v>Greatest Hits Radio (North West) (Cumbria)</v>
      </c>
    </row>
    <row r="685" spans="1:13" hidden="1" x14ac:dyDescent="0.55000000000000004">
      <c r="A685" t="s">
        <v>2681</v>
      </c>
      <c r="B685" t="s">
        <v>1692</v>
      </c>
      <c r="C685" t="s">
        <v>2241</v>
      </c>
      <c r="D685" t="s">
        <v>1657</v>
      </c>
      <c r="E685" t="s">
        <v>23</v>
      </c>
      <c r="F685" t="str">
        <f t="shared" si="10"/>
        <v>"C:\Program Files\VideoLAN\VLC\vlc.exe" "http://edge-bauermz-01-gos2.sharp-stream.com/magic999.mp3?aw_0_1st.skey=1666797580"</v>
      </c>
      <c r="M685" t="str">
        <f>VLOOKUP(A685,logos!$A$2:$A$10004,1,FALSE)</f>
        <v>Greatest Hits Radio (North West) (Lancashire) (DAB)</v>
      </c>
    </row>
    <row r="686" spans="1:13" hidden="1" x14ac:dyDescent="0.55000000000000004">
      <c r="A686" t="s">
        <v>2682</v>
      </c>
      <c r="B686" t="s">
        <v>1692</v>
      </c>
      <c r="C686" t="s">
        <v>2242</v>
      </c>
      <c r="D686" t="s">
        <v>1657</v>
      </c>
      <c r="E686" t="s">
        <v>23</v>
      </c>
      <c r="F686" t="str">
        <f t="shared" si="10"/>
        <v>"C:\Program Files\VideoLAN\VLC\vlc.exe" "http://edge-bauermz-01-gos2.sharp-stream.com/magic1548.mp3?aw_0_1st.skey=1666797580"</v>
      </c>
      <c r="M686" t="str">
        <f>VLOOKUP(A686,logos!$A$2:$A$10004,1,FALSE)</f>
        <v>Greatest Hits Radio (North West) (Liverpool &amp; the North West) (Liverpool)</v>
      </c>
    </row>
    <row r="687" spans="1:13" hidden="1" x14ac:dyDescent="0.55000000000000004">
      <c r="A687" t="s">
        <v>2683</v>
      </c>
      <c r="B687" t="s">
        <v>1692</v>
      </c>
      <c r="C687" t="s">
        <v>2243</v>
      </c>
      <c r="D687" t="s">
        <v>1657</v>
      </c>
      <c r="E687" t="s">
        <v>23</v>
      </c>
      <c r="F687" t="str">
        <f t="shared" si="10"/>
        <v>"C:\Program Files\VideoLAN\VLC\vlc.exe" "http://edge-bauermz-01-gos2.sharp-stream.com/magic1152m.mp3?aw_0_1st.skey=1666797580"</v>
      </c>
      <c r="M687" t="str">
        <f>VLOOKUP(A687,logos!$A$2:$A$10004,1,FALSE)</f>
        <v>Greatest Hits Radio (North West) (Manchester &amp; the North West) (DAB &amp; Oldham)</v>
      </c>
    </row>
    <row r="688" spans="1:13" hidden="1" x14ac:dyDescent="0.55000000000000004">
      <c r="A688" t="s">
        <v>2684</v>
      </c>
      <c r="B688" t="s">
        <v>1692</v>
      </c>
      <c r="C688" t="s">
        <v>2244</v>
      </c>
      <c r="D688" t="s">
        <v>1657</v>
      </c>
      <c r="E688" t="s">
        <v>23</v>
      </c>
      <c r="F688" t="str">
        <f t="shared" si="10"/>
        <v>"C:\Program Files\VideoLAN\VLC\vlc.exe" "http://edge-bauermz-01-gos2.sharp-stream.com/net2stockport.mp3?aw_0_1st.skey=1666797581"</v>
      </c>
      <c r="M688" t="str">
        <f>VLOOKUP(A688,logos!$A$2:$A$10004,1,FALSE)</f>
        <v>Greatest Hits Radio (North West) (South Manchester)</v>
      </c>
    </row>
    <row r="689" spans="1:13" hidden="1" x14ac:dyDescent="0.55000000000000004">
      <c r="A689" t="s">
        <v>2685</v>
      </c>
      <c r="B689" t="s">
        <v>1692</v>
      </c>
      <c r="C689" t="s">
        <v>2245</v>
      </c>
      <c r="D689" t="s">
        <v>1657</v>
      </c>
      <c r="E689" t="s">
        <v>23</v>
      </c>
      <c r="F689" t="str">
        <f t="shared" si="10"/>
        <v>"C:\Program Files\VideoLAN\VLC\vlc.exe" "http://edge-bauermz-01-gos2.sharp-stream.com/net2wigan.mp3?aw_0_1st.skey=1666797581"</v>
      </c>
      <c r="M689" t="str">
        <f>VLOOKUP(A689,logos!$A$2:$A$10004,1,FALSE)</f>
        <v>Greatest Hits Radio (North West) (Wigan &amp; St Helens)</v>
      </c>
    </row>
    <row r="690" spans="1:13" hidden="1" x14ac:dyDescent="0.55000000000000004">
      <c r="A690" t="s">
        <v>1592</v>
      </c>
      <c r="B690" t="s">
        <v>1692</v>
      </c>
      <c r="C690" t="s">
        <v>2254</v>
      </c>
      <c r="D690" t="s">
        <v>1657</v>
      </c>
      <c r="E690" t="s">
        <v>23</v>
      </c>
      <c r="F690" t="str">
        <f t="shared" si="10"/>
        <v>"C:\Program Files\VideoLAN\VLC\vlc.exe" "http://edge-bauermz-01-gos2.sharp-stream.com/net2southwales.mp3?aw_0_1st.skey=1666797583"</v>
      </c>
      <c r="M690" t="str">
        <f>VLOOKUP(A690,logos!$A$2:$A$10004,1,FALSE)</f>
        <v>Greatest Hits Radio (South Wales)</v>
      </c>
    </row>
    <row r="691" spans="1:13" hidden="1" x14ac:dyDescent="0.55000000000000004">
      <c r="A691" t="s">
        <v>2694</v>
      </c>
      <c r="B691" t="s">
        <v>1692</v>
      </c>
      <c r="C691" t="s">
        <v>2255</v>
      </c>
      <c r="D691" t="s">
        <v>1657</v>
      </c>
      <c r="E691" t="s">
        <v>23</v>
      </c>
      <c r="F691" t="str">
        <f t="shared" si="10"/>
        <v>"C:\Program Files\VideoLAN\VLC\vlc.exe" "http://edge-bauermz-01-gos2.sharp-stream.com/net2bath.mp3?aw_0_1st.skey=1666797583"</v>
      </c>
      <c r="M691" t="str">
        <f>VLOOKUP(A691,logos!$A$2:$A$10004,1,FALSE)</f>
        <v>Greatest Hits Radio (South West) (Bath &amp; the South West)</v>
      </c>
    </row>
    <row r="692" spans="1:13" hidden="1" x14ac:dyDescent="0.55000000000000004">
      <c r="A692" t="s">
        <v>2695</v>
      </c>
      <c r="B692" t="s">
        <v>1692</v>
      </c>
      <c r="C692" t="s">
        <v>2256</v>
      </c>
      <c r="D692" t="s">
        <v>1657</v>
      </c>
      <c r="E692" t="s">
        <v>23</v>
      </c>
      <c r="F692" t="str">
        <f t="shared" si="10"/>
        <v>"C:\Program Files\VideoLAN\VLC\vlc.exe" "http://edge-bauermz-01-gos2.sharp-stream.com/net2bristol.mp3?aw_0_1st.skey=1666797583"</v>
      </c>
      <c r="M692" t="str">
        <f>VLOOKUP(A692,logos!$A$2:$A$10004,1,FALSE)</f>
        <v>Greatest Hits Radio (South West) (Bristol &amp; the South West)</v>
      </c>
    </row>
    <row r="693" spans="1:13" hidden="1" x14ac:dyDescent="0.55000000000000004">
      <c r="A693" t="s">
        <v>2696</v>
      </c>
      <c r="B693" t="s">
        <v>1692</v>
      </c>
      <c r="C693" t="s">
        <v>2257</v>
      </c>
      <c r="D693" t="s">
        <v>1657</v>
      </c>
      <c r="E693" t="s">
        <v>23</v>
      </c>
      <c r="F693" t="str">
        <f t="shared" si="10"/>
        <v>"C:\Program Files\VideoLAN\VLC\vlc.exe" "http://edge-bauermz-01-gos2.sharp-stream.com/net2cornwall.mp3?aw_0_1st.skey=1666797583"</v>
      </c>
      <c r="M693" t="str">
        <f>VLOOKUP(A693,logos!$A$2:$A$10004,1,FALSE)</f>
        <v>Greatest Hits Radio (South West) (Cornwall)</v>
      </c>
    </row>
    <row r="694" spans="1:13" hidden="1" x14ac:dyDescent="0.55000000000000004">
      <c r="A694" t="s">
        <v>2697</v>
      </c>
      <c r="B694" t="s">
        <v>1692</v>
      </c>
      <c r="C694" t="s">
        <v>2258</v>
      </c>
      <c r="D694" t="s">
        <v>1657</v>
      </c>
      <c r="E694" t="s">
        <v>23</v>
      </c>
      <c r="F694" t="str">
        <f t="shared" si="10"/>
        <v>"C:\Program Files\VideoLAN\VLC\vlc.exe" "http://edge-bauermz-01-gos2.sharp-stream.com/net2devon.mp3?aw_0_1st.skey=1666797583"</v>
      </c>
      <c r="M694" t="str">
        <f>VLOOKUP(A694,logos!$A$2:$A$10004,1,FALSE)</f>
        <v>Greatest Hits Radio (South West) (Devon)</v>
      </c>
    </row>
    <row r="695" spans="1:13" hidden="1" x14ac:dyDescent="0.55000000000000004">
      <c r="A695" t="s">
        <v>2698</v>
      </c>
      <c r="B695" t="s">
        <v>1692</v>
      </c>
      <c r="C695" t="s">
        <v>2259</v>
      </c>
      <c r="D695" t="s">
        <v>1657</v>
      </c>
      <c r="E695" t="s">
        <v>23</v>
      </c>
      <c r="F695" t="str">
        <f t="shared" si="10"/>
        <v>"C:\Program Files\VideoLAN\VLC\vlc.exe" "http://edge-bauermz-01-gos2.sharp-stream.com/net2gloucester.mp3?aw_0_1st.skey=1666797584"</v>
      </c>
      <c r="M695" t="str">
        <f>VLOOKUP(A695,logos!$A$2:$A$10004,1,FALSE)</f>
        <v>Greatest Hits Radio (South West) (Gloucestershire)</v>
      </c>
    </row>
    <row r="696" spans="1:13" hidden="1" x14ac:dyDescent="0.55000000000000004">
      <c r="A696" t="s">
        <v>2699</v>
      </c>
      <c r="B696" t="s">
        <v>1692</v>
      </c>
      <c r="C696" t="s">
        <v>2260</v>
      </c>
      <c r="D696" t="s">
        <v>1657</v>
      </c>
      <c r="E696" t="s">
        <v>23</v>
      </c>
      <c r="F696" t="str">
        <f t="shared" si="10"/>
        <v>"C:\Program Files\VideoLAN\VLC\vlc.exe" "http://edge-bauermz-01-gos2.sharp-stream.com/net2plymouth.mp3?aw_0_1st.skey=1666797584"</v>
      </c>
      <c r="M696" t="str">
        <f>VLOOKUP(A696,logos!$A$2:$A$10004,1,FALSE)</f>
        <v>Greatest Hits Radio (South West) (Plymouth)</v>
      </c>
    </row>
    <row r="697" spans="1:13" hidden="1" x14ac:dyDescent="0.55000000000000004">
      <c r="A697" t="s">
        <v>2700</v>
      </c>
      <c r="B697" t="s">
        <v>1692</v>
      </c>
      <c r="C697" t="s">
        <v>2261</v>
      </c>
      <c r="D697" t="s">
        <v>1657</v>
      </c>
      <c r="E697" t="s">
        <v>23</v>
      </c>
      <c r="F697" t="str">
        <f t="shared" si="10"/>
        <v>"C:\Program Files\VideoLAN\VLC\vlc.exe" "http://edge-bauermz-01-gos2.sharp-stream.com/net2somerset.mp3?aw_0_1st.skey=1666797584"</v>
      </c>
      <c r="M697" t="str">
        <f>VLOOKUP(A697,logos!$A$2:$A$10004,1,FALSE)</f>
        <v>Greatest Hits Radio (South West) (Somerset)</v>
      </c>
    </row>
    <row r="698" spans="1:13" hidden="1" x14ac:dyDescent="0.55000000000000004">
      <c r="A698" t="s">
        <v>2701</v>
      </c>
      <c r="B698" t="s">
        <v>1692</v>
      </c>
      <c r="C698" t="s">
        <v>2262</v>
      </c>
      <c r="D698" t="s">
        <v>1657</v>
      </c>
      <c r="E698" t="s">
        <v>23</v>
      </c>
      <c r="F698" t="str">
        <f t="shared" si="10"/>
        <v>"C:\Program Files\VideoLAN\VLC\vlc.exe" "http://edge-bauermz-01-gos2.sharp-stream.com/net2swindon.mp3?aw_0_1st.skey=1666797584"</v>
      </c>
      <c r="M698" t="str">
        <f>VLOOKUP(A698,logos!$A$2:$A$10004,1,FALSE)</f>
        <v>Greatest Hits Radio (South West) (Swindon)</v>
      </c>
    </row>
    <row r="699" spans="1:13" hidden="1" x14ac:dyDescent="0.55000000000000004">
      <c r="A699" t="s">
        <v>2686</v>
      </c>
      <c r="B699" t="s">
        <v>1692</v>
      </c>
      <c r="C699" t="s">
        <v>2246</v>
      </c>
      <c r="D699" t="s">
        <v>1657</v>
      </c>
      <c r="E699" t="s">
        <v>23</v>
      </c>
      <c r="F699" t="str">
        <f t="shared" si="10"/>
        <v>"C:\Program Files\VideoLAN\VLC\vlc.exe" "http://edge-bauermz-01-gos2.sharp-stream.com/net2berkshire.mp3?aw_0_1st.skey=1666797581"</v>
      </c>
      <c r="M699" t="str">
        <f>VLOOKUP(A699,logos!$A$2:$A$10004,1,FALSE)</f>
        <v>Greatest Hits Radio (South) (Berkshire &amp; North Hampshire)</v>
      </c>
    </row>
    <row r="700" spans="1:13" hidden="1" x14ac:dyDescent="0.55000000000000004">
      <c r="A700" t="s">
        <v>2687</v>
      </c>
      <c r="B700" t="s">
        <v>1692</v>
      </c>
      <c r="C700" t="s">
        <v>2247</v>
      </c>
      <c r="D700" t="s">
        <v>1657</v>
      </c>
      <c r="E700" t="s">
        <v>23</v>
      </c>
      <c r="F700" t="str">
        <f t="shared" si="10"/>
        <v>"C:\Program Files\VideoLAN\VLC\vlc.exe" "http://edge-bauermz-01-gos2.sharp-stream.com/net2bournemouth.mp3?aw_0_1st.skey=1666797581"</v>
      </c>
      <c r="M700" t="str">
        <f>VLOOKUP(A700,logos!$A$2:$A$10004,1,FALSE)</f>
        <v>Greatest Hits Radio (South) (Bournemouth &amp; Poole)</v>
      </c>
    </row>
    <row r="701" spans="1:13" hidden="1" x14ac:dyDescent="0.55000000000000004">
      <c r="A701" t="s">
        <v>2688</v>
      </c>
      <c r="B701" t="s">
        <v>1692</v>
      </c>
      <c r="C701" t="s">
        <v>2248</v>
      </c>
      <c r="D701" t="s">
        <v>1657</v>
      </c>
      <c r="E701" t="s">
        <v>23</v>
      </c>
      <c r="F701" t="str">
        <f t="shared" si="10"/>
        <v>"C:\Program Files\VideoLAN\VLC\vlc.exe" "http://edge-bauermz-01-gos2.sharp-stream.com/net2aylesbury.mp3?aw_0_1st.skey=1666797581"</v>
      </c>
      <c r="M701" t="str">
        <f>VLOOKUP(A701,logos!$A$2:$A$10004,1,FALSE)</f>
        <v>Greatest Hits Radio (South) (Bucks, Beds &amp; Herts)</v>
      </c>
    </row>
    <row r="702" spans="1:13" hidden="1" x14ac:dyDescent="0.55000000000000004">
      <c r="A702" t="s">
        <v>2689</v>
      </c>
      <c r="B702" t="s">
        <v>1692</v>
      </c>
      <c r="C702" t="s">
        <v>2249</v>
      </c>
      <c r="D702" t="s">
        <v>1657</v>
      </c>
      <c r="E702" t="s">
        <v>23</v>
      </c>
      <c r="F702" t="str">
        <f t="shared" si="10"/>
        <v>"C:\Program Files\VideoLAN\VLC\vlc.exe" "http://edge-bauermz-01-gos2.sharp-stream.com/net2dorset.mp3?aw_0_1st.skey=1666797582"</v>
      </c>
      <c r="M702" t="str">
        <f>VLOOKUP(A702,logos!$A$2:$A$10004,1,FALSE)</f>
        <v>Greatest Hits Radio (South) (North &amp; West Dorset) (East)</v>
      </c>
    </row>
    <row r="703" spans="1:13" hidden="1" x14ac:dyDescent="0.55000000000000004">
      <c r="A703" t="s">
        <v>2690</v>
      </c>
      <c r="B703" t="s">
        <v>1692</v>
      </c>
      <c r="C703" t="s">
        <v>2250</v>
      </c>
      <c r="D703" t="s">
        <v>1657</v>
      </c>
      <c r="E703" t="s">
        <v>23</v>
      </c>
      <c r="F703" t="str">
        <f t="shared" si="10"/>
        <v>"C:\Program Files\VideoLAN\VLC\vlc.exe" "http://edge-bauermz-01-gos2.sharp-stream.com/net2salisbury.mp3?aw_0_1st.skey=1666797582"</v>
      </c>
      <c r="M703" t="str">
        <f>VLOOKUP(A703,logos!$A$2:$A$10004,1,FALSE)</f>
        <v>Greatest Hits Radio (South) (Salisbury)</v>
      </c>
    </row>
    <row r="704" spans="1:13" hidden="1" x14ac:dyDescent="0.55000000000000004">
      <c r="A704" t="s">
        <v>2691</v>
      </c>
      <c r="B704" t="s">
        <v>1692</v>
      </c>
      <c r="C704" t="s">
        <v>2251</v>
      </c>
      <c r="D704" t="s">
        <v>1657</v>
      </c>
      <c r="E704" t="s">
        <v>23</v>
      </c>
      <c r="F704" t="str">
        <f t="shared" si="10"/>
        <v>"C:\Program Files\VideoLAN\VLC\vlc.exe" "http://edge-bauermz-01-gos2.sharp-stream.com/net2southcoast.mp3?aw_0_1st.skey=1666797582"</v>
      </c>
      <c r="M704" t="str">
        <f>VLOOKUP(A704,logos!$A$2:$A$10004,1,FALSE)</f>
        <v>Greatest Hits Radio (South) (South Hampshire &amp; Isle of Wight)</v>
      </c>
    </row>
    <row r="705" spans="1:13" hidden="1" x14ac:dyDescent="0.55000000000000004">
      <c r="A705" t="s">
        <v>2692</v>
      </c>
      <c r="B705" t="s">
        <v>1692</v>
      </c>
      <c r="C705" t="s">
        <v>2252</v>
      </c>
      <c r="D705" t="s">
        <v>1657</v>
      </c>
      <c r="E705" t="s">
        <v>23</v>
      </c>
      <c r="F705" t="str">
        <f t="shared" si="10"/>
        <v>"C:\Program Files\VideoLAN\VLC\vlc.exe" "http://edge-bauermz-01-gos2.sharp-stream.com/net2surrey.mp3?aw_0_1st.skey=1666797582"</v>
      </c>
      <c r="M705" t="str">
        <f>VLOOKUP(A705,logos!$A$2:$A$10004,1,FALSE)</f>
        <v>Greatest Hits Radio (South) (Surrey &amp; East Hampshire)</v>
      </c>
    </row>
    <row r="706" spans="1:13" hidden="1" x14ac:dyDescent="0.55000000000000004">
      <c r="A706" t="s">
        <v>2693</v>
      </c>
      <c r="B706" t="s">
        <v>1692</v>
      </c>
      <c r="C706" t="s">
        <v>2253</v>
      </c>
      <c r="D706" t="s">
        <v>1657</v>
      </c>
      <c r="E706" t="s">
        <v>23</v>
      </c>
      <c r="F706" t="str">
        <f t="shared" si="10"/>
        <v>"C:\Program Files\VideoLAN\VLC\vlc.exe" "http://edge-bauermz-01-gos2.sharp-stream.com/net2sussex.mp3?aw_0_1st.skey=1666797582&amp;aw_0_1st.playerid=BMUK_RPi"</v>
      </c>
      <c r="M706" t="str">
        <f>VLOOKUP(A706,logos!$A$2:$A$10004,1,FALSE)</f>
        <v>Greatest Hits Radio (South) (West Sussex) (South)</v>
      </c>
    </row>
    <row r="707" spans="1:13" hidden="1" x14ac:dyDescent="0.55000000000000004">
      <c r="A707" t="s">
        <v>2702</v>
      </c>
      <c r="B707" t="s">
        <v>1692</v>
      </c>
      <c r="C707" t="s">
        <v>2263</v>
      </c>
      <c r="D707" t="s">
        <v>1657</v>
      </c>
      <c r="E707" t="s">
        <v>23</v>
      </c>
      <c r="F707" t="str">
        <f t="shared" ref="F707:F770" si="11">"""C:\Program Files\VideoLAN\VLC\vlc.exe"" """&amp;C707&amp;""""</f>
        <v>"C:\Program Files\VideoLAN\VLC\vlc.exe" "http://edge-bauermz-01-gos2.sharp-stream.com/net2national.mp3?aw_0_1st.skey=1666797584"</v>
      </c>
      <c r="M707" t="str">
        <f>VLOOKUP(A707,logos!$A$2:$A$10004,1,FALSE)</f>
        <v>Greatest Hits Radio (UK)</v>
      </c>
    </row>
    <row r="708" spans="1:13" hidden="1" x14ac:dyDescent="0.55000000000000004">
      <c r="A708" t="s">
        <v>2703</v>
      </c>
      <c r="B708" t="s">
        <v>1692</v>
      </c>
      <c r="C708" t="s">
        <v>2264</v>
      </c>
      <c r="D708" t="s">
        <v>1657</v>
      </c>
      <c r="E708" t="s">
        <v>23</v>
      </c>
      <c r="F708" t="str">
        <f t="shared" si="11"/>
        <v>"C:\Program Files\VideoLAN\VLC\vlc.exe" "http://edge-bauermz-01-gos2.sharp-stream.com/net2hull.mp3?aw_0_1st.skey=1666797584"</v>
      </c>
      <c r="M708" t="str">
        <f>VLOOKUP(A708,logos!$A$2:$A$10004,1,FALSE)</f>
        <v>Greatest Hits Radio (Yorkshire) (East Yorkshire &amp; Northern Lincolnshire)</v>
      </c>
    </row>
    <row r="709" spans="1:13" hidden="1" x14ac:dyDescent="0.55000000000000004">
      <c r="A709" t="s">
        <v>2704</v>
      </c>
      <c r="B709" t="s">
        <v>1692</v>
      </c>
      <c r="C709" t="s">
        <v>2265</v>
      </c>
      <c r="D709" t="s">
        <v>1657</v>
      </c>
      <c r="E709" t="s">
        <v>23</v>
      </c>
      <c r="F709" t="str">
        <f t="shared" si="11"/>
        <v>"C:\Program Files\VideoLAN\VLC\vlc.exe" "http://edge-bauermz-01-gos2.sharp-stream.com/net2grimsby.mp3?aw_0_1st.skey=1666797584"</v>
      </c>
      <c r="M709" t="str">
        <f>VLOOKUP(A709,logos!$A$2:$A$10004,1,FALSE)</f>
        <v>Greatest Hits Radio (Yorkshire) (Grimsby)</v>
      </c>
    </row>
    <row r="710" spans="1:13" hidden="1" x14ac:dyDescent="0.55000000000000004">
      <c r="A710" t="s">
        <v>2705</v>
      </c>
      <c r="B710" t="s">
        <v>1692</v>
      </c>
      <c r="C710" t="s">
        <v>2266</v>
      </c>
      <c r="D710" t="s">
        <v>1657</v>
      </c>
      <c r="E710" t="s">
        <v>23</v>
      </c>
      <c r="F710" t="str">
        <f t="shared" si="11"/>
        <v>"C:\Program Files\VideoLAN\VLC\vlc.exe" "http://edge-bauermz-01-gos2.sharp-stream.com/net2harrogate.mp3?aw_0_1st.skey=1666797585"</v>
      </c>
      <c r="M710" t="str">
        <f>VLOOKUP(A710,logos!$A$2:$A$10004,1,FALSE)</f>
        <v>Greatest Hits Radio (Yorkshire) (Harrogate &amp; the Yorkshire Dales) (Harrogate)</v>
      </c>
    </row>
    <row r="711" spans="1:13" hidden="1" x14ac:dyDescent="0.55000000000000004">
      <c r="A711" t="s">
        <v>2706</v>
      </c>
      <c r="B711" t="s">
        <v>1692</v>
      </c>
      <c r="C711" t="s">
        <v>2267</v>
      </c>
      <c r="D711" t="s">
        <v>1657</v>
      </c>
      <c r="E711" t="s">
        <v>23</v>
      </c>
      <c r="F711" t="str">
        <f t="shared" si="11"/>
        <v>"C:\Program Files\VideoLAN\VLC\vlc.exe" "http://edge-bauermz-01-gos2.sharp-stream.com/net2lincoln.mp3?aw_0_1st.skey=1666797585"</v>
      </c>
      <c r="M711" t="str">
        <f>VLOOKUP(A711,logos!$A$2:$A$10004,1,FALSE)</f>
        <v>Greatest Hits Radio (Yorkshire) (Lincolnshire)</v>
      </c>
    </row>
    <row r="712" spans="1:13" hidden="1" x14ac:dyDescent="0.55000000000000004">
      <c r="A712" t="s">
        <v>2707</v>
      </c>
      <c r="B712" t="s">
        <v>1692</v>
      </c>
      <c r="C712" t="s">
        <v>2268</v>
      </c>
      <c r="D712" t="s">
        <v>1657</v>
      </c>
      <c r="E712" t="s">
        <v>23</v>
      </c>
      <c r="F712" t="str">
        <f t="shared" si="11"/>
        <v>"C:\Program Files\VideoLAN\VLC\vlc.exe" "http://edge-bauermz-01-gos2.sharp-stream.com/net2chesterfield.mp3?aw_0_1st.skey=1666797585"</v>
      </c>
      <c r="M712" t="str">
        <f>VLOOKUP(A712,logos!$A$2:$A$10004,1,FALSE)</f>
        <v>Greatest Hits Radio (Yorkshire) (North Derbyshire)</v>
      </c>
    </row>
    <row r="713" spans="1:13" hidden="1" x14ac:dyDescent="0.55000000000000004">
      <c r="A713" t="s">
        <v>2708</v>
      </c>
      <c r="B713" t="s">
        <v>1692</v>
      </c>
      <c r="C713" t="s">
        <v>2269</v>
      </c>
      <c r="D713" t="s">
        <v>1657</v>
      </c>
      <c r="E713" t="s">
        <v>23</v>
      </c>
      <c r="F713" t="str">
        <f t="shared" si="11"/>
        <v>"C:\Program Files\VideoLAN\VLC\vlc.exe" "http://edge-bauermz-01-gos2.sharp-stream.com/magicam.mp3?aw_0_1st.skey=1666797586"</v>
      </c>
      <c r="M713" t="str">
        <f>VLOOKUP(A713,logos!$A$2:$A$10004,1,FALSE)</f>
        <v>Greatest Hits Radio (Yorkshire) (South Yorkshire)</v>
      </c>
    </row>
    <row r="714" spans="1:13" hidden="1" x14ac:dyDescent="0.55000000000000004">
      <c r="A714" t="s">
        <v>2709</v>
      </c>
      <c r="B714" t="s">
        <v>1692</v>
      </c>
      <c r="C714" t="s">
        <v>2270</v>
      </c>
      <c r="D714" t="s">
        <v>1657</v>
      </c>
      <c r="E714" t="s">
        <v>23</v>
      </c>
      <c r="F714" t="str">
        <f t="shared" si="11"/>
        <v>"C:\Program Files\VideoLAN\VLC\vlc.exe" "http://edge-bauermz-01-gos2.sharp-stream.com/magic828.mp3?aw_0_1st.skey=1666797586"</v>
      </c>
      <c r="M714" t="str">
        <f>VLOOKUP(A714,logos!$A$2:$A$10004,1,FALSE)</f>
        <v>Greatest Hits Radio (Yorkshire) (West Yorkshire) (Leeds)</v>
      </c>
    </row>
    <row r="715" spans="1:13" hidden="1" x14ac:dyDescent="0.55000000000000004">
      <c r="A715" t="s">
        <v>2710</v>
      </c>
      <c r="B715" t="s">
        <v>1692</v>
      </c>
      <c r="C715" t="s">
        <v>2271</v>
      </c>
      <c r="D715" t="s">
        <v>1657</v>
      </c>
      <c r="E715" t="s">
        <v>23</v>
      </c>
      <c r="F715" t="str">
        <f t="shared" si="11"/>
        <v>"C:\Program Files\VideoLAN\VLC\vlc.exe" "http://edge-bauermz-01-gos2.sharp-stream.com/net2york.mp3?aw_0_1st.skey=1666797586"</v>
      </c>
      <c r="M715" t="str">
        <f>VLOOKUP(A715,logos!$A$2:$A$10004,1,FALSE)</f>
        <v>Greatest Hits Radio (Yorkshire) (York &amp; North Yorkshire) (York)</v>
      </c>
    </row>
    <row r="716" spans="1:13" hidden="1" x14ac:dyDescent="0.55000000000000004">
      <c r="A716" t="s">
        <v>2711</v>
      </c>
      <c r="B716" t="s">
        <v>1692</v>
      </c>
      <c r="C716" t="s">
        <v>2272</v>
      </c>
      <c r="D716" t="s">
        <v>1657</v>
      </c>
      <c r="E716" t="s">
        <v>23</v>
      </c>
      <c r="F716" t="str">
        <f t="shared" si="11"/>
        <v>"C:\Program Files\VideoLAN\VLC\vlc.exe" "http://edge-bauermz-01-gos2.sharp-stream.com/net2yorkshirecoast.mp3?aw_0_1st.skey=1666797586"</v>
      </c>
      <c r="M716" t="str">
        <f>VLOOKUP(A716,logos!$A$2:$A$10004,1,FALSE)</f>
        <v>Greatest Hits Radio (Yorkshire) (Yorkshire Coast) (Scarborough)</v>
      </c>
    </row>
    <row r="717" spans="1:13" hidden="1" x14ac:dyDescent="0.55000000000000004">
      <c r="A717" t="s">
        <v>566</v>
      </c>
      <c r="B717" t="s">
        <v>1692</v>
      </c>
      <c r="C717" t="s">
        <v>2273</v>
      </c>
      <c r="D717" t="s">
        <v>1657</v>
      </c>
      <c r="E717" t="s">
        <v>23</v>
      </c>
      <c r="F717" t="str">
        <f t="shared" si="11"/>
        <v>"C:\Program Files\VideoLAN\VLC\vlc.exe" "http://edge-bauerall-01-gos2.sharp-stream.com/hallam.mp3?aw_0_1st.skey=1666797586"</v>
      </c>
      <c r="M717" t="str">
        <f>VLOOKUP(A717,logos!$A$2:$A$10004,1,FALSE)</f>
        <v>Hallam FM</v>
      </c>
    </row>
    <row r="718" spans="1:13" hidden="1" x14ac:dyDescent="0.55000000000000004">
      <c r="A718" t="s">
        <v>681</v>
      </c>
      <c r="B718" t="s">
        <v>1692</v>
      </c>
      <c r="C718" t="s">
        <v>2274</v>
      </c>
      <c r="D718" t="s">
        <v>1657</v>
      </c>
      <c r="E718" t="s">
        <v>23</v>
      </c>
      <c r="F718" t="str">
        <f t="shared" si="11"/>
        <v>"C:\Program Files\VideoLAN\VLC\vlc.exe" "http://edge-bauerall-01-gos2.sharp-stream.com/heat.mp3?aw_0_1st.skey=1666797591"</v>
      </c>
      <c r="M718" t="str">
        <f>VLOOKUP(A718,logos!$A$2:$A$10004,1,FALSE)</f>
        <v>heat Radio</v>
      </c>
    </row>
    <row r="719" spans="1:13" hidden="1" x14ac:dyDescent="0.55000000000000004">
      <c r="A719" t="s">
        <v>2756</v>
      </c>
      <c r="B719" t="s">
        <v>1692</v>
      </c>
      <c r="C719" t="s">
        <v>2275</v>
      </c>
      <c r="D719" t="s">
        <v>1657</v>
      </c>
      <c r="E719" t="s">
        <v>23</v>
      </c>
      <c r="F719" t="str">
        <f t="shared" si="11"/>
        <v>"C:\Program Files\VideoLAN\VLC\vlc.exe" "http://edge-bauermz-01-gos2.sharp-stream.com/net1bristol.mp3?aw_0_1st.skey=1666797592"</v>
      </c>
      <c r="M719" t="str">
        <f>VLOOKUP(A719,logos!$A$2:$A$10004,1,FALSE)</f>
        <v>Hits Radio (Bristol &amp; the South West)</v>
      </c>
    </row>
    <row r="720" spans="1:13" hidden="1" x14ac:dyDescent="0.55000000000000004">
      <c r="A720" t="s">
        <v>1604</v>
      </c>
      <c r="B720" t="s">
        <v>1692</v>
      </c>
      <c r="C720" t="s">
        <v>2276</v>
      </c>
      <c r="D720" t="s">
        <v>1657</v>
      </c>
      <c r="E720" t="s">
        <v>23</v>
      </c>
      <c r="F720" t="str">
        <f t="shared" si="11"/>
        <v>"C:\Program Files\VideoLAN\VLC\vlc.exe" "http://edge-bauermz-01-gos2.sharp-stream.com/net1london.mp3?aw_0_1st.skey=1666797592"</v>
      </c>
      <c r="M720" t="str">
        <f>VLOOKUP(A720,logos!$A$2:$A$10004,1,FALSE)</f>
        <v>Hits Radio (London)</v>
      </c>
    </row>
    <row r="721" spans="1:13" hidden="1" x14ac:dyDescent="0.55000000000000004">
      <c r="A721" t="s">
        <v>1605</v>
      </c>
      <c r="B721" t="s">
        <v>1692</v>
      </c>
      <c r="C721" t="s">
        <v>2277</v>
      </c>
      <c r="D721" t="s">
        <v>1657</v>
      </c>
      <c r="E721" t="s">
        <v>23</v>
      </c>
      <c r="F721" t="str">
        <f t="shared" si="11"/>
        <v>"C:\Program Files\VideoLAN\VLC\vlc.exe" "http://edge-bauerall-01-gos2.sharp-stream.com/key.mp3?aw_0_1st.skey=1666797592"</v>
      </c>
      <c r="M721" t="str">
        <f>VLOOKUP(A721,logos!$A$2:$A$10004,1,FALSE)</f>
        <v>Hits Radio (Manchester)</v>
      </c>
    </row>
    <row r="722" spans="1:13" hidden="1" x14ac:dyDescent="0.55000000000000004">
      <c r="A722" t="s">
        <v>1606</v>
      </c>
      <c r="B722" t="s">
        <v>1692</v>
      </c>
      <c r="C722" t="s">
        <v>2278</v>
      </c>
      <c r="D722" t="s">
        <v>1657</v>
      </c>
      <c r="E722" t="s">
        <v>23</v>
      </c>
      <c r="F722" t="str">
        <f t="shared" si="11"/>
        <v>"C:\Program Files\VideoLAN\VLC\vlc.exe" "http://edge-bauermz-01-gos2.sharp-stream.com/net1northyorkshire.mp3?aw_0_1st.skey=1666797592"</v>
      </c>
      <c r="M722" t="str">
        <f>VLOOKUP(A722,logos!$A$2:$A$10004,1,FALSE)</f>
        <v>Hits Radio (North Yorkshire)</v>
      </c>
    </row>
    <row r="723" spans="1:13" hidden="1" x14ac:dyDescent="0.55000000000000004">
      <c r="A723" t="s">
        <v>2757</v>
      </c>
      <c r="B723" t="s">
        <v>1692</v>
      </c>
      <c r="C723" t="s">
        <v>2279</v>
      </c>
      <c r="D723" t="s">
        <v>1657</v>
      </c>
      <c r="E723" t="s">
        <v>23</v>
      </c>
      <c r="F723" t="str">
        <f t="shared" si="11"/>
        <v>"C:\Program Files\VideoLAN\VLC\vlc.exe" "http://edge-bauermz-01-gos2.sharp-stream.com/net1bournemouth.mp3?aw_0_1st.skey=1666797592"</v>
      </c>
      <c r="M723" t="e">
        <f>VLOOKUP(A723,logos!$A$2:$A$10004,1,FALSE)</f>
        <v>#N/A</v>
      </c>
    </row>
    <row r="724" spans="1:13" hidden="1" x14ac:dyDescent="0.55000000000000004">
      <c r="A724" t="s">
        <v>2758</v>
      </c>
      <c r="B724" t="s">
        <v>1692</v>
      </c>
      <c r="C724" t="s">
        <v>2280</v>
      </c>
      <c r="D724" t="s">
        <v>1657</v>
      </c>
      <c r="E724" t="s">
        <v>23</v>
      </c>
      <c r="F724" t="str">
        <f t="shared" si="11"/>
        <v>"C:\Program Files\VideoLAN\VLC\vlc.exe" "http://edge-bauermz-01-gos2.sharp-stream.com/net1southcoast.mp3?aw_0_1st.skey=1666797592"</v>
      </c>
      <c r="M724" t="e">
        <f>VLOOKUP(A724,logos!$A$2:$A$10004,1,FALSE)</f>
        <v>#N/A</v>
      </c>
    </row>
    <row r="725" spans="1:13" hidden="1" x14ac:dyDescent="0.55000000000000004">
      <c r="A725" t="s">
        <v>2759</v>
      </c>
      <c r="B725" t="s">
        <v>1692</v>
      </c>
      <c r="C725" t="s">
        <v>2281</v>
      </c>
      <c r="D725" t="s">
        <v>1657</v>
      </c>
      <c r="E725" t="s">
        <v>23</v>
      </c>
      <c r="F725" t="str">
        <f t="shared" si="11"/>
        <v>"C:\Program Files\VideoLAN\VLC\vlc.exe" "http://edge-bauermz-01-gos2.sharp-stream.com/net1suffolk.mp3?aw_0_1st.skey=1666797593"</v>
      </c>
      <c r="M725" t="e">
        <f>VLOOKUP(A725,logos!$A$2:$A$10004,1,FALSE)</f>
        <v>#N/A</v>
      </c>
    </row>
    <row r="726" spans="1:13" hidden="1" x14ac:dyDescent="0.55000000000000004">
      <c r="A726" t="s">
        <v>2760</v>
      </c>
      <c r="B726" t="s">
        <v>1692</v>
      </c>
      <c r="C726" t="s">
        <v>2282</v>
      </c>
      <c r="D726" t="s">
        <v>1657</v>
      </c>
      <c r="E726" t="s">
        <v>23</v>
      </c>
      <c r="F726" t="str">
        <f t="shared" si="11"/>
        <v>"C:\Program Files\VideoLAN\VLC\vlc.exe" "http://edge-bauerall-01-gos2.sharp-stream.com/hits.mp3?aw_0_1st.skey=1666797593"</v>
      </c>
      <c r="M726" t="str">
        <f>VLOOKUP(A726,logos!$A$2:$A$10004,1,FALSE)</f>
        <v>Hits Radio (UK)</v>
      </c>
    </row>
    <row r="727" spans="1:13" hidden="1" x14ac:dyDescent="0.55000000000000004">
      <c r="A727" t="s">
        <v>736</v>
      </c>
      <c r="B727" t="s">
        <v>1692</v>
      </c>
      <c r="C727" t="s">
        <v>2285</v>
      </c>
      <c r="D727" t="s">
        <v>1657</v>
      </c>
      <c r="E727" t="s">
        <v>23</v>
      </c>
      <c r="F727" t="str">
        <f t="shared" si="11"/>
        <v>"C:\Program Files\VideoLAN\VLC\vlc.exe" "http://edge-bauerall-01-gos2.sharp-stream.com/jazz.mp3?aw_0_1st.skey=1666797596"</v>
      </c>
      <c r="M727" t="str">
        <f>VLOOKUP(A727,logos!$A$2:$A$10004,1,FALSE)</f>
        <v>Jazz FM</v>
      </c>
    </row>
    <row r="728" spans="1:13" hidden="1" x14ac:dyDescent="0.55000000000000004">
      <c r="A728" t="s">
        <v>740</v>
      </c>
      <c r="B728" t="s">
        <v>1692</v>
      </c>
      <c r="C728" t="s">
        <v>2286</v>
      </c>
      <c r="D728" t="s">
        <v>1657</v>
      </c>
      <c r="E728" t="s">
        <v>23</v>
      </c>
      <c r="F728" t="str">
        <f t="shared" si="11"/>
        <v>"C:\Program Files\VideoLAN\VLC\vlc.exe" "http://edge-bauerall-01-gos2.sharp-stream.com/kerrang.mp3?aw_0_1st.skey=1666797596"</v>
      </c>
      <c r="M728" t="str">
        <f>VLOOKUP(A728,logos!$A$2:$A$10004,1,FALSE)</f>
        <v>Kerrang! Radio</v>
      </c>
    </row>
    <row r="729" spans="1:13" hidden="1" x14ac:dyDescent="0.55000000000000004">
      <c r="A729" t="s">
        <v>2762</v>
      </c>
      <c r="B729" t="s">
        <v>1692</v>
      </c>
      <c r="C729" t="s">
        <v>2287</v>
      </c>
      <c r="D729" t="s">
        <v>1657</v>
      </c>
      <c r="E729" t="s">
        <v>23</v>
      </c>
      <c r="F729" t="str">
        <f t="shared" si="11"/>
        <v>"C:\Program Files\VideoLAN\VLC\vlc.exe" "http://live-kiss.sharp-stream.com/kiss100.mp3?aw_0_1st.skey=1666797597"</v>
      </c>
      <c r="M729" t="e">
        <f>VLOOKUP(A729,logos!$A$2:$A$10004,1,FALSE)</f>
        <v>#N/A</v>
      </c>
    </row>
    <row r="730" spans="1:13" hidden="1" x14ac:dyDescent="0.55000000000000004">
      <c r="A730" t="s">
        <v>2763</v>
      </c>
      <c r="B730" t="s">
        <v>1692</v>
      </c>
      <c r="C730" t="s">
        <v>2288</v>
      </c>
      <c r="D730" t="s">
        <v>1657</v>
      </c>
      <c r="E730" t="s">
        <v>23</v>
      </c>
      <c r="F730" t="str">
        <f t="shared" si="11"/>
        <v>"C:\Program Files\VideoLAN\VLC\vlc.exe" "http://live-kiss.sharp-stream.com/kissnational.mp3?aw_0_1st.skey=1666797597"</v>
      </c>
      <c r="M730" t="str">
        <f>VLOOKUP(A730,logos!$A$2:$A$10004,1,FALSE)</f>
        <v>KISS (UK)</v>
      </c>
    </row>
    <row r="731" spans="1:13" hidden="1" x14ac:dyDescent="0.55000000000000004">
      <c r="A731" t="s">
        <v>749</v>
      </c>
      <c r="B731" t="s">
        <v>1692</v>
      </c>
      <c r="C731" t="s">
        <v>2289</v>
      </c>
      <c r="D731" t="s">
        <v>1657</v>
      </c>
      <c r="E731" t="s">
        <v>23</v>
      </c>
      <c r="F731" t="str">
        <f t="shared" si="11"/>
        <v>"C:\Program Files\VideoLAN\VLC\vlc.exe" "http://edge-bauerall-01-gos2.sharp-stream.com/kissfresh.mp3?aw_0_1st.skey=1666797597"</v>
      </c>
      <c r="M731" t="str">
        <f>VLOOKUP(A731,logos!$A$2:$A$10004,1,FALSE)</f>
        <v>KISS FRESH</v>
      </c>
    </row>
    <row r="732" spans="1:13" hidden="1" x14ac:dyDescent="0.55000000000000004">
      <c r="A732" t="s">
        <v>751</v>
      </c>
      <c r="B732" t="s">
        <v>1692</v>
      </c>
      <c r="C732" t="s">
        <v>2290</v>
      </c>
      <c r="D732" t="s">
        <v>1657</v>
      </c>
      <c r="E732" t="s">
        <v>23</v>
      </c>
      <c r="F732" t="str">
        <f t="shared" si="11"/>
        <v>"C:\Program Files\VideoLAN\VLC\vlc.exe" "http://edge-bauerall-01-gos2.sharp-stream.com/kisstory.mp3?aw_0_1st.skey=1666797597"</v>
      </c>
      <c r="M732" t="str">
        <f>VLOOKUP(A732,logos!$A$2:$A$10004,1,FALSE)</f>
        <v>KISSTORY</v>
      </c>
    </row>
    <row r="733" spans="1:13" hidden="1" x14ac:dyDescent="0.55000000000000004">
      <c r="A733" t="s">
        <v>787</v>
      </c>
      <c r="B733" t="s">
        <v>1692</v>
      </c>
      <c r="C733" t="s">
        <v>2291</v>
      </c>
      <c r="D733" t="s">
        <v>1657</v>
      </c>
      <c r="E733" t="s">
        <v>23</v>
      </c>
      <c r="F733" t="str">
        <f t="shared" si="11"/>
        <v>"C:\Program Files\VideoLAN\VLC\vlc.exe" "http://edge-bauermz-01-gos2.sharp-stream.com/net1lincoln.mp3?aw_0_1st.skey=1666797599"</v>
      </c>
      <c r="M733" t="str">
        <f>VLOOKUP(A733,logos!$A$2:$A$10004,1,FALSE)</f>
        <v>Lincs FM</v>
      </c>
    </row>
    <row r="734" spans="1:13" hidden="1" x14ac:dyDescent="0.55000000000000004">
      <c r="A734" t="s">
        <v>2773</v>
      </c>
      <c r="B734" t="s">
        <v>1692</v>
      </c>
      <c r="C734" t="s">
        <v>2292</v>
      </c>
      <c r="D734" t="s">
        <v>1657</v>
      </c>
      <c r="E734" t="s">
        <v>23</v>
      </c>
      <c r="F734" t="str">
        <f t="shared" si="11"/>
        <v>"C:\Program Files\VideoLAN\VLC\vlc.exe" "http://edge-bauermz-01-gos2.sharp-stream.com/magic1054.mp3?aw_0_1st.skey=1666797601"</v>
      </c>
      <c r="M734" t="str">
        <f>VLOOKUP(A734,logos!$A$2:$A$10004,1,FALSE)</f>
        <v>Magic (London)</v>
      </c>
    </row>
    <row r="735" spans="1:13" hidden="1" x14ac:dyDescent="0.55000000000000004">
      <c r="A735" t="s">
        <v>2774</v>
      </c>
      <c r="B735" t="s">
        <v>1692</v>
      </c>
      <c r="C735" t="s">
        <v>2293</v>
      </c>
      <c r="D735" t="s">
        <v>1657</v>
      </c>
      <c r="E735" t="s">
        <v>23</v>
      </c>
      <c r="F735" t="str">
        <f t="shared" si="11"/>
        <v>"C:\Program Files\VideoLAN\VLC\vlc.exe" "http://edge-bauermz-01-gos2.sharp-stream.com/magicnational.mp3?aw_0_1st.skey=1666797601"</v>
      </c>
      <c r="M735" t="str">
        <f>VLOOKUP(A735,logos!$A$2:$A$10004,1,FALSE)</f>
        <v>Magic (UK)</v>
      </c>
    </row>
    <row r="736" spans="1:13" hidden="1" x14ac:dyDescent="0.55000000000000004">
      <c r="A736" t="s">
        <v>809</v>
      </c>
      <c r="B736" t="s">
        <v>1692</v>
      </c>
      <c r="C736" t="s">
        <v>2294</v>
      </c>
      <c r="D736" t="s">
        <v>1657</v>
      </c>
      <c r="E736" t="s">
        <v>23</v>
      </c>
      <c r="F736" t="str">
        <f t="shared" si="11"/>
        <v>"C:\Program Files\VideoLAN\VLC\vlc.exe" "http://edge-bauermz-05-gos2.sharp-stream.com/magicmusicals.mp3?aw_0_1st.skey=1666797601"</v>
      </c>
      <c r="M736" t="str">
        <f>VLOOKUP(A736,logos!$A$2:$A$10004,1,FALSE)</f>
        <v>Magic at the Musicals</v>
      </c>
    </row>
    <row r="737" spans="1:13" hidden="1" x14ac:dyDescent="0.55000000000000004">
      <c r="A737" t="s">
        <v>811</v>
      </c>
      <c r="B737" t="s">
        <v>1692</v>
      </c>
      <c r="C737" t="s">
        <v>2295</v>
      </c>
      <c r="D737" t="s">
        <v>1657</v>
      </c>
      <c r="E737" t="s">
        <v>23</v>
      </c>
      <c r="F737" t="str">
        <f t="shared" si="11"/>
        <v>"C:\Program Files\VideoLAN\VLC\vlc.exe" "http://edge-bauermz-01-gos2.sharp-stream.com/magicchilled.mp3?aw_0_1st.skey=1666797601"</v>
      </c>
      <c r="M737" t="str">
        <f>VLOOKUP(A737,logos!$A$2:$A$10004,1,FALSE)</f>
        <v>Magic Chilled</v>
      </c>
    </row>
    <row r="738" spans="1:13" hidden="1" x14ac:dyDescent="0.55000000000000004">
      <c r="A738" t="s">
        <v>813</v>
      </c>
      <c r="B738" t="s">
        <v>1692</v>
      </c>
      <c r="C738" t="s">
        <v>2296</v>
      </c>
      <c r="D738" t="s">
        <v>1657</v>
      </c>
      <c r="E738" t="s">
        <v>23</v>
      </c>
      <c r="F738" t="str">
        <f t="shared" si="11"/>
        <v>"C:\Program Files\VideoLAN\VLC\vlc.exe" "http://edge-bauermz-01-gos2.sharp-stream.com/magicsoul.mp3?aw_0_1st.skey=1666797601"</v>
      </c>
      <c r="M738" t="str">
        <f>VLOOKUP(A738,logos!$A$2:$A$10004,1,FALSE)</f>
        <v>Magic Soul</v>
      </c>
    </row>
    <row r="739" spans="1:13" hidden="1" x14ac:dyDescent="0.55000000000000004">
      <c r="A739" t="s">
        <v>821</v>
      </c>
      <c r="B739" t="s">
        <v>1692</v>
      </c>
      <c r="C739" t="s">
        <v>2298</v>
      </c>
      <c r="D739" t="s">
        <v>1657</v>
      </c>
      <c r="E739" t="s">
        <v>23</v>
      </c>
      <c r="F739" t="str">
        <f t="shared" si="11"/>
        <v>"C:\Program Files\VideoLAN\VLC\vlc.exe" "http://edge-bauermz-01-gos2.sharp-stream.com/magicmellow.mp3?aw_0_1st.skey=1666797602"</v>
      </c>
      <c r="M739" t="str">
        <f>VLOOKUP(A739,logos!$A$2:$A$10004,1,FALSE)</f>
        <v>Mellow Magic</v>
      </c>
    </row>
    <row r="740" spans="1:13" hidden="1" x14ac:dyDescent="0.55000000000000004">
      <c r="A740" t="s">
        <v>825</v>
      </c>
      <c r="B740" t="s">
        <v>1692</v>
      </c>
      <c r="C740" t="s">
        <v>2299</v>
      </c>
      <c r="D740" t="s">
        <v>1657</v>
      </c>
      <c r="E740" t="s">
        <v>23</v>
      </c>
      <c r="F740" t="str">
        <f t="shared" si="11"/>
        <v>"C:\Program Files\VideoLAN\VLC\vlc.exe" "http://edge-bauermz-01-gos2.sharp-stream.com/metro.mp3?aw_0_1st.skey=1666797602"</v>
      </c>
      <c r="M740" t="str">
        <f>VLOOKUP(A740,logos!$A$2:$A$10004,1,FALSE)</f>
        <v>Metro Radio</v>
      </c>
    </row>
    <row r="741" spans="1:13" hidden="1" x14ac:dyDescent="0.55000000000000004">
      <c r="A741" t="s">
        <v>827</v>
      </c>
      <c r="B741" t="s">
        <v>1692</v>
      </c>
      <c r="C741" t="s">
        <v>2300</v>
      </c>
      <c r="D741" t="s">
        <v>1657</v>
      </c>
      <c r="E741" t="s">
        <v>23</v>
      </c>
      <c r="F741" t="str">
        <f t="shared" si="11"/>
        <v>"C:\Program Files\VideoLAN\VLC\vlc.exe" "http://edge-bauermz-01-gos2.sharp-stream.com/mfrfm.mp3?aw_0_1st.skey=1666797602"</v>
      </c>
      <c r="M741" t="str">
        <f>VLOOKUP(A741,logos!$A$2:$A$10004,1,FALSE)</f>
        <v>MFR</v>
      </c>
    </row>
    <row r="742" spans="1:13" hidden="1" x14ac:dyDescent="0.55000000000000004">
      <c r="A742" t="s">
        <v>829</v>
      </c>
      <c r="B742" t="s">
        <v>1692</v>
      </c>
      <c r="C742" t="s">
        <v>2301</v>
      </c>
      <c r="D742" t="s">
        <v>1657</v>
      </c>
      <c r="E742" t="s">
        <v>23</v>
      </c>
      <c r="F742" t="str">
        <f t="shared" si="11"/>
        <v>"C:\Program Files\VideoLAN\VLC\vlc.exe" "http://edge-bauermz-01-gos2.sharp-stream.com/mfram.mp3?aw_0_1st.skey=1666797602"</v>
      </c>
      <c r="M742" t="str">
        <f>VLOOKUP(A742,logos!$A$2:$A$10004,1,FALSE)</f>
        <v>MFR 2</v>
      </c>
    </row>
    <row r="743" spans="1:13" hidden="1" x14ac:dyDescent="0.55000000000000004">
      <c r="A743" t="s">
        <v>923</v>
      </c>
      <c r="B743" t="s">
        <v>1692</v>
      </c>
      <c r="C743" t="s">
        <v>2305</v>
      </c>
      <c r="D743" t="s">
        <v>1657</v>
      </c>
      <c r="E743" t="s">
        <v>23</v>
      </c>
      <c r="F743" t="str">
        <f t="shared" si="11"/>
        <v>"C:\Program Files\VideoLAN\VLC\vlc.exe" "http://edge-bauermz-01-gos2.sharp-stream.com/northsound1.mp3?aw_0_1st.skey=1666797610"</v>
      </c>
      <c r="M743" t="str">
        <f>VLOOKUP(A743,logos!$A$2:$A$10004,1,FALSE)</f>
        <v>Northsound 1</v>
      </c>
    </row>
    <row r="744" spans="1:13" hidden="1" x14ac:dyDescent="0.55000000000000004">
      <c r="A744" t="s">
        <v>925</v>
      </c>
      <c r="B744" t="s">
        <v>1692</v>
      </c>
      <c r="C744" t="s">
        <v>2306</v>
      </c>
      <c r="D744" t="s">
        <v>1657</v>
      </c>
      <c r="E744" t="s">
        <v>23</v>
      </c>
      <c r="F744" t="str">
        <f t="shared" si="11"/>
        <v>"C:\Program Files\VideoLAN\VLC\vlc.exe" "http://edge-bauermz-01-gos2.sharp-stream.com/northsound2.mp3?aw_0_1st.skey=1666797610"</v>
      </c>
      <c r="M744" t="str">
        <f>VLOOKUP(A744,logos!$A$2:$A$10004,1,FALSE)</f>
        <v>Northsound 2</v>
      </c>
    </row>
    <row r="745" spans="1:13" hidden="1" x14ac:dyDescent="0.55000000000000004">
      <c r="A745" t="s">
        <v>2794</v>
      </c>
      <c r="B745" t="s">
        <v>1692</v>
      </c>
      <c r="C745" t="s">
        <v>2307</v>
      </c>
      <c r="D745" t="s">
        <v>1657</v>
      </c>
      <c r="E745" t="s">
        <v>23</v>
      </c>
      <c r="F745" t="str">
        <f t="shared" si="11"/>
        <v>"C:\Program Files\VideoLAN\VLC\vlc.exe" "http://edge-bauermz-01-gos2.sharp-stream.com/net1cornwalleast.mp3?aw_0_1st.skey=1666797612"</v>
      </c>
      <c r="M745" t="e">
        <f>VLOOKUP(A745,logos!$A$2:$A$10004,1,FALSE)</f>
        <v>#N/A</v>
      </c>
    </row>
    <row r="746" spans="1:13" hidden="1" x14ac:dyDescent="0.55000000000000004">
      <c r="A746" t="s">
        <v>2795</v>
      </c>
      <c r="B746" t="s">
        <v>1692</v>
      </c>
      <c r="C746" t="s">
        <v>2308</v>
      </c>
      <c r="D746" t="s">
        <v>1657</v>
      </c>
      <c r="E746" t="s">
        <v>23</v>
      </c>
      <c r="F746" t="str">
        <f t="shared" si="11"/>
        <v>"C:\Program Files\VideoLAN\VLC\vlc.exe" "http://edge-bauermz-01-gos2.sharp-stream.com/net1cornwall.mp3?aw_0_1st.skey=1666797612"</v>
      </c>
      <c r="M746" t="str">
        <f>VLOOKUP(A746,logos!$A$2:$A$10004,1,FALSE)</f>
        <v>Pirate FM (West)</v>
      </c>
    </row>
    <row r="747" spans="1:13" hidden="1" x14ac:dyDescent="0.55000000000000004">
      <c r="A747" t="s">
        <v>950</v>
      </c>
      <c r="B747" t="s">
        <v>1692</v>
      </c>
      <c r="C747" t="s">
        <v>2309</v>
      </c>
      <c r="D747" t="s">
        <v>1657</v>
      </c>
      <c r="E747" t="s">
        <v>23</v>
      </c>
      <c r="F747" t="str">
        <f t="shared" si="11"/>
        <v>"C:\Program Files\VideoLAN\VLC\vlc.exe" "http://edge-bauermz-01-gos2.sharp-stream.com/planetrock.mp3?aw_0_1st.skey=1666797612"</v>
      </c>
      <c r="M747" t="str">
        <f>VLOOKUP(A747,logos!$A$2:$A$10004,1,FALSE)</f>
        <v>Planet Rock</v>
      </c>
    </row>
    <row r="748" spans="1:13" hidden="1" x14ac:dyDescent="0.55000000000000004">
      <c r="A748" t="s">
        <v>2796</v>
      </c>
      <c r="B748" t="s">
        <v>1692</v>
      </c>
      <c r="C748" t="s">
        <v>2310</v>
      </c>
      <c r="D748" t="s">
        <v>1657</v>
      </c>
      <c r="E748" t="s">
        <v>23</v>
      </c>
      <c r="F748" t="str">
        <f t="shared" si="11"/>
        <v>"C:\Program Files\VideoLAN\VLC\vlc.exe" "http://n10a-eu.rcs.revma.com:80/v61s40vqa78uv"</v>
      </c>
      <c r="M748" t="e">
        <f>VLOOKUP(A748,logos!$A$2:$A$10004,1,FALSE)</f>
        <v>#N/A</v>
      </c>
    </row>
    <row r="749" spans="1:13" hidden="1" x14ac:dyDescent="0.55000000000000004">
      <c r="A749" t="s">
        <v>976</v>
      </c>
      <c r="B749" t="s">
        <v>1692</v>
      </c>
      <c r="C749" t="s">
        <v>2311</v>
      </c>
      <c r="D749" t="s">
        <v>1657</v>
      </c>
      <c r="E749" t="s">
        <v>23</v>
      </c>
      <c r="F749" t="str">
        <f t="shared" si="11"/>
        <v>"C:\Program Files\VideoLAN\VLC\vlc.exe" "http://edge-bauermz-01-gos2.sharp-stream.com/net1bradford.mp3?aw_0_1st.skey=1666797616"</v>
      </c>
      <c r="M749" t="str">
        <f>VLOOKUP(A749,logos!$A$2:$A$10004,1,FALSE)</f>
        <v>Pulse 1</v>
      </c>
    </row>
    <row r="750" spans="1:13" hidden="1" x14ac:dyDescent="0.55000000000000004">
      <c r="A750" t="s">
        <v>1011</v>
      </c>
      <c r="B750" t="s">
        <v>1692</v>
      </c>
      <c r="C750" t="s">
        <v>2327</v>
      </c>
      <c r="D750" t="s">
        <v>1657</v>
      </c>
      <c r="E750" t="s">
        <v>23</v>
      </c>
      <c r="F750" t="str">
        <f t="shared" si="11"/>
        <v>"C:\Program Files\VideoLAN\VLC\vlc.exe" "http://edge-bauerall-01-gos2.sharp-stream.com/borders.mp3?aw_0_1st.skey=1666797626"</v>
      </c>
      <c r="M750" t="str">
        <f>VLOOKUP(A750,logos!$A$2:$A$10004,1,FALSE)</f>
        <v>Radio Borders</v>
      </c>
    </row>
    <row r="751" spans="1:13" hidden="1" x14ac:dyDescent="0.55000000000000004">
      <c r="A751" t="s">
        <v>1023</v>
      </c>
      <c r="B751" t="s">
        <v>1692</v>
      </c>
      <c r="C751" t="s">
        <v>2328</v>
      </c>
      <c r="D751" t="s">
        <v>1657</v>
      </c>
      <c r="E751" t="s">
        <v>23</v>
      </c>
      <c r="F751" t="str">
        <f t="shared" si="11"/>
        <v>"C:\Program Files\VideoLAN\VLC\vlc.exe" "http://edge-bauerall-01-gos2.sharp-stream.com/city.mp3?aw_0_1st.skey=1666797627"</v>
      </c>
      <c r="M751" t="str">
        <f>VLOOKUP(A751,logos!$A$2:$A$10004,1,FALSE)</f>
        <v>Radio City</v>
      </c>
    </row>
    <row r="752" spans="1:13" hidden="1" x14ac:dyDescent="0.55000000000000004">
      <c r="A752" t="s">
        <v>1082</v>
      </c>
      <c r="B752" t="s">
        <v>1692</v>
      </c>
      <c r="C752" t="s">
        <v>6068</v>
      </c>
      <c r="D752" t="s">
        <v>1657</v>
      </c>
      <c r="E752" t="s">
        <v>23</v>
      </c>
      <c r="F752" t="str">
        <f t="shared" si="11"/>
        <v>"C:\Program Files\VideoLAN\VLC\vlc.exe" "http://edge-bauerall-01-gos2.sharp-stream.com/rock.mp3"</v>
      </c>
      <c r="M752" t="str">
        <f>VLOOKUP(A752,logos!$A$2:$A$10004,1,FALSE)</f>
        <v>Rock FM</v>
      </c>
    </row>
    <row r="753" spans="1:13" hidden="1" x14ac:dyDescent="0.55000000000000004">
      <c r="A753" t="s">
        <v>1104</v>
      </c>
      <c r="B753" t="s">
        <v>1692</v>
      </c>
      <c r="C753" t="s">
        <v>2331</v>
      </c>
      <c r="D753" t="s">
        <v>1657</v>
      </c>
      <c r="E753" t="s">
        <v>23</v>
      </c>
      <c r="F753" t="str">
        <f t="shared" si="11"/>
        <v>"C:\Program Files\VideoLAN\VLC\vlc.exe" "http://edge-bauermz-01-gos2.sharp-stream.com/scala.mp3?aw_0_1st.skey=1666797636"</v>
      </c>
      <c r="M753" t="str">
        <f>VLOOKUP(A753,logos!$A$2:$A$10004,1,FALSE)</f>
        <v>Scala Radio</v>
      </c>
    </row>
    <row r="754" spans="1:13" hidden="1" x14ac:dyDescent="0.55000000000000004">
      <c r="A754" t="s">
        <v>1113</v>
      </c>
      <c r="B754" t="s">
        <v>1692</v>
      </c>
      <c r="C754" t="s">
        <v>2332</v>
      </c>
      <c r="D754" t="s">
        <v>1657</v>
      </c>
      <c r="E754" t="s">
        <v>23</v>
      </c>
      <c r="F754" t="str">
        <f t="shared" si="11"/>
        <v>"C:\Program Files\VideoLAN\VLC\vlc.exe" "http://edge-bauermz-01-gos2.sharp-stream.com/net1stoke.mp3?aw_0_1st.skey=1666797637"</v>
      </c>
      <c r="M754" t="str">
        <f>VLOOKUP(A754,logos!$A$2:$A$10004,1,FALSE)</f>
        <v>Signal 1</v>
      </c>
    </row>
    <row r="755" spans="1:13" hidden="1" x14ac:dyDescent="0.55000000000000004">
      <c r="A755" t="s">
        <v>1247</v>
      </c>
      <c r="B755" t="s">
        <v>1692</v>
      </c>
      <c r="C755" t="s">
        <v>2340</v>
      </c>
      <c r="D755" t="s">
        <v>1657</v>
      </c>
      <c r="E755" t="s">
        <v>23</v>
      </c>
      <c r="F755" t="str">
        <f t="shared" si="11"/>
        <v>"C:\Program Files\VideoLAN\VLC\vlc.exe" "http://edge-bauermz-01-gos2.sharp-stream.com/tayam.mp3?aw_0_1st.skey=1666797645"</v>
      </c>
      <c r="M755" t="str">
        <f>VLOOKUP(A755,logos!$A$2:$A$10004,1,FALSE)</f>
        <v>Tay 2</v>
      </c>
    </row>
    <row r="756" spans="1:13" hidden="1" x14ac:dyDescent="0.55000000000000004">
      <c r="A756" t="s">
        <v>1245</v>
      </c>
      <c r="B756" t="s">
        <v>1692</v>
      </c>
      <c r="C756" t="s">
        <v>2339</v>
      </c>
      <c r="D756" t="s">
        <v>1657</v>
      </c>
      <c r="E756" t="s">
        <v>23</v>
      </c>
      <c r="F756" t="str">
        <f t="shared" si="11"/>
        <v>"C:\Program Files\VideoLAN\VLC\vlc.exe" "http://edge-bauermz-01-gos2.sharp-stream.com/tayfm.mp3?aw_0_1st.skey=1666797644"</v>
      </c>
      <c r="M756" t="str">
        <f>VLOOKUP(A756,logos!$A$2:$A$10004,1,FALSE)</f>
        <v>Tay FM</v>
      </c>
    </row>
    <row r="757" spans="1:13" hidden="1" x14ac:dyDescent="0.55000000000000004">
      <c r="A757" t="s">
        <v>1251</v>
      </c>
      <c r="B757" t="s">
        <v>1692</v>
      </c>
      <c r="C757" t="s">
        <v>2341</v>
      </c>
      <c r="D757" t="s">
        <v>1657</v>
      </c>
      <c r="E757" t="s">
        <v>23</v>
      </c>
      <c r="F757" t="str">
        <f t="shared" si="11"/>
        <v>"C:\Program Files\VideoLAN\VLC\vlc.exe" "http://edge-bauermz-01-gos2.sharp-stream.com/tfm.mp3?aw_0_1st.skey=1666797645"</v>
      </c>
      <c r="M757" t="str">
        <f>VLOOKUP(A757,logos!$A$2:$A$10004,1,FALSE)</f>
        <v>TFM</v>
      </c>
    </row>
    <row r="758" spans="1:13" hidden="1" x14ac:dyDescent="0.55000000000000004">
      <c r="A758" t="s">
        <v>1265</v>
      </c>
      <c r="B758" t="s">
        <v>1692</v>
      </c>
      <c r="C758" t="s">
        <v>2342</v>
      </c>
      <c r="D758" t="s">
        <v>1657</v>
      </c>
      <c r="E758" t="s">
        <v>23</v>
      </c>
      <c r="F758" t="str">
        <f t="shared" si="11"/>
        <v>"C:\Program Files\VideoLAN\VLC\vlc.exe" "http://edge-bauermz-01-gos2.sharp-stream.com/net1swansea.mp3?aw_0_1st.skey=1666797647"</v>
      </c>
      <c r="M758" t="str">
        <f>VLOOKUP(A758,logos!$A$2:$A$10004,1,FALSE)</f>
        <v>The Wave</v>
      </c>
    </row>
    <row r="759" spans="1:13" hidden="1" x14ac:dyDescent="0.55000000000000004">
      <c r="A759" t="s">
        <v>1303</v>
      </c>
      <c r="B759" t="s">
        <v>1692</v>
      </c>
      <c r="C759" t="s">
        <v>2347</v>
      </c>
      <c r="D759" t="s">
        <v>1657</v>
      </c>
      <c r="E759" t="s">
        <v>23</v>
      </c>
      <c r="F759" t="str">
        <f t="shared" si="11"/>
        <v>"C:\Program Files\VideoLAN\VLC\vlc.exe" "http://edge-bauermz-01-gos2.sharp-stream.com/viking.mp3?aw_0_1st.skey=1666797650"</v>
      </c>
      <c r="M759" t="str">
        <f>VLOOKUP(A759,logos!$A$2:$A$10004,1,FALSE)</f>
        <v>Viking FM</v>
      </c>
    </row>
    <row r="760" spans="1:13" hidden="1" x14ac:dyDescent="0.55000000000000004">
      <c r="A760" t="s">
        <v>1316</v>
      </c>
      <c r="B760" t="s">
        <v>1692</v>
      </c>
      <c r="C760" t="s">
        <v>2348</v>
      </c>
      <c r="D760" t="s">
        <v>1657</v>
      </c>
      <c r="E760" t="s">
        <v>23</v>
      </c>
      <c r="F760" t="str">
        <f t="shared" si="11"/>
        <v>"C:\Program Files\VideoLAN\VLC\vlc.exe" "http://edge-bauermz-01-gos2.sharp-stream.com/wave105.mp3?aw_0_1st.skey=1666797651"</v>
      </c>
      <c r="M760" t="str">
        <f>VLOOKUP(A760,logos!$A$2:$A$10004,1,FALSE)</f>
        <v>Wave 105</v>
      </c>
    </row>
    <row r="761" spans="1:13" hidden="1" x14ac:dyDescent="0.55000000000000004">
      <c r="A761" t="s">
        <v>1320</v>
      </c>
      <c r="B761" t="s">
        <v>1692</v>
      </c>
      <c r="C761" t="s">
        <v>2350</v>
      </c>
      <c r="D761" t="s">
        <v>1657</v>
      </c>
      <c r="E761" t="s">
        <v>23</v>
      </c>
      <c r="F761" t="str">
        <f t="shared" si="11"/>
        <v>"C:\Program Files\VideoLAN\VLC\vlc.exe" "http://edge-bauermz-01-gos2.sharp-stream.com/westfm.mp3?aw_0_1st.skey=1666797651"</v>
      </c>
      <c r="M761" t="str">
        <f>VLOOKUP(A761,logos!$A$2:$A$10004,1,FALSE)</f>
        <v>West FM</v>
      </c>
    </row>
    <row r="762" spans="1:13" hidden="1" x14ac:dyDescent="0.55000000000000004">
      <c r="A762" t="s">
        <v>2833</v>
      </c>
      <c r="B762" t="s">
        <v>1692</v>
      </c>
      <c r="C762" t="s">
        <v>2351</v>
      </c>
      <c r="D762" t="s">
        <v>1657</v>
      </c>
      <c r="E762" t="s">
        <v>23</v>
      </c>
      <c r="F762" t="str">
        <f t="shared" si="11"/>
        <v>"C:\Program Files\VideoLAN\VLC\vlc.exe" "http://edge-bauermz-01-gos2.sharp-stream.com/westsound.mp3?aw_0_1st.skey=1666797651"</v>
      </c>
      <c r="M762" t="str">
        <f>VLOOKUP(A762,logos!$A$2:$A$10004,1,FALSE)</f>
        <v>West Sound (Ayrshire)</v>
      </c>
    </row>
    <row r="763" spans="1:13" hidden="1" x14ac:dyDescent="0.55000000000000004">
      <c r="A763" t="s">
        <v>2834</v>
      </c>
      <c r="B763" t="s">
        <v>1692</v>
      </c>
      <c r="C763" t="s">
        <v>2352</v>
      </c>
      <c r="D763" t="s">
        <v>1657</v>
      </c>
      <c r="E763" t="s">
        <v>23</v>
      </c>
      <c r="F763" t="str">
        <f t="shared" si="11"/>
        <v>"C:\Program Files\VideoLAN\VLC\vlc.exe" "http://edge-bauermz-01-gos2.sharp-stream.com/westsoundfm.mp3?aw_0_1st.skey=1666797652"</v>
      </c>
      <c r="M763" t="e">
        <f>VLOOKUP(A763,logos!$A$2:$A$10004,1,FALSE)</f>
        <v>#N/A</v>
      </c>
    </row>
    <row r="764" spans="1:13" hidden="1" x14ac:dyDescent="0.55000000000000004">
      <c r="A764" t="s">
        <v>2894</v>
      </c>
      <c r="B764" t="s">
        <v>1698</v>
      </c>
      <c r="C764" t="s">
        <v>1083</v>
      </c>
      <c r="D764" t="s">
        <v>1657</v>
      </c>
      <c r="E764" t="s">
        <v>23</v>
      </c>
      <c r="F764" t="str">
        <f t="shared" si="11"/>
        <v>"C:\Program Files\VideoLAN\VLC\vlc.exe" "http://freeuk3.listen2myradio.com:4464/"</v>
      </c>
      <c r="M764" t="e">
        <f>VLOOKUP(A764,logos!$A$2:$A$10004,1,FALSE)</f>
        <v>#N/A</v>
      </c>
    </row>
    <row r="765" spans="1:13" hidden="1" x14ac:dyDescent="0.55000000000000004">
      <c r="A765" t="s">
        <v>1336</v>
      </c>
      <c r="B765" t="s">
        <v>1663</v>
      </c>
      <c r="C765" t="s">
        <v>1335</v>
      </c>
      <c r="D765" t="s">
        <v>1657</v>
      </c>
      <c r="E765" t="s">
        <v>23</v>
      </c>
      <c r="F765" t="str">
        <f t="shared" si="11"/>
        <v>"C:\Program Files\VideoLAN\VLC\vlc.exe" "http://icecast.thisisdax.com/RealXSManchesterMP3"</v>
      </c>
      <c r="M765" t="e">
        <f>VLOOKUP(A765,logos!$A$2:$A$10004,1,FALSE)</f>
        <v>#N/A</v>
      </c>
    </row>
    <row r="766" spans="1:13" hidden="1" x14ac:dyDescent="0.55000000000000004">
      <c r="A766" t="s">
        <v>1033</v>
      </c>
      <c r="B766" t="s">
        <v>1663</v>
      </c>
      <c r="C766" t="s">
        <v>1035</v>
      </c>
      <c r="D766" t="s">
        <v>1657</v>
      </c>
      <c r="E766" t="s">
        <v>23</v>
      </c>
      <c r="F766" t="str">
        <f t="shared" si="11"/>
        <v>"C:\Program Files\VideoLAN\VLC\vlc.exe" "http://media.radiojackie.com:12614/"</v>
      </c>
      <c r="M766" t="e">
        <f>VLOOKUP(A766,logos!$A$2:$A$10004,1,FALSE)</f>
        <v>#N/A</v>
      </c>
    </row>
    <row r="767" spans="1:13" hidden="1" x14ac:dyDescent="0.55000000000000004">
      <c r="A767" t="s">
        <v>27</v>
      </c>
      <c r="B767" t="s">
        <v>1663</v>
      </c>
      <c r="C767" t="s">
        <v>26</v>
      </c>
      <c r="D767" t="s">
        <v>1657</v>
      </c>
      <c r="E767" t="s">
        <v>23</v>
      </c>
      <c r="F767" t="str">
        <f t="shared" si="11"/>
        <v>"C:\Program Files\VideoLAN\VLC\vlc.exe" "http://stream1.themediasite.co.uk:8020/stream"</v>
      </c>
      <c r="M767" t="e">
        <f>VLOOKUP(A767,logos!$A$2:$A$10004,1,FALSE)</f>
        <v>#N/A</v>
      </c>
    </row>
    <row r="768" spans="1:13" hidden="1" x14ac:dyDescent="0.55000000000000004">
      <c r="A768" t="s">
        <v>30</v>
      </c>
      <c r="B768" t="s">
        <v>1663</v>
      </c>
      <c r="C768" t="s">
        <v>29</v>
      </c>
      <c r="D768" t="s">
        <v>1657</v>
      </c>
      <c r="E768" t="s">
        <v>23</v>
      </c>
      <c r="F768" t="str">
        <f t="shared" si="11"/>
        <v>"C:\Program Files\VideoLAN\VLC\vlc.exe" "http://stream.mybroadbandradio.com/80srhythmhq?ref=RF"</v>
      </c>
      <c r="M768" t="e">
        <f>VLOOKUP(A768,logos!$A$2:$A$10004,1,FALSE)</f>
        <v>#N/A</v>
      </c>
    </row>
    <row r="769" spans="1:13" hidden="1" x14ac:dyDescent="0.55000000000000004">
      <c r="A769" t="s">
        <v>32</v>
      </c>
      <c r="B769" t="s">
        <v>1663</v>
      </c>
      <c r="C769" t="s">
        <v>31</v>
      </c>
      <c r="D769" t="s">
        <v>1657</v>
      </c>
      <c r="E769" t="s">
        <v>23</v>
      </c>
      <c r="F769" t="str">
        <f t="shared" si="11"/>
        <v>"C:\Program Files\VideoLAN\VLC\vlc.exe" "http://stream3.hippynet.co.uk:8008/stream"</v>
      </c>
      <c r="M769" t="e">
        <f>VLOOKUP(A769,logos!$A$2:$A$10004,1,FALSE)</f>
        <v>#N/A</v>
      </c>
    </row>
    <row r="770" spans="1:13" hidden="1" x14ac:dyDescent="0.55000000000000004">
      <c r="A770" t="s">
        <v>54</v>
      </c>
      <c r="B770" t="s">
        <v>1663</v>
      </c>
      <c r="C770" t="s">
        <v>53</v>
      </c>
      <c r="D770" t="s">
        <v>1657</v>
      </c>
      <c r="E770" t="s">
        <v>23</v>
      </c>
      <c r="F770" t="str">
        <f t="shared" si="11"/>
        <v>"C:\Program Files\VideoLAN\VLC\vlc.exe" "http://listen-actualradio.sharp-stream.com/actualradio.mp3?ref=RF"</v>
      </c>
      <c r="M770" t="e">
        <f>VLOOKUP(A770,logos!$A$2:$A$10004,1,FALSE)</f>
        <v>#N/A</v>
      </c>
    </row>
    <row r="771" spans="1:13" hidden="1" x14ac:dyDescent="0.55000000000000004">
      <c r="A771" t="s">
        <v>59</v>
      </c>
      <c r="B771" t="s">
        <v>1663</v>
      </c>
      <c r="C771" t="s">
        <v>58</v>
      </c>
      <c r="D771" t="s">
        <v>1657</v>
      </c>
      <c r="E771" t="s">
        <v>23</v>
      </c>
      <c r="F771" t="str">
        <f t="shared" ref="F771:F834" si="12">"""C:\Program Files\VideoLAN\VLC\vlc.exe"" """&amp;C771&amp;""""</f>
        <v>"C:\Program Files\VideoLAN\VLC\vlc.exe" "http://s5.radio.co:80/s2e9e33a2d/listen"</v>
      </c>
      <c r="M771" t="e">
        <f>VLOOKUP(A771,logos!$A$2:$A$10004,1,FALSE)</f>
        <v>#N/A</v>
      </c>
    </row>
    <row r="772" spans="1:13" hidden="1" x14ac:dyDescent="0.55000000000000004">
      <c r="A772" t="s">
        <v>66</v>
      </c>
      <c r="B772" t="s">
        <v>1663</v>
      </c>
      <c r="C772" t="s">
        <v>65</v>
      </c>
      <c r="D772" t="s">
        <v>1657</v>
      </c>
      <c r="E772" t="s">
        <v>23</v>
      </c>
      <c r="F772" t="str">
        <f t="shared" si="12"/>
        <v>"C:\Program Files\VideoLAN\VLC\vlc.exe" "http://arenaradio.radioca.st:8284/stream"</v>
      </c>
      <c r="M772" t="e">
        <f>VLOOKUP(A772,logos!$A$2:$A$10004,1,FALSE)</f>
        <v>#N/A</v>
      </c>
    </row>
    <row r="773" spans="1:13" hidden="1" x14ac:dyDescent="0.55000000000000004">
      <c r="A773" t="s">
        <v>71</v>
      </c>
      <c r="B773" t="s">
        <v>1663</v>
      </c>
      <c r="C773" t="s">
        <v>70</v>
      </c>
      <c r="D773" t="s">
        <v>1657</v>
      </c>
      <c r="E773" t="s">
        <v>23</v>
      </c>
      <c r="F773" t="str">
        <f t="shared" si="12"/>
        <v>"C:\Program Files\VideoLAN\VLC\vlc.exe" "http://streaming.broadcastradio.com:9420/asiansoundradio"</v>
      </c>
      <c r="M773" t="e">
        <f>VLOOKUP(A773,logos!$A$2:$A$10004,1,FALSE)</f>
        <v>#N/A</v>
      </c>
    </row>
    <row r="774" spans="1:13" hidden="1" x14ac:dyDescent="0.55000000000000004">
      <c r="A774" t="s">
        <v>73</v>
      </c>
      <c r="B774" t="s">
        <v>1663</v>
      </c>
      <c r="C774" t="s">
        <v>72</v>
      </c>
      <c r="D774" t="s">
        <v>1657</v>
      </c>
      <c r="E774" t="s">
        <v>23</v>
      </c>
      <c r="F774" t="str">
        <f t="shared" si="12"/>
        <v>"C:\Program Files\VideoLAN\VLC\vlc.exe" "http://listen-awaite.sharp-stream.com/aspenwaiteprem.mp3?ref=RF"</v>
      </c>
      <c r="M774" t="str">
        <f>VLOOKUP(A774,logos!$A$2:$A$10004,1,FALSE)</f>
        <v>Aspen Waite Radio</v>
      </c>
    </row>
    <row r="775" spans="1:13" hidden="1" x14ac:dyDescent="0.55000000000000004">
      <c r="A775" t="s">
        <v>79</v>
      </c>
      <c r="B775" t="s">
        <v>1663</v>
      </c>
      <c r="C775" t="s">
        <v>78</v>
      </c>
      <c r="D775" t="s">
        <v>1657</v>
      </c>
      <c r="E775" t="s">
        <v>23</v>
      </c>
      <c r="F775" t="str">
        <f t="shared" si="12"/>
        <v>"C:\Program Files\VideoLAN\VLC\vlc.exe" "http://listen-atmosphere.sharp-stream.com/mangovibe.mp3?ref=RF"</v>
      </c>
      <c r="M775" t="e">
        <f>VLOOKUP(A775,logos!$A$2:$A$10004,1,FALSE)</f>
        <v>#N/A</v>
      </c>
    </row>
    <row r="776" spans="1:13" hidden="1" x14ac:dyDescent="0.55000000000000004">
      <c r="A776" t="s">
        <v>86</v>
      </c>
      <c r="B776" t="s">
        <v>1663</v>
      </c>
      <c r="C776" t="s">
        <v>85</v>
      </c>
      <c r="D776" t="s">
        <v>1657</v>
      </c>
      <c r="E776" t="s">
        <v>23</v>
      </c>
      <c r="F776" t="str">
        <f t="shared" si="12"/>
        <v>"C:\Program Files\VideoLAN\VLC\vlc.exe" "http://hydra.shoutca.st:8064/stream"</v>
      </c>
      <c r="M776" t="str">
        <f>VLOOKUP(A776,logos!$A$2:$A$10004,1,FALSE)</f>
        <v>Bay Trust Radio</v>
      </c>
    </row>
    <row r="777" spans="1:13" hidden="1" x14ac:dyDescent="0.55000000000000004">
      <c r="A777" t="s">
        <v>90</v>
      </c>
      <c r="B777" t="s">
        <v>1663</v>
      </c>
      <c r="C777" t="s">
        <v>4841</v>
      </c>
      <c r="D777" t="s">
        <v>1657</v>
      </c>
      <c r="E777" t="s">
        <v>23</v>
      </c>
      <c r="F777" t="str">
        <f t="shared" si="12"/>
        <v>"C:\Program Files\VideoLAN\VLC\vlc.exe" "http://stream.live.vc.bbcmedia.co.uk/bbc_asian_network"</v>
      </c>
      <c r="M777" t="str">
        <f>VLOOKUP(A777,logos!$A$2:$A$10004,1,FALSE)</f>
        <v>BBC Asian Network</v>
      </c>
    </row>
    <row r="778" spans="1:13" hidden="1" x14ac:dyDescent="0.55000000000000004">
      <c r="A778" t="s">
        <v>93</v>
      </c>
      <c r="B778" t="s">
        <v>1663</v>
      </c>
      <c r="C778" t="s">
        <v>4842</v>
      </c>
      <c r="D778" t="s">
        <v>1657</v>
      </c>
      <c r="E778" t="s">
        <v>23</v>
      </c>
      <c r="F778" t="str">
        <f t="shared" si="12"/>
        <v>"C:\Program Files\VideoLAN\VLC\vlc.exe" "http://stream.live.vc.bbcmedia.co.uk/bbc_radio_coventry_warwickshire"</v>
      </c>
      <c r="M778" t="str">
        <f>VLOOKUP(A778,logos!$A$2:$A$10004,1,FALSE)</f>
        <v>BBC CWR</v>
      </c>
    </row>
    <row r="779" spans="1:13" hidden="1" x14ac:dyDescent="0.55000000000000004">
      <c r="A779" t="s">
        <v>95</v>
      </c>
      <c r="B779" t="s">
        <v>1663</v>
      </c>
      <c r="C779" t="s">
        <v>4843</v>
      </c>
      <c r="D779" t="s">
        <v>1657</v>
      </c>
      <c r="E779" t="s">
        <v>23</v>
      </c>
      <c r="F779" t="str">
        <f t="shared" si="12"/>
        <v>"C:\Program Files\VideoLAN\VLC\vlc.exe" "http://stream.live.vc.bbcmedia.co.uk/bbc_radio_essex"</v>
      </c>
      <c r="M779" t="str">
        <f>VLOOKUP(A779,logos!$A$2:$A$10004,1,FALSE)</f>
        <v>BBC Essex</v>
      </c>
    </row>
    <row r="780" spans="1:13" hidden="1" x14ac:dyDescent="0.55000000000000004">
      <c r="A780" t="s">
        <v>97</v>
      </c>
      <c r="B780" t="s">
        <v>1663</v>
      </c>
      <c r="C780" t="s">
        <v>4844</v>
      </c>
      <c r="D780" t="s">
        <v>1657</v>
      </c>
      <c r="E780" t="s">
        <v>23</v>
      </c>
      <c r="F780" t="str">
        <f t="shared" si="12"/>
        <v>"C:\Program Files\VideoLAN\VLC\vlc.exe" "http://stream.live.vc.bbcmedia.co.uk/bbc_radio_hereford_worcester"</v>
      </c>
      <c r="M780" t="str">
        <f>VLOOKUP(A780,logos!$A$2:$A$10004,1,FALSE)</f>
        <v>BBC Hereford &amp; Worcester</v>
      </c>
    </row>
    <row r="781" spans="1:13" hidden="1" x14ac:dyDescent="0.55000000000000004">
      <c r="A781" t="s">
        <v>2843</v>
      </c>
      <c r="B781" t="s">
        <v>1663</v>
      </c>
      <c r="C781" t="s">
        <v>4845</v>
      </c>
      <c r="D781" t="s">
        <v>1657</v>
      </c>
      <c r="E781" t="s">
        <v>23</v>
      </c>
      <c r="F781" t="str">
        <f t="shared" si="12"/>
        <v>"C:\Program Files\VideoLAN\VLC\vlc.exe" "http://stream.live.vc.bbcmedia.co.uk/bbc_radio_one"</v>
      </c>
      <c r="M781" t="str">
        <f>VLOOKUP(A781,logos!$A$2:$A$10004,1,FALSE)</f>
        <v>BBC Radio 1 (England)</v>
      </c>
    </row>
    <row r="782" spans="1:13" hidden="1" x14ac:dyDescent="0.55000000000000004">
      <c r="A782" t="s">
        <v>101</v>
      </c>
      <c r="B782" t="s">
        <v>1663</v>
      </c>
      <c r="C782" t="s">
        <v>4846</v>
      </c>
      <c r="D782" t="s">
        <v>1657</v>
      </c>
      <c r="E782" t="s">
        <v>23</v>
      </c>
      <c r="F782" t="str">
        <f t="shared" si="12"/>
        <v>"C:\Program Files\VideoLAN\VLC\vlc.exe" "http://stream.live.vc.bbcmedia.co.uk/bbc_1xtra"</v>
      </c>
      <c r="M782" t="str">
        <f>VLOOKUP(A782,logos!$A$2:$A$10004,1,FALSE)</f>
        <v>BBC Radio 1Xtra</v>
      </c>
    </row>
    <row r="783" spans="1:13" hidden="1" x14ac:dyDescent="0.55000000000000004">
      <c r="A783" t="s">
        <v>103</v>
      </c>
      <c r="B783" t="s">
        <v>1663</v>
      </c>
      <c r="C783" t="s">
        <v>4847</v>
      </c>
      <c r="D783" t="s">
        <v>1657</v>
      </c>
      <c r="E783" t="s">
        <v>23</v>
      </c>
      <c r="F783" t="str">
        <f t="shared" si="12"/>
        <v>"C:\Program Files\VideoLAN\VLC\vlc.exe" "http://stream.live.vc.bbcmedia.co.uk/bbc_radio_two"</v>
      </c>
      <c r="M783" t="str">
        <f>VLOOKUP(A783,logos!$A$2:$A$10004,1,FALSE)</f>
        <v>BBC Radio 2</v>
      </c>
    </row>
    <row r="784" spans="1:13" hidden="1" x14ac:dyDescent="0.55000000000000004">
      <c r="A784" t="s">
        <v>105</v>
      </c>
      <c r="B784" t="s">
        <v>1663</v>
      </c>
      <c r="C784" t="s">
        <v>4848</v>
      </c>
      <c r="D784" t="s">
        <v>1657</v>
      </c>
      <c r="E784" t="s">
        <v>23</v>
      </c>
      <c r="F784" t="str">
        <f t="shared" si="12"/>
        <v>"C:\Program Files\VideoLAN\VLC\vlc.exe" "http://stream.live.vc.bbcmedia.co.uk/bbc_radio_three"</v>
      </c>
      <c r="M784" t="str">
        <f>VLOOKUP(A784,logos!$A$2:$A$10004,1,FALSE)</f>
        <v>BBC Radio 3</v>
      </c>
    </row>
    <row r="785" spans="1:13" hidden="1" x14ac:dyDescent="0.55000000000000004">
      <c r="A785" t="s">
        <v>2844</v>
      </c>
      <c r="B785" t="s">
        <v>1663</v>
      </c>
      <c r="C785" t="s">
        <v>4849</v>
      </c>
      <c r="D785" t="s">
        <v>1657</v>
      </c>
      <c r="E785" t="s">
        <v>23</v>
      </c>
      <c r="F785" t="str">
        <f t="shared" si="12"/>
        <v>"C:\Program Files\VideoLAN\VLC\vlc.exe" "http://stream.live.vc.bbcmedia.co.uk/bbc_radio_fourfm"</v>
      </c>
      <c r="M785" t="str">
        <f>VLOOKUP(A785,logos!$A$2:$A$10004,1,FALSE)</f>
        <v>BBC Radio 4 (DAB)</v>
      </c>
    </row>
    <row r="786" spans="1:13" hidden="1" x14ac:dyDescent="0.55000000000000004">
      <c r="A786" t="s">
        <v>2845</v>
      </c>
      <c r="B786" t="s">
        <v>1663</v>
      </c>
      <c r="C786" t="s">
        <v>4850</v>
      </c>
      <c r="D786" t="s">
        <v>1657</v>
      </c>
      <c r="E786" t="s">
        <v>23</v>
      </c>
      <c r="F786" t="str">
        <f t="shared" si="12"/>
        <v>"C:\Program Files\VideoLAN\VLC\vlc.exe" "http://stream.live.vc.bbcmedia.co.uk/bbc_radio_fourlw"</v>
      </c>
      <c r="M786" t="str">
        <f>VLOOKUP(A786,logos!$A$2:$A$10004,1,FALSE)</f>
        <v>BBC Radio 4 (LW)</v>
      </c>
    </row>
    <row r="787" spans="1:13" hidden="1" x14ac:dyDescent="0.55000000000000004">
      <c r="A787" t="s">
        <v>111</v>
      </c>
      <c r="B787" t="s">
        <v>1663</v>
      </c>
      <c r="C787" t="s">
        <v>4851</v>
      </c>
      <c r="D787" t="s">
        <v>1657</v>
      </c>
      <c r="E787" t="s">
        <v>23</v>
      </c>
      <c r="F787" t="str">
        <f t="shared" si="12"/>
        <v>"C:\Program Files\VideoLAN\VLC\vlc.exe" "http://stream.live.vc.bbcmedia.co.uk/bbc_radio_four_extra"</v>
      </c>
      <c r="M787" t="str">
        <f>VLOOKUP(A787,logos!$A$2:$A$10004,1,FALSE)</f>
        <v>BBC Radio 4 Extra</v>
      </c>
    </row>
    <row r="788" spans="1:13" hidden="1" x14ac:dyDescent="0.55000000000000004">
      <c r="A788" t="s">
        <v>113</v>
      </c>
      <c r="B788" t="s">
        <v>1663</v>
      </c>
      <c r="C788" t="s">
        <v>4852</v>
      </c>
      <c r="D788" t="s">
        <v>1657</v>
      </c>
      <c r="E788" t="s">
        <v>23</v>
      </c>
      <c r="F788" t="str">
        <f t="shared" si="12"/>
        <v>"C:\Program Files\VideoLAN\VLC\vlc.exe" "http://stream.live.vc.bbcmedia.co.uk/bbc_radio_five_live"</v>
      </c>
      <c r="M788" t="str">
        <f>VLOOKUP(A788,logos!$A$2:$A$10004,1,FALSE)</f>
        <v>BBC Radio 5 Live</v>
      </c>
    </row>
    <row r="789" spans="1:13" hidden="1" x14ac:dyDescent="0.55000000000000004">
      <c r="A789" t="s">
        <v>116</v>
      </c>
      <c r="B789" t="s">
        <v>1663</v>
      </c>
      <c r="C789" t="s">
        <v>4853</v>
      </c>
      <c r="D789" t="s">
        <v>1657</v>
      </c>
      <c r="E789" t="s">
        <v>23</v>
      </c>
      <c r="F789" t="str">
        <f t="shared" si="12"/>
        <v>"C:\Program Files\VideoLAN\VLC\vlc.exe" "http://stream.live.vc.bbcmedia.co.uk/bbc_radio_five_live_sports_extra"</v>
      </c>
      <c r="M789" t="str">
        <f>VLOOKUP(A789,logos!$A$2:$A$10004,1,FALSE)</f>
        <v>BBC Radio 5 Sports Extra</v>
      </c>
    </row>
    <row r="790" spans="1:13" hidden="1" x14ac:dyDescent="0.55000000000000004">
      <c r="A790" t="s">
        <v>118</v>
      </c>
      <c r="B790" t="s">
        <v>1663</v>
      </c>
      <c r="C790" t="s">
        <v>4854</v>
      </c>
      <c r="D790" t="s">
        <v>1657</v>
      </c>
      <c r="E790" t="s">
        <v>23</v>
      </c>
      <c r="F790" t="str">
        <f t="shared" si="12"/>
        <v>"C:\Program Files\VideoLAN\VLC\vlc.exe" "http://stream.live.vc.bbcmedia.co.uk/bbc_6music"</v>
      </c>
      <c r="M790" t="str">
        <f>VLOOKUP(A790,logos!$A$2:$A$10004,1,FALSE)</f>
        <v>BBC Radio 6 Music</v>
      </c>
    </row>
    <row r="791" spans="1:13" hidden="1" x14ac:dyDescent="0.55000000000000004">
      <c r="A791" t="s">
        <v>120</v>
      </c>
      <c r="B791" t="s">
        <v>1663</v>
      </c>
      <c r="C791" t="s">
        <v>4855</v>
      </c>
      <c r="D791" t="s">
        <v>1657</v>
      </c>
      <c r="E791" t="s">
        <v>23</v>
      </c>
      <c r="F791" t="str">
        <f t="shared" si="12"/>
        <v>"C:\Program Files\VideoLAN\VLC\vlc.exe" "http://stream.live.vc.bbcmedia.co.uk/bbc_radio_berkshire"</v>
      </c>
      <c r="M791" t="str">
        <f>VLOOKUP(A791,logos!$A$2:$A$10004,1,FALSE)</f>
        <v>BBC Radio Berkshire</v>
      </c>
    </row>
    <row r="792" spans="1:13" hidden="1" x14ac:dyDescent="0.55000000000000004">
      <c r="A792" t="s">
        <v>122</v>
      </c>
      <c r="B792" t="s">
        <v>1663</v>
      </c>
      <c r="C792" t="s">
        <v>4856</v>
      </c>
      <c r="D792" t="s">
        <v>1657</v>
      </c>
      <c r="E792" t="s">
        <v>23</v>
      </c>
      <c r="F792" t="str">
        <f t="shared" si="12"/>
        <v>"C:\Program Files\VideoLAN\VLC\vlc.exe" "http://stream.live.vc.bbcmedia.co.uk/bbc_radio_bristol"</v>
      </c>
      <c r="M792" t="str">
        <f>VLOOKUP(A792,logos!$A$2:$A$10004,1,FALSE)</f>
        <v>BBC Radio Bristol</v>
      </c>
    </row>
    <row r="793" spans="1:13" hidden="1" x14ac:dyDescent="0.55000000000000004">
      <c r="A793" t="s">
        <v>2846</v>
      </c>
      <c r="B793" t="s">
        <v>1663</v>
      </c>
      <c r="C793" t="s">
        <v>4857</v>
      </c>
      <c r="D793" t="s">
        <v>1657</v>
      </c>
      <c r="E793" t="s">
        <v>23</v>
      </c>
      <c r="F793" t="str">
        <f t="shared" si="12"/>
        <v>"C:\Program Files\VideoLAN\VLC\vlc.exe" "http://stream.live.vc.bbcmedia.co.uk/bbc_radio_cambridge"</v>
      </c>
      <c r="M793" t="e">
        <f>VLOOKUP(A793,logos!$A$2:$A$10004,1,FALSE)</f>
        <v>#N/A</v>
      </c>
    </row>
    <row r="794" spans="1:13" hidden="1" x14ac:dyDescent="0.55000000000000004">
      <c r="A794" t="s">
        <v>126</v>
      </c>
      <c r="B794" t="s">
        <v>1663</v>
      </c>
      <c r="C794" t="s">
        <v>4858</v>
      </c>
      <c r="D794" t="s">
        <v>1657</v>
      </c>
      <c r="E794" t="s">
        <v>23</v>
      </c>
      <c r="F794" t="str">
        <f t="shared" si="12"/>
        <v>"C:\Program Files\VideoLAN\VLC\vlc.exe" "http://stream.live.vc.bbcmedia.co.uk/bbc_radio_cornwall"</v>
      </c>
      <c r="M794" t="str">
        <f>VLOOKUP(A794,logos!$A$2:$A$10004,1,FALSE)</f>
        <v>BBC Radio Cornwall</v>
      </c>
    </row>
    <row r="795" spans="1:13" hidden="1" x14ac:dyDescent="0.55000000000000004">
      <c r="A795" t="s">
        <v>2847</v>
      </c>
      <c r="B795" t="s">
        <v>1663</v>
      </c>
      <c r="C795" t="s">
        <v>4859</v>
      </c>
      <c r="D795" t="s">
        <v>1657</v>
      </c>
      <c r="E795" t="s">
        <v>23</v>
      </c>
      <c r="F795" t="str">
        <f t="shared" si="12"/>
        <v>"C:\Program Files\VideoLAN\VLC\vlc.exe" "http://stream.live.vc.bbcmedia.co.uk/bbc_radio_cumbria"</v>
      </c>
      <c r="M795" t="str">
        <f>VLOOKUP(A795,logos!$A$2:$A$10004,1,FALSE)</f>
        <v>BBC Radio Cumbria (FM)</v>
      </c>
    </row>
    <row r="796" spans="1:13" hidden="1" x14ac:dyDescent="0.55000000000000004">
      <c r="A796" t="s">
        <v>2848</v>
      </c>
      <c r="B796" t="s">
        <v>1663</v>
      </c>
      <c r="C796" t="s">
        <v>4860</v>
      </c>
      <c r="D796" t="s">
        <v>1657</v>
      </c>
      <c r="E796" t="s">
        <v>23</v>
      </c>
      <c r="F796" t="str">
        <f t="shared" si="12"/>
        <v>"C:\Program Files\VideoLAN\VLC\vlc.exe" "http://stream.live.vc.bbcmedia.co.uk/bbc_radio_cymru"</v>
      </c>
      <c r="M796" t="e">
        <f>VLOOKUP(A796,logos!$A$2:$A$10004,1,FALSE)</f>
        <v>#N/A</v>
      </c>
    </row>
    <row r="797" spans="1:13" hidden="1" x14ac:dyDescent="0.55000000000000004">
      <c r="A797" t="s">
        <v>132</v>
      </c>
      <c r="B797" t="s">
        <v>1663</v>
      </c>
      <c r="C797" t="s">
        <v>4861</v>
      </c>
      <c r="D797" t="s">
        <v>1657</v>
      </c>
      <c r="E797" t="s">
        <v>23</v>
      </c>
      <c r="F797" t="str">
        <f t="shared" si="12"/>
        <v>"C:\Program Files\VideoLAN\VLC\vlc.exe" "http://stream.live.vc.bbcmedia.co.uk/bbc_radio_cymru_2"</v>
      </c>
      <c r="M797" t="str">
        <f>VLOOKUP(A797,logos!$A$2:$A$10004,1,FALSE)</f>
        <v>BBC Radio Cymru 2</v>
      </c>
    </row>
    <row r="798" spans="1:13" hidden="1" x14ac:dyDescent="0.55000000000000004">
      <c r="A798" t="s">
        <v>2849</v>
      </c>
      <c r="B798" t="s">
        <v>1663</v>
      </c>
      <c r="C798" t="s">
        <v>4862</v>
      </c>
      <c r="D798" t="s">
        <v>1657</v>
      </c>
      <c r="E798" t="s">
        <v>23</v>
      </c>
      <c r="F798" t="str">
        <f t="shared" si="12"/>
        <v>"C:\Program Files\VideoLAN\VLC\vlc.exe" "http://stream.live.vc.bbcmedia.co.uk/bbc_radio_derby"</v>
      </c>
      <c r="M798" t="e">
        <f>VLOOKUP(A798,logos!$A$2:$A$10004,1,FALSE)</f>
        <v>#N/A</v>
      </c>
    </row>
    <row r="799" spans="1:13" hidden="1" x14ac:dyDescent="0.55000000000000004">
      <c r="A799" t="s">
        <v>2850</v>
      </c>
      <c r="B799" t="s">
        <v>1663</v>
      </c>
      <c r="C799" t="s">
        <v>4863</v>
      </c>
      <c r="D799" t="s">
        <v>1657</v>
      </c>
      <c r="E799" t="s">
        <v>23</v>
      </c>
      <c r="F799" t="str">
        <f t="shared" si="12"/>
        <v>"C:\Program Files\VideoLAN\VLC\vlc.exe" "http://stream.live.vc.bbcmedia.co.uk/bbc_radio_devon"</v>
      </c>
      <c r="M799" t="e">
        <f>VLOOKUP(A799,logos!$A$2:$A$10004,1,FALSE)</f>
        <v>#N/A</v>
      </c>
    </row>
    <row r="800" spans="1:13" hidden="1" x14ac:dyDescent="0.55000000000000004">
      <c r="A800" t="s">
        <v>138</v>
      </c>
      <c r="B800" t="s">
        <v>1663</v>
      </c>
      <c r="C800" t="s">
        <v>4864</v>
      </c>
      <c r="D800" t="s">
        <v>1657</v>
      </c>
      <c r="E800" t="s">
        <v>23</v>
      </c>
      <c r="F800" t="str">
        <f t="shared" si="12"/>
        <v>"C:\Program Files\VideoLAN\VLC\vlc.exe" "http://stream.live.vc.bbcmedia.co.uk/bbc_radio_foyle"</v>
      </c>
      <c r="M800" t="str">
        <f>VLOOKUP(A800,logos!$A$2:$A$10004,1,FALSE)</f>
        <v>BBC Radio Foyle</v>
      </c>
    </row>
    <row r="801" spans="1:13" hidden="1" x14ac:dyDescent="0.55000000000000004">
      <c r="A801" t="s">
        <v>140</v>
      </c>
      <c r="B801" t="s">
        <v>1663</v>
      </c>
      <c r="C801" t="s">
        <v>4865</v>
      </c>
      <c r="D801" t="s">
        <v>1657</v>
      </c>
      <c r="E801" t="s">
        <v>23</v>
      </c>
      <c r="F801" t="str">
        <f t="shared" si="12"/>
        <v>"C:\Program Files\VideoLAN\VLC\vlc.exe" "http://stream.live.vc.bbcmedia.co.uk/bbc_radio_gloucestershire"</v>
      </c>
      <c r="M801" t="str">
        <f>VLOOKUP(A801,logos!$A$2:$A$10004,1,FALSE)</f>
        <v>BBC Radio Gloucestershire</v>
      </c>
    </row>
    <row r="802" spans="1:13" hidden="1" x14ac:dyDescent="0.55000000000000004">
      <c r="A802" t="s">
        <v>2851</v>
      </c>
      <c r="B802" t="s">
        <v>1663</v>
      </c>
      <c r="C802" t="s">
        <v>4866</v>
      </c>
      <c r="D802" t="s">
        <v>1657</v>
      </c>
      <c r="E802" t="s">
        <v>23</v>
      </c>
      <c r="F802" t="str">
        <f t="shared" si="12"/>
        <v>"C:\Program Files\VideoLAN\VLC\vlc.exe" "http://stream.live.vc.bbcmedia.co.uk/bbc_radio_guernsey"</v>
      </c>
      <c r="M802" t="e">
        <f>VLOOKUP(A802,logos!$A$2:$A$10004,1,FALSE)</f>
        <v>#N/A</v>
      </c>
    </row>
    <row r="803" spans="1:13" hidden="1" x14ac:dyDescent="0.55000000000000004">
      <c r="A803" t="s">
        <v>2852</v>
      </c>
      <c r="B803" t="s">
        <v>1663</v>
      </c>
      <c r="C803" t="s">
        <v>4867</v>
      </c>
      <c r="D803" t="s">
        <v>1657</v>
      </c>
      <c r="E803" t="s">
        <v>23</v>
      </c>
      <c r="F803" t="str">
        <f t="shared" si="12"/>
        <v>"C:\Program Files\VideoLAN\VLC\vlc.exe" "http://stream.live.vc.bbcmedia.co.uk/bbc_radio_humberside"</v>
      </c>
      <c r="M803" t="e">
        <f>VLOOKUP(A803,logos!$A$2:$A$10004,1,FALSE)</f>
        <v>#N/A</v>
      </c>
    </row>
    <row r="804" spans="1:13" hidden="1" x14ac:dyDescent="0.55000000000000004">
      <c r="A804" t="s">
        <v>2853</v>
      </c>
      <c r="B804" t="s">
        <v>1663</v>
      </c>
      <c r="C804" t="s">
        <v>4868</v>
      </c>
      <c r="D804" t="s">
        <v>1657</v>
      </c>
      <c r="E804" t="s">
        <v>23</v>
      </c>
      <c r="F804" t="str">
        <f t="shared" si="12"/>
        <v>"C:\Program Files\VideoLAN\VLC\vlc.exe" "http://stream.live.vc.bbcmedia.co.uk/bbc_radio_jersey"</v>
      </c>
      <c r="M804" t="e">
        <f>VLOOKUP(A804,logos!$A$2:$A$10004,1,FALSE)</f>
        <v>#N/A</v>
      </c>
    </row>
    <row r="805" spans="1:13" hidden="1" x14ac:dyDescent="0.55000000000000004">
      <c r="A805" t="s">
        <v>148</v>
      </c>
      <c r="B805" t="s">
        <v>1663</v>
      </c>
      <c r="C805" t="s">
        <v>4869</v>
      </c>
      <c r="D805" t="s">
        <v>1657</v>
      </c>
      <c r="E805" t="s">
        <v>23</v>
      </c>
      <c r="F805" t="str">
        <f t="shared" si="12"/>
        <v>"C:\Program Files\VideoLAN\VLC\vlc.exe" "http://stream.live.vc.bbcmedia.co.uk/bbc_radio_kent"</v>
      </c>
      <c r="M805" t="str">
        <f>VLOOKUP(A805,logos!$A$2:$A$10004,1,FALSE)</f>
        <v>BBC Radio Kent</v>
      </c>
    </row>
    <row r="806" spans="1:13" hidden="1" x14ac:dyDescent="0.55000000000000004">
      <c r="A806" t="s">
        <v>150</v>
      </c>
      <c r="B806" t="s">
        <v>1663</v>
      </c>
      <c r="C806" t="s">
        <v>4870</v>
      </c>
      <c r="D806" t="s">
        <v>1657</v>
      </c>
      <c r="E806" t="s">
        <v>23</v>
      </c>
      <c r="F806" t="str">
        <f t="shared" si="12"/>
        <v>"C:\Program Files\VideoLAN\VLC\vlc.exe" "http://stream.live.vc.bbcmedia.co.uk/bbc_radio_lancashire"</v>
      </c>
      <c r="M806" t="str">
        <f>VLOOKUP(A806,logos!$A$2:$A$10004,1,FALSE)</f>
        <v>BBC Radio Lancashire</v>
      </c>
    </row>
    <row r="807" spans="1:13" hidden="1" x14ac:dyDescent="0.55000000000000004">
      <c r="A807" t="s">
        <v>152</v>
      </c>
      <c r="B807" t="s">
        <v>1663</v>
      </c>
      <c r="C807" t="s">
        <v>4871</v>
      </c>
      <c r="D807" t="s">
        <v>1657</v>
      </c>
      <c r="E807" t="s">
        <v>23</v>
      </c>
      <c r="F807" t="str">
        <f t="shared" si="12"/>
        <v>"C:\Program Files\VideoLAN\VLC\vlc.exe" "http://stream.live.vc.bbcmedia.co.uk/bbc_radio_leeds"</v>
      </c>
      <c r="M807" t="str">
        <f>VLOOKUP(A807,logos!$A$2:$A$10004,1,FALSE)</f>
        <v>BBC Radio Leeds</v>
      </c>
    </row>
    <row r="808" spans="1:13" hidden="1" x14ac:dyDescent="0.55000000000000004">
      <c r="A808" t="s">
        <v>154</v>
      </c>
      <c r="B808" t="s">
        <v>1663</v>
      </c>
      <c r="C808" t="s">
        <v>4872</v>
      </c>
      <c r="D808" t="s">
        <v>1657</v>
      </c>
      <c r="E808" t="s">
        <v>23</v>
      </c>
      <c r="F808" t="str">
        <f t="shared" si="12"/>
        <v>"C:\Program Files\VideoLAN\VLC\vlc.exe" "http://stream.live.vc.bbcmedia.co.uk/bbc_radio_leicester"</v>
      </c>
      <c r="M808" t="str">
        <f>VLOOKUP(A808,logos!$A$2:$A$10004,1,FALSE)</f>
        <v>BBC Radio Leicester</v>
      </c>
    </row>
    <row r="809" spans="1:13" hidden="1" x14ac:dyDescent="0.55000000000000004">
      <c r="A809" t="s">
        <v>156</v>
      </c>
      <c r="B809" t="s">
        <v>1663</v>
      </c>
      <c r="C809" t="s">
        <v>4873</v>
      </c>
      <c r="D809" t="s">
        <v>1657</v>
      </c>
      <c r="E809" t="s">
        <v>23</v>
      </c>
      <c r="F809" t="str">
        <f t="shared" si="12"/>
        <v>"C:\Program Files\VideoLAN\VLC\vlc.exe" "http://stream.live.vc.bbcmedia.co.uk/bbc_radio_lincolnshire"</v>
      </c>
      <c r="M809" t="str">
        <f>VLOOKUP(A809,logos!$A$2:$A$10004,1,FALSE)</f>
        <v>BBC Radio Lincolnshire</v>
      </c>
    </row>
    <row r="810" spans="1:13" hidden="1" x14ac:dyDescent="0.55000000000000004">
      <c r="A810" t="s">
        <v>2854</v>
      </c>
      <c r="B810" t="s">
        <v>1663</v>
      </c>
      <c r="C810" t="s">
        <v>4874</v>
      </c>
      <c r="D810" t="s">
        <v>1657</v>
      </c>
      <c r="E810" t="s">
        <v>23</v>
      </c>
      <c r="F810" t="str">
        <f t="shared" si="12"/>
        <v>"C:\Program Files\VideoLAN\VLC\vlc.exe" "http://stream.live.vc.bbcmedia.co.uk/bbc_london"</v>
      </c>
      <c r="M810" t="str">
        <f>VLOOKUP(A810,logos!$A$2:$A$10004,1,FALSE)</f>
        <v>BBC Radio London (FM)</v>
      </c>
    </row>
    <row r="811" spans="1:13" hidden="1" x14ac:dyDescent="0.55000000000000004">
      <c r="A811" t="s">
        <v>2855</v>
      </c>
      <c r="B811" t="s">
        <v>1663</v>
      </c>
      <c r="C811" t="s">
        <v>4875</v>
      </c>
      <c r="D811" t="s">
        <v>1657</v>
      </c>
      <c r="E811" t="s">
        <v>23</v>
      </c>
      <c r="F811" t="str">
        <f t="shared" si="12"/>
        <v>"C:\Program Files\VideoLAN\VLC\vlc.exe" "http://stream.live.vc.bbcmedia.co.uk/bbc_radio_manchester"</v>
      </c>
      <c r="M811" t="str">
        <f>VLOOKUP(A811,logos!$A$2:$A$10004,1,FALSE)</f>
        <v>BBC Radio Manchester (DAB)</v>
      </c>
    </row>
    <row r="812" spans="1:13" hidden="1" x14ac:dyDescent="0.55000000000000004">
      <c r="A812" t="s">
        <v>162</v>
      </c>
      <c r="B812" t="s">
        <v>1663</v>
      </c>
      <c r="C812" t="s">
        <v>4876</v>
      </c>
      <c r="D812" t="s">
        <v>1657</v>
      </c>
      <c r="E812" t="s">
        <v>23</v>
      </c>
      <c r="F812" t="str">
        <f t="shared" si="12"/>
        <v>"C:\Program Files\VideoLAN\VLC\vlc.exe" "http://stream.live.vc.bbcmedia.co.uk/bbc_radio_merseyside"</v>
      </c>
      <c r="M812" t="str">
        <f>VLOOKUP(A812,logos!$A$2:$A$10004,1,FALSE)</f>
        <v>BBC Radio Merseyside</v>
      </c>
    </row>
    <row r="813" spans="1:13" hidden="1" x14ac:dyDescent="0.55000000000000004">
      <c r="A813" t="s">
        <v>1694</v>
      </c>
      <c r="B813" t="s">
        <v>1663</v>
      </c>
      <c r="C813" t="s">
        <v>4877</v>
      </c>
      <c r="D813" t="s">
        <v>1657</v>
      </c>
      <c r="E813" t="s">
        <v>23</v>
      </c>
      <c r="F813" t="str">
        <f t="shared" si="12"/>
        <v>"C:\Program Files\VideoLAN\VLC\vlc.exe" "http://stream.live.vc.bbcmedia.co.uk/bbc_radio_nan_gaidheal"</v>
      </c>
      <c r="M813" t="e">
        <f>VLOOKUP(A813,logos!$A$2:$A$10004,1,FALSE)</f>
        <v>#N/A</v>
      </c>
    </row>
    <row r="814" spans="1:13" hidden="1" x14ac:dyDescent="0.55000000000000004">
      <c r="A814" t="s">
        <v>166</v>
      </c>
      <c r="B814" t="s">
        <v>1663</v>
      </c>
      <c r="C814" t="s">
        <v>4878</v>
      </c>
      <c r="D814" t="s">
        <v>1657</v>
      </c>
      <c r="E814" t="s">
        <v>23</v>
      </c>
      <c r="F814" t="str">
        <f t="shared" si="12"/>
        <v>"C:\Program Files\VideoLAN\VLC\vlc.exe" "http://stream.live.vc.bbcmedia.co.uk/bbc_radio_newcastle"</v>
      </c>
      <c r="M814" t="str">
        <f>VLOOKUP(A814,logos!$A$2:$A$10004,1,FALSE)</f>
        <v>BBC Radio Newcastle</v>
      </c>
    </row>
    <row r="815" spans="1:13" hidden="1" x14ac:dyDescent="0.55000000000000004">
      <c r="A815" t="s">
        <v>168</v>
      </c>
      <c r="B815" t="s">
        <v>1663</v>
      </c>
      <c r="C815" t="s">
        <v>4879</v>
      </c>
      <c r="D815" t="s">
        <v>1657</v>
      </c>
      <c r="E815" t="s">
        <v>23</v>
      </c>
      <c r="F815" t="str">
        <f t="shared" si="12"/>
        <v>"C:\Program Files\VideoLAN\VLC\vlc.exe" "http://stream.live.vc.bbcmedia.co.uk/bbc_radio_norfolk"</v>
      </c>
      <c r="M815" t="str">
        <f>VLOOKUP(A815,logos!$A$2:$A$10004,1,FALSE)</f>
        <v>BBC Radio Norfolk</v>
      </c>
    </row>
    <row r="816" spans="1:13" hidden="1" x14ac:dyDescent="0.55000000000000004">
      <c r="A816" t="s">
        <v>170</v>
      </c>
      <c r="B816" t="s">
        <v>1663</v>
      </c>
      <c r="C816" t="s">
        <v>4880</v>
      </c>
      <c r="D816" t="s">
        <v>1657</v>
      </c>
      <c r="E816" t="s">
        <v>23</v>
      </c>
      <c r="F816" t="str">
        <f t="shared" si="12"/>
        <v>"C:\Program Files\VideoLAN\VLC\vlc.exe" "http://stream.live.vc.bbcmedia.co.uk/bbc_radio_northampton"</v>
      </c>
      <c r="M816" t="str">
        <f>VLOOKUP(A816,logos!$A$2:$A$10004,1,FALSE)</f>
        <v>BBC Radio Northampton</v>
      </c>
    </row>
    <row r="817" spans="1:13" hidden="1" x14ac:dyDescent="0.55000000000000004">
      <c r="A817" t="s">
        <v>172</v>
      </c>
      <c r="B817" t="s">
        <v>1663</v>
      </c>
      <c r="C817" t="s">
        <v>4881</v>
      </c>
      <c r="D817" t="s">
        <v>1657</v>
      </c>
      <c r="E817" t="s">
        <v>23</v>
      </c>
      <c r="F817" t="str">
        <f t="shared" si="12"/>
        <v>"C:\Program Files\VideoLAN\VLC\vlc.exe" "http://stream.live.vc.bbcmedia.co.uk/bbc_radio_nottingham"</v>
      </c>
      <c r="M817" t="str">
        <f>VLOOKUP(A817,logos!$A$2:$A$10004,1,FALSE)</f>
        <v>BBC Radio Nottingham</v>
      </c>
    </row>
    <row r="818" spans="1:13" hidden="1" x14ac:dyDescent="0.55000000000000004">
      <c r="A818" t="s">
        <v>174</v>
      </c>
      <c r="B818" t="s">
        <v>1663</v>
      </c>
      <c r="C818" t="s">
        <v>4882</v>
      </c>
      <c r="D818" t="s">
        <v>1657</v>
      </c>
      <c r="E818" t="s">
        <v>23</v>
      </c>
      <c r="F818" t="str">
        <f t="shared" si="12"/>
        <v>"C:\Program Files\VideoLAN\VLC\vlc.exe" "http://stream.live.vc.bbcmedia.co.uk/bbc_radio_orkney"</v>
      </c>
      <c r="M818" t="str">
        <f>VLOOKUP(A818,logos!$A$2:$A$10004,1,FALSE)</f>
        <v>BBC Radio Orkney</v>
      </c>
    </row>
    <row r="819" spans="1:13" hidden="1" x14ac:dyDescent="0.55000000000000004">
      <c r="A819" t="s">
        <v>176</v>
      </c>
      <c r="B819" t="s">
        <v>1663</v>
      </c>
      <c r="C819" t="s">
        <v>4883</v>
      </c>
      <c r="D819" t="s">
        <v>1657</v>
      </c>
      <c r="E819" t="s">
        <v>23</v>
      </c>
      <c r="F819" t="str">
        <f t="shared" si="12"/>
        <v>"C:\Program Files\VideoLAN\VLC\vlc.exe" "http://stream.live.vc.bbcmedia.co.uk/bbc_radio_oxford"</v>
      </c>
      <c r="M819" t="str">
        <f>VLOOKUP(A819,logos!$A$2:$A$10004,1,FALSE)</f>
        <v>BBC Radio Oxford</v>
      </c>
    </row>
    <row r="820" spans="1:13" hidden="1" x14ac:dyDescent="0.55000000000000004">
      <c r="A820" t="s">
        <v>2857</v>
      </c>
      <c r="B820" t="s">
        <v>1663</v>
      </c>
      <c r="C820" t="s">
        <v>4884</v>
      </c>
      <c r="D820" t="s">
        <v>1657</v>
      </c>
      <c r="E820" t="s">
        <v>23</v>
      </c>
      <c r="F820" t="str">
        <f t="shared" si="12"/>
        <v>"C:\Program Files\VideoLAN\VLC\vlc.exe" "http://stream.live.vc.bbcmedia.co.uk/bbc_radio_scotland_mw"</v>
      </c>
      <c r="M820" t="e">
        <f>VLOOKUP(A820,logos!$A$2:$A$10004,1,FALSE)</f>
        <v>#N/A</v>
      </c>
    </row>
    <row r="821" spans="1:13" hidden="1" x14ac:dyDescent="0.55000000000000004">
      <c r="A821" t="s">
        <v>2856</v>
      </c>
      <c r="B821" t="s">
        <v>1663</v>
      </c>
      <c r="C821" t="s">
        <v>4885</v>
      </c>
      <c r="D821" t="s">
        <v>1657</v>
      </c>
      <c r="E821" t="s">
        <v>23</v>
      </c>
      <c r="F821" t="str">
        <f t="shared" si="12"/>
        <v>"C:\Program Files\VideoLAN\VLC\vlc.exe" "http://stream.live.vc.bbcmedia.co.uk/bbc_radio_scotland_fm"</v>
      </c>
      <c r="M821" t="e">
        <f>VLOOKUP(A821,logos!$A$2:$A$10004,1,FALSE)</f>
        <v>#N/A</v>
      </c>
    </row>
    <row r="822" spans="1:13" hidden="1" x14ac:dyDescent="0.55000000000000004">
      <c r="A822" t="s">
        <v>182</v>
      </c>
      <c r="B822" t="s">
        <v>1663</v>
      </c>
      <c r="C822" t="s">
        <v>4886</v>
      </c>
      <c r="D822" t="s">
        <v>1657</v>
      </c>
      <c r="E822" t="s">
        <v>23</v>
      </c>
      <c r="F822" t="str">
        <f t="shared" si="12"/>
        <v>"C:\Program Files\VideoLAN\VLC\vlc.exe" "http://stream.live.vc.bbcmedia.co.uk/bbc_radio_sheffield"</v>
      </c>
      <c r="M822" t="str">
        <f>VLOOKUP(A822,logos!$A$2:$A$10004,1,FALSE)</f>
        <v>BBC Radio Sheffield</v>
      </c>
    </row>
    <row r="823" spans="1:13" hidden="1" x14ac:dyDescent="0.55000000000000004">
      <c r="A823" t="s">
        <v>184</v>
      </c>
      <c r="B823" t="s">
        <v>1663</v>
      </c>
      <c r="C823" t="s">
        <v>4887</v>
      </c>
      <c r="D823" t="s">
        <v>1657</v>
      </c>
      <c r="E823" t="s">
        <v>23</v>
      </c>
      <c r="F823" t="str">
        <f t="shared" si="12"/>
        <v>"C:\Program Files\VideoLAN\VLC\vlc.exe" "http://stream.live.vc.bbcmedia.co.uk/bbc_radio_shetland"</v>
      </c>
      <c r="M823" t="str">
        <f>VLOOKUP(A823,logos!$A$2:$A$10004,1,FALSE)</f>
        <v>BBC Radio Shetland</v>
      </c>
    </row>
    <row r="824" spans="1:13" hidden="1" x14ac:dyDescent="0.55000000000000004">
      <c r="A824" t="s">
        <v>186</v>
      </c>
      <c r="B824" t="s">
        <v>1663</v>
      </c>
      <c r="C824" t="s">
        <v>4888</v>
      </c>
      <c r="D824" t="s">
        <v>1657</v>
      </c>
      <c r="E824" t="s">
        <v>23</v>
      </c>
      <c r="F824" t="str">
        <f t="shared" si="12"/>
        <v>"C:\Program Files\VideoLAN\VLC\vlc.exe" "http://stream.live.vc.bbcmedia.co.uk/bbc_radio_shropshire"</v>
      </c>
      <c r="M824" t="str">
        <f>VLOOKUP(A824,logos!$A$2:$A$10004,1,FALSE)</f>
        <v>BBC Radio Shropshire</v>
      </c>
    </row>
    <row r="825" spans="1:13" hidden="1" x14ac:dyDescent="0.55000000000000004">
      <c r="A825" t="s">
        <v>2858</v>
      </c>
      <c r="B825" t="s">
        <v>1663</v>
      </c>
      <c r="C825" t="s">
        <v>4889</v>
      </c>
      <c r="D825" t="s">
        <v>1657</v>
      </c>
      <c r="E825" t="s">
        <v>23</v>
      </c>
      <c r="F825" t="str">
        <f t="shared" si="12"/>
        <v>"C:\Program Files\VideoLAN\VLC\vlc.exe" "http://stream.live.vc.bbcmedia.co.uk/bbc_radio_solent"</v>
      </c>
      <c r="M825" t="e">
        <f>VLOOKUP(A825,logos!$A$2:$A$10004,1,FALSE)</f>
        <v>#N/A</v>
      </c>
    </row>
    <row r="826" spans="1:13" hidden="1" x14ac:dyDescent="0.55000000000000004">
      <c r="A826" t="s">
        <v>2859</v>
      </c>
      <c r="B826" t="s">
        <v>1663</v>
      </c>
      <c r="C826" t="s">
        <v>4890</v>
      </c>
      <c r="D826" t="s">
        <v>1657</v>
      </c>
      <c r="E826" t="s">
        <v>23</v>
      </c>
      <c r="F826" t="str">
        <f t="shared" si="12"/>
        <v>"C:\Program Files\VideoLAN\VLC\vlc.exe" "http://stream.live.vc.bbcmedia.co.uk/bbc_radio_solent_west_dorset"</v>
      </c>
      <c r="M826" t="e">
        <f>VLOOKUP(A826,logos!$A$2:$A$10004,1,FALSE)</f>
        <v>#N/A</v>
      </c>
    </row>
    <row r="827" spans="1:13" hidden="1" x14ac:dyDescent="0.55000000000000004">
      <c r="A827" t="s">
        <v>192</v>
      </c>
      <c r="B827" t="s">
        <v>1663</v>
      </c>
      <c r="C827" t="s">
        <v>4891</v>
      </c>
      <c r="D827" t="s">
        <v>1657</v>
      </c>
      <c r="E827" t="s">
        <v>23</v>
      </c>
      <c r="F827" t="str">
        <f t="shared" si="12"/>
        <v>"C:\Program Files\VideoLAN\VLC\vlc.exe" "http://stream.live.vc.bbcmedia.co.uk/bbc_radio_somerset_sound"</v>
      </c>
      <c r="M827" t="str">
        <f>VLOOKUP(A827,logos!$A$2:$A$10004,1,FALSE)</f>
        <v>BBC Radio Somerset</v>
      </c>
    </row>
    <row r="828" spans="1:13" hidden="1" x14ac:dyDescent="0.55000000000000004">
      <c r="A828" t="s">
        <v>194</v>
      </c>
      <c r="B828" t="s">
        <v>1663</v>
      </c>
      <c r="C828" t="s">
        <v>4892</v>
      </c>
      <c r="D828" t="s">
        <v>1657</v>
      </c>
      <c r="E828" t="s">
        <v>23</v>
      </c>
      <c r="F828" t="str">
        <f t="shared" si="12"/>
        <v>"C:\Program Files\VideoLAN\VLC\vlc.exe" "http://stream.live.vc.bbcmedia.co.uk/bbc_radio_stoke"</v>
      </c>
      <c r="M828" t="str">
        <f>VLOOKUP(A828,logos!$A$2:$A$10004,1,FALSE)</f>
        <v>BBC Radio Stoke</v>
      </c>
    </row>
    <row r="829" spans="1:13" hidden="1" x14ac:dyDescent="0.55000000000000004">
      <c r="A829" t="s">
        <v>196</v>
      </c>
      <c r="B829" t="s">
        <v>1663</v>
      </c>
      <c r="C829" t="s">
        <v>4893</v>
      </c>
      <c r="D829" t="s">
        <v>1657</v>
      </c>
      <c r="E829" t="s">
        <v>23</v>
      </c>
      <c r="F829" t="str">
        <f t="shared" si="12"/>
        <v>"C:\Program Files\VideoLAN\VLC\vlc.exe" "http://stream.live.vc.bbcmedia.co.uk/bbc_radio_suffolk"</v>
      </c>
      <c r="M829" t="str">
        <f>VLOOKUP(A829,logos!$A$2:$A$10004,1,FALSE)</f>
        <v>BBC Radio Suffolk</v>
      </c>
    </row>
    <row r="830" spans="1:13" hidden="1" x14ac:dyDescent="0.55000000000000004">
      <c r="A830" t="s">
        <v>198</v>
      </c>
      <c r="B830" t="s">
        <v>1663</v>
      </c>
      <c r="C830" t="s">
        <v>4894</v>
      </c>
      <c r="D830" t="s">
        <v>1657</v>
      </c>
      <c r="E830" t="s">
        <v>23</v>
      </c>
      <c r="F830" t="str">
        <f t="shared" si="12"/>
        <v>"C:\Program Files\VideoLAN\VLC\vlc.exe" "http://stream.live.vc.bbcmedia.co.uk/bbc_radio_surrey"</v>
      </c>
      <c r="M830" t="str">
        <f>VLOOKUP(A830,logos!$A$2:$A$10004,1,FALSE)</f>
        <v>BBC Radio Surrey</v>
      </c>
    </row>
    <row r="831" spans="1:13" hidden="1" x14ac:dyDescent="0.55000000000000004">
      <c r="A831" t="s">
        <v>200</v>
      </c>
      <c r="B831" t="s">
        <v>1663</v>
      </c>
      <c r="C831" t="s">
        <v>4895</v>
      </c>
      <c r="D831" t="s">
        <v>1657</v>
      </c>
      <c r="E831" t="s">
        <v>23</v>
      </c>
      <c r="F831" t="str">
        <f t="shared" si="12"/>
        <v>"C:\Program Files\VideoLAN\VLC\vlc.exe" "http://stream.live.vc.bbcmedia.co.uk/bbc_radio_sussex"</v>
      </c>
      <c r="M831" t="str">
        <f>VLOOKUP(A831,logos!$A$2:$A$10004,1,FALSE)</f>
        <v>BBC Radio Sussex</v>
      </c>
    </row>
    <row r="832" spans="1:13" hidden="1" x14ac:dyDescent="0.55000000000000004">
      <c r="A832" t="s">
        <v>202</v>
      </c>
      <c r="B832" t="s">
        <v>1663</v>
      </c>
      <c r="C832" t="s">
        <v>4896</v>
      </c>
      <c r="D832" t="s">
        <v>1657</v>
      </c>
      <c r="E832" t="s">
        <v>23</v>
      </c>
      <c r="F832" t="str">
        <f t="shared" si="12"/>
        <v>"C:\Program Files\VideoLAN\VLC\vlc.exe" "http://stream.live.vc.bbcmedia.co.uk/bbc_tees"</v>
      </c>
      <c r="M832" t="str">
        <f>VLOOKUP(A832,logos!$A$2:$A$10004,1,FALSE)</f>
        <v>BBC Radio Tees</v>
      </c>
    </row>
    <row r="833" spans="1:13" hidden="1" x14ac:dyDescent="0.55000000000000004">
      <c r="A833" t="s">
        <v>204</v>
      </c>
      <c r="B833" t="s">
        <v>1663</v>
      </c>
      <c r="C833" t="s">
        <v>4897</v>
      </c>
      <c r="D833" t="s">
        <v>1657</v>
      </c>
      <c r="E833" t="s">
        <v>23</v>
      </c>
      <c r="F833" t="str">
        <f t="shared" si="12"/>
        <v>"C:\Program Files\VideoLAN\VLC\vlc.exe" "http://stream.live.vc.bbcmedia.co.uk/bbc_radio_ulster"</v>
      </c>
      <c r="M833" t="str">
        <f>VLOOKUP(A833,logos!$A$2:$A$10004,1,FALSE)</f>
        <v>BBC Radio Ulster</v>
      </c>
    </row>
    <row r="834" spans="1:13" hidden="1" x14ac:dyDescent="0.55000000000000004">
      <c r="A834" t="s">
        <v>2860</v>
      </c>
      <c r="B834" t="s">
        <v>1663</v>
      </c>
      <c r="C834" t="s">
        <v>4898</v>
      </c>
      <c r="D834" t="s">
        <v>1657</v>
      </c>
      <c r="E834" t="s">
        <v>23</v>
      </c>
      <c r="F834" t="str">
        <f t="shared" si="12"/>
        <v>"C:\Program Files\VideoLAN\VLC\vlc.exe" "http://stream.live.vc.bbcmedia.co.uk/bbc_radio_wales_fm"</v>
      </c>
      <c r="M834" t="e">
        <f>VLOOKUP(A834,logos!$A$2:$A$10004,1,FALSE)</f>
        <v>#N/A</v>
      </c>
    </row>
    <row r="835" spans="1:13" hidden="1" x14ac:dyDescent="0.55000000000000004">
      <c r="A835" t="s">
        <v>2861</v>
      </c>
      <c r="B835" t="s">
        <v>1663</v>
      </c>
      <c r="C835" t="s">
        <v>4899</v>
      </c>
      <c r="D835" t="s">
        <v>1657</v>
      </c>
      <c r="E835" t="s">
        <v>23</v>
      </c>
      <c r="F835" t="str">
        <f t="shared" ref="F835:F898" si="13">"""C:\Program Files\VideoLAN\VLC\vlc.exe"" """&amp;C835&amp;""""</f>
        <v>"C:\Program Files\VideoLAN\VLC\vlc.exe" "http://stream.live.vc.bbcmedia.co.uk/bbc_radio_wiltshire"</v>
      </c>
      <c r="M835" t="e">
        <f>VLOOKUP(A835,logos!$A$2:$A$10004,1,FALSE)</f>
        <v>#N/A</v>
      </c>
    </row>
    <row r="836" spans="1:13" hidden="1" x14ac:dyDescent="0.55000000000000004">
      <c r="A836" t="s">
        <v>210</v>
      </c>
      <c r="B836" t="s">
        <v>1663</v>
      </c>
      <c r="C836" t="s">
        <v>4900</v>
      </c>
      <c r="D836" t="s">
        <v>1657</v>
      </c>
      <c r="E836" t="s">
        <v>23</v>
      </c>
      <c r="F836" t="str">
        <f t="shared" si="13"/>
        <v>"C:\Program Files\VideoLAN\VLC\vlc.exe" "http://stream.live.vc.bbcmedia.co.uk/bbc_wm"</v>
      </c>
      <c r="M836" t="str">
        <f>VLOOKUP(A836,logos!$A$2:$A$10004,1,FALSE)</f>
        <v>BBC Radio WM</v>
      </c>
    </row>
    <row r="837" spans="1:13" hidden="1" x14ac:dyDescent="0.55000000000000004">
      <c r="A837" t="s">
        <v>2862</v>
      </c>
      <c r="B837" t="s">
        <v>1663</v>
      </c>
      <c r="C837" t="s">
        <v>4901</v>
      </c>
      <c r="D837" t="s">
        <v>1657</v>
      </c>
      <c r="E837" t="s">
        <v>23</v>
      </c>
      <c r="F837" t="str">
        <f t="shared" si="13"/>
        <v>"C:\Program Files\VideoLAN\VLC\vlc.exe" "http://stream.live.vc.bbcmedia.co.uk/bbc_radio_york"</v>
      </c>
      <c r="M837" t="e">
        <f>VLOOKUP(A837,logos!$A$2:$A$10004,1,FALSE)</f>
        <v>#N/A</v>
      </c>
    </row>
    <row r="838" spans="1:13" hidden="1" x14ac:dyDescent="0.55000000000000004">
      <c r="A838" t="s">
        <v>214</v>
      </c>
      <c r="B838" t="s">
        <v>1663</v>
      </c>
      <c r="C838" t="s">
        <v>4902</v>
      </c>
      <c r="D838" t="s">
        <v>1657</v>
      </c>
      <c r="E838" t="s">
        <v>23</v>
      </c>
      <c r="F838" t="str">
        <f t="shared" si="13"/>
        <v>"C:\Program Files\VideoLAN\VLC\vlc.exe" "http://stream.live.vc.bbcmedia.co.uk/bbc_three_counties_radio"</v>
      </c>
      <c r="M838" t="str">
        <f>VLOOKUP(A838,logos!$A$2:$A$10004,1,FALSE)</f>
        <v>BBC Three Counties Radio</v>
      </c>
    </row>
    <row r="839" spans="1:13" hidden="1" x14ac:dyDescent="0.55000000000000004">
      <c r="A839" t="s">
        <v>219</v>
      </c>
      <c r="B839" t="s">
        <v>1663</v>
      </c>
      <c r="C839" t="s">
        <v>221</v>
      </c>
      <c r="D839" t="s">
        <v>1657</v>
      </c>
      <c r="E839" t="s">
        <v>23</v>
      </c>
      <c r="F839" t="str">
        <f t="shared" si="13"/>
        <v>"C:\Program Files\VideoLAN\VLC\vlc.exe" "http://stream6.hippynet.co.uk:8001/stream"</v>
      </c>
      <c r="M839" t="e">
        <f>VLOOKUP(A839,logos!$A$2:$A$10004,1,FALSE)</f>
        <v>#N/A</v>
      </c>
    </row>
    <row r="840" spans="1:13" hidden="1" x14ac:dyDescent="0.55000000000000004">
      <c r="A840" t="s">
        <v>223</v>
      </c>
      <c r="B840" t="s">
        <v>1663</v>
      </c>
      <c r="C840" t="s">
        <v>222</v>
      </c>
      <c r="D840" t="s">
        <v>1657</v>
      </c>
      <c r="E840" t="s">
        <v>23</v>
      </c>
      <c r="F840" t="str">
        <f t="shared" si="13"/>
        <v>"C:\Program Files\VideoLAN\VLC\vlc.exe" "http://bewaretheradio.out.airtime.pro:8000/bewaretheradio_b"</v>
      </c>
      <c r="M840" t="e">
        <f>VLOOKUP(A840,logos!$A$2:$A$10004,1,FALSE)</f>
        <v>#N/A</v>
      </c>
    </row>
    <row r="841" spans="1:13" hidden="1" x14ac:dyDescent="0.55000000000000004">
      <c r="A841" t="s">
        <v>226</v>
      </c>
      <c r="B841" t="s">
        <v>1663</v>
      </c>
      <c r="C841" t="s">
        <v>225</v>
      </c>
      <c r="D841" t="s">
        <v>1657</v>
      </c>
      <c r="E841" t="s">
        <v>23</v>
      </c>
      <c r="F841" t="str">
        <f t="shared" si="13"/>
        <v>"C:\Program Files\VideoLAN\VLC\vlc.exe" "http://stream.beyondradio.co.uk:8000/med"</v>
      </c>
      <c r="M841" t="str">
        <f>VLOOKUP(A841,logos!$A$2:$A$10004,1,FALSE)</f>
        <v>Beyond Radio</v>
      </c>
    </row>
    <row r="842" spans="1:13" hidden="1" x14ac:dyDescent="0.55000000000000004">
      <c r="A842" t="s">
        <v>2617</v>
      </c>
      <c r="B842" t="s">
        <v>1663</v>
      </c>
      <c r="C842" t="s">
        <v>2198</v>
      </c>
      <c r="D842" t="s">
        <v>1657</v>
      </c>
      <c r="E842" t="s">
        <v>23</v>
      </c>
      <c r="F842" t="str">
        <f t="shared" si="13"/>
        <v>"C:\Program Files\VideoLAN\VLC\vlc.exe" "http://edge-audio-05-gos2.sharp-stream.com:80/ssvcbfbs1.mp3"</v>
      </c>
      <c r="M842" t="e">
        <f>VLOOKUP(A842,logos!$A$2:$A$10004,1,FALSE)</f>
        <v>#N/A</v>
      </c>
    </row>
    <row r="843" spans="1:13" hidden="1" x14ac:dyDescent="0.55000000000000004">
      <c r="A843" t="s">
        <v>233</v>
      </c>
      <c r="B843" t="s">
        <v>1663</v>
      </c>
      <c r="C843" t="s">
        <v>2199</v>
      </c>
      <c r="D843" t="s">
        <v>1657</v>
      </c>
      <c r="E843" t="s">
        <v>23</v>
      </c>
      <c r="F843" t="str">
        <f t="shared" si="13"/>
        <v>"C:\Program Files\VideoLAN\VLC\vlc.exe" "http://edge-audio-05-gos2.sharp-stream.com:80/ssvcbfbs20.mp3"</v>
      </c>
      <c r="M843" t="e">
        <f>VLOOKUP(A843,logos!$A$2:$A$10004,1,FALSE)</f>
        <v>#N/A</v>
      </c>
    </row>
    <row r="844" spans="1:13" hidden="1" x14ac:dyDescent="0.55000000000000004">
      <c r="A844" t="s">
        <v>235</v>
      </c>
      <c r="B844" t="s">
        <v>1663</v>
      </c>
      <c r="C844" t="s">
        <v>2200</v>
      </c>
      <c r="D844" t="s">
        <v>1657</v>
      </c>
      <c r="E844" t="s">
        <v>23</v>
      </c>
      <c r="F844" t="str">
        <f t="shared" si="13"/>
        <v>"C:\Program Files\VideoLAN\VLC\vlc.exe" "http://edge-audio-05-gos2.sharp-stream.com:80/ssvcbfbs24.mp3"</v>
      </c>
      <c r="M844" t="e">
        <f>VLOOKUP(A844,logos!$A$2:$A$10004,1,FALSE)</f>
        <v>#N/A</v>
      </c>
    </row>
    <row r="845" spans="1:13" hidden="1" x14ac:dyDescent="0.55000000000000004">
      <c r="A845" t="s">
        <v>237</v>
      </c>
      <c r="B845" t="s">
        <v>1663</v>
      </c>
      <c r="C845" t="s">
        <v>2201</v>
      </c>
      <c r="D845" t="s">
        <v>1657</v>
      </c>
      <c r="E845" t="s">
        <v>23</v>
      </c>
      <c r="F845" t="str">
        <f t="shared" si="13"/>
        <v>"C:\Program Files\VideoLAN\VLC\vlc.exe" "http://edge-audio-05-gos2.sharp-stream.com:80/ssvcbfbs22.mp3"</v>
      </c>
      <c r="M845" t="e">
        <f>VLOOKUP(A845,logos!$A$2:$A$10004,1,FALSE)</f>
        <v>#N/A</v>
      </c>
    </row>
    <row r="846" spans="1:13" hidden="1" x14ac:dyDescent="0.55000000000000004">
      <c r="A846" t="s">
        <v>239</v>
      </c>
      <c r="B846" t="s">
        <v>1663</v>
      </c>
      <c r="C846" t="s">
        <v>2202</v>
      </c>
      <c r="D846" t="s">
        <v>1657</v>
      </c>
      <c r="E846" t="s">
        <v>23</v>
      </c>
      <c r="F846" t="str">
        <f t="shared" si="13"/>
        <v>"C:\Program Files\VideoLAN\VLC\vlc.exe" "http://edge-audio-05-gos2.sharp-stream.com:80/ssvcbfbs3.mp3"</v>
      </c>
      <c r="M846" t="e">
        <f>VLOOKUP(A846,logos!$A$2:$A$10004,1,FALSE)</f>
        <v>#N/A</v>
      </c>
    </row>
    <row r="847" spans="1:13" hidden="1" x14ac:dyDescent="0.55000000000000004">
      <c r="A847" t="s">
        <v>241</v>
      </c>
      <c r="B847" t="s">
        <v>1663</v>
      </c>
      <c r="C847" t="s">
        <v>2203</v>
      </c>
      <c r="D847" t="s">
        <v>1657</v>
      </c>
      <c r="E847" t="s">
        <v>23</v>
      </c>
      <c r="F847" t="str">
        <f t="shared" si="13"/>
        <v>"C:\Program Files\VideoLAN\VLC\vlc.exe" "http://edge-audio-05-gos2.sharp-stream.com:80/ssvcbfbs21.mp3"</v>
      </c>
      <c r="M847" t="e">
        <f>VLOOKUP(A847,logos!$A$2:$A$10004,1,FALSE)</f>
        <v>#N/A</v>
      </c>
    </row>
    <row r="848" spans="1:13" hidden="1" x14ac:dyDescent="0.55000000000000004">
      <c r="A848" t="s">
        <v>243</v>
      </c>
      <c r="B848" t="s">
        <v>1663</v>
      </c>
      <c r="C848" t="s">
        <v>242</v>
      </c>
      <c r="D848" t="s">
        <v>1657</v>
      </c>
      <c r="E848" t="s">
        <v>23</v>
      </c>
      <c r="F848" t="str">
        <f t="shared" si="13"/>
        <v>"C:\Program Files\VideoLAN\VLC\vlc.exe" "http://listen-boomradio.sharp-stream.com/65_boom_light_128_mp3?ref=RF"</v>
      </c>
      <c r="M848" t="str">
        <f>VLOOKUP(A848,logos!$A$2:$A$10004,1,FALSE)</f>
        <v>Boom Light</v>
      </c>
    </row>
    <row r="849" spans="1:13" hidden="1" x14ac:dyDescent="0.55000000000000004">
      <c r="A849" t="s">
        <v>245</v>
      </c>
      <c r="B849" t="s">
        <v>1663</v>
      </c>
      <c r="C849" t="s">
        <v>244</v>
      </c>
      <c r="D849" t="s">
        <v>1657</v>
      </c>
      <c r="E849" t="s">
        <v>23</v>
      </c>
      <c r="F849" t="str">
        <f t="shared" si="13"/>
        <v>"C:\Program Files\VideoLAN\VLC\vlc.exe" "http://listen-boomradio.sharp-stream.com/65_boom_radio_live_128?ref=RF"</v>
      </c>
      <c r="M849" t="str">
        <f>VLOOKUP(A849,logos!$A$2:$A$10004,1,FALSE)</f>
        <v>Boom Radio</v>
      </c>
    </row>
    <row r="850" spans="1:13" hidden="1" x14ac:dyDescent="0.55000000000000004">
      <c r="A850" t="s">
        <v>2618</v>
      </c>
      <c r="B850" t="s">
        <v>1663</v>
      </c>
      <c r="C850" t="s">
        <v>249</v>
      </c>
      <c r="D850" t="s">
        <v>1657</v>
      </c>
      <c r="E850" t="s">
        <v>23</v>
      </c>
      <c r="F850" t="str">
        <f t="shared" si="13"/>
        <v>"C:\Program Files\VideoLAN\VLC\vlc.exe" "http://listen-nation.sharp-stream.com/tcbridge.mp3?ref=RF"</v>
      </c>
      <c r="M850" t="e">
        <f>VLOOKUP(A850,logos!$A$2:$A$10004,1,FALSE)</f>
        <v>#N/A</v>
      </c>
    </row>
    <row r="851" spans="1:13" hidden="1" x14ac:dyDescent="0.55000000000000004">
      <c r="A851" t="s">
        <v>2619</v>
      </c>
      <c r="B851" t="s">
        <v>1663</v>
      </c>
      <c r="C851" t="s">
        <v>254</v>
      </c>
      <c r="D851" t="s">
        <v>1657</v>
      </c>
      <c r="E851" t="s">
        <v>23</v>
      </c>
      <c r="F851" t="str">
        <f t="shared" si="13"/>
        <v>"C:\Program Files\VideoLAN\VLC\vlc.exe" "http://icecast.thisisdax.com/CapitalCymruMP3"</v>
      </c>
      <c r="M851" t="str">
        <f>VLOOKUP(A851,logos!$A$2:$A$10004,1,FALSE)</f>
        <v>Capital (Anglesey &amp; Gwynedd)</v>
      </c>
    </row>
    <row r="852" spans="1:13" hidden="1" x14ac:dyDescent="0.55000000000000004">
      <c r="A852" t="s">
        <v>2620</v>
      </c>
      <c r="B852" t="s">
        <v>1663</v>
      </c>
      <c r="C852" t="s">
        <v>257</v>
      </c>
      <c r="D852" t="s">
        <v>1657</v>
      </c>
      <c r="E852" t="s">
        <v>23</v>
      </c>
      <c r="F852" t="str">
        <f t="shared" si="13"/>
        <v>"C:\Program Files\VideoLAN\VLC\vlc.exe" "http://icecast.thisisdax.com/CapitalLiverpoolMP3"</v>
      </c>
      <c r="M852" t="str">
        <f>VLOOKUP(A852,logos!$A$2:$A$10004,1,FALSE)</f>
        <v>Capital (Liverpool)</v>
      </c>
    </row>
    <row r="853" spans="1:13" hidden="1" x14ac:dyDescent="0.55000000000000004">
      <c r="A853" t="s">
        <v>2621</v>
      </c>
      <c r="B853" t="s">
        <v>1663</v>
      </c>
      <c r="C853" t="s">
        <v>259</v>
      </c>
      <c r="D853" t="s">
        <v>1657</v>
      </c>
      <c r="E853" t="s">
        <v>23</v>
      </c>
      <c r="F853" t="str">
        <f t="shared" si="13"/>
        <v>"C:\Program Files\VideoLAN\VLC\vlc.exe" "http://icecast.thisisdax.com/CapitalMP3"</v>
      </c>
      <c r="M853" t="str">
        <f>VLOOKUP(A853,logos!$A$2:$A$10004,1,FALSE)</f>
        <v>Capital (London)</v>
      </c>
    </row>
    <row r="854" spans="1:13" hidden="1" x14ac:dyDescent="0.55000000000000004">
      <c r="A854" t="s">
        <v>2622</v>
      </c>
      <c r="B854" t="s">
        <v>1663</v>
      </c>
      <c r="C854" t="s">
        <v>261</v>
      </c>
      <c r="D854" t="s">
        <v>1657</v>
      </c>
      <c r="E854" t="s">
        <v>23</v>
      </c>
      <c r="F854" t="str">
        <f t="shared" si="13"/>
        <v>"C:\Program Files\VideoLAN\VLC\vlc.exe" "http://icecast.thisisdax.com/CapitalBirminghamMP3"</v>
      </c>
      <c r="M854" t="str">
        <f>VLOOKUP(A854,logos!$A$2:$A$10004,1,FALSE)</f>
        <v>Capital (Midlands) (Birmingham)</v>
      </c>
    </row>
    <row r="855" spans="1:13" hidden="1" x14ac:dyDescent="0.55000000000000004">
      <c r="A855" t="s">
        <v>2623</v>
      </c>
      <c r="B855" t="s">
        <v>1663</v>
      </c>
      <c r="C855" t="s">
        <v>263</v>
      </c>
      <c r="D855" t="s">
        <v>1657</v>
      </c>
      <c r="E855" t="s">
        <v>23</v>
      </c>
      <c r="F855" t="str">
        <f t="shared" si="13"/>
        <v>"C:\Program Files\VideoLAN\VLC\vlc.exe" "http://icecast.thisisdax.com/CapitalCoventryMP3"</v>
      </c>
      <c r="M855" t="str">
        <f>VLOOKUP(A855,logos!$A$2:$A$10004,1,FALSE)</f>
        <v>Capital (Midlands) (Coventry)</v>
      </c>
    </row>
    <row r="856" spans="1:13" hidden="1" x14ac:dyDescent="0.55000000000000004">
      <c r="A856" t="s">
        <v>2624</v>
      </c>
      <c r="B856" t="s">
        <v>1663</v>
      </c>
      <c r="C856" t="s">
        <v>265</v>
      </c>
      <c r="D856" t="s">
        <v>1657</v>
      </c>
      <c r="E856" t="s">
        <v>23</v>
      </c>
      <c r="F856" t="str">
        <f t="shared" si="13"/>
        <v>"C:\Program Files\VideoLAN\VLC\vlc.exe" "http://icecast.thisisdax.com/CapitalDerbyshireMP3"</v>
      </c>
      <c r="M856" t="str">
        <f>VLOOKUP(A856,logos!$A$2:$A$10004,1,FALSE)</f>
        <v>Capital (Midlands) (Derbyshire)</v>
      </c>
    </row>
    <row r="857" spans="1:13" hidden="1" x14ac:dyDescent="0.55000000000000004">
      <c r="A857" t="s">
        <v>2625</v>
      </c>
      <c r="B857" t="s">
        <v>1663</v>
      </c>
      <c r="C857" t="s">
        <v>267</v>
      </c>
      <c r="D857" t="s">
        <v>1657</v>
      </c>
      <c r="E857" t="s">
        <v>23</v>
      </c>
      <c r="F857" t="str">
        <f t="shared" si="13"/>
        <v>"C:\Program Files\VideoLAN\VLC\vlc.exe" "http://icecast.thisisdax.com/CapitalLeicestershireMP3"</v>
      </c>
      <c r="M857" t="str">
        <f>VLOOKUP(A857,logos!$A$2:$A$10004,1,FALSE)</f>
        <v>Capital (Midlands) (Leicestershire)</v>
      </c>
    </row>
    <row r="858" spans="1:13" hidden="1" x14ac:dyDescent="0.55000000000000004">
      <c r="A858" t="s">
        <v>2626</v>
      </c>
      <c r="B858" t="s">
        <v>1663</v>
      </c>
      <c r="C858" t="s">
        <v>269</v>
      </c>
      <c r="D858" t="s">
        <v>1657</v>
      </c>
      <c r="E858" t="s">
        <v>23</v>
      </c>
      <c r="F858" t="str">
        <f t="shared" si="13"/>
        <v>"C:\Program Files\VideoLAN\VLC\vlc.exe" "http://icecast.thisisdax.com/CapitalNorthOxfordshireMP3"</v>
      </c>
      <c r="M858" t="str">
        <f>VLOOKUP(A858,logos!$A$2:$A$10004,1,FALSE)</f>
        <v>Capital (Midlands) (North Oxfordshire)</v>
      </c>
    </row>
    <row r="859" spans="1:13" hidden="1" x14ac:dyDescent="0.55000000000000004">
      <c r="A859" t="s">
        <v>2627</v>
      </c>
      <c r="B859" t="s">
        <v>1663</v>
      </c>
      <c r="C859" t="s">
        <v>271</v>
      </c>
      <c r="D859" t="s">
        <v>1657</v>
      </c>
      <c r="E859" t="s">
        <v>23</v>
      </c>
      <c r="F859" t="str">
        <f t="shared" si="13"/>
        <v>"C:\Program Files\VideoLAN\VLC\vlc.exe" "http://icecast.thisisdax.com/CapitalNottinghamshireMP3"</v>
      </c>
      <c r="M859" t="str">
        <f>VLOOKUP(A859,logos!$A$2:$A$10004,1,FALSE)</f>
        <v>Capital (Midlands) (Nottinghamshire)</v>
      </c>
    </row>
    <row r="860" spans="1:13" hidden="1" x14ac:dyDescent="0.55000000000000004">
      <c r="A860" t="s">
        <v>2628</v>
      </c>
      <c r="B860" t="s">
        <v>1663</v>
      </c>
      <c r="C860" t="s">
        <v>273</v>
      </c>
      <c r="D860" t="s">
        <v>1657</v>
      </c>
      <c r="E860" t="s">
        <v>23</v>
      </c>
      <c r="F860" t="str">
        <f t="shared" si="13"/>
        <v>"C:\Program Files\VideoLAN\VLC\vlc.exe" "http://icecast.thisisdax.com/CapitalRugbyMP3"</v>
      </c>
      <c r="M860" t="str">
        <f>VLOOKUP(A860,logos!$A$2:$A$10004,1,FALSE)</f>
        <v>Capital (Midlands) (Rugby)</v>
      </c>
    </row>
    <row r="861" spans="1:13" hidden="1" x14ac:dyDescent="0.55000000000000004">
      <c r="A861" t="s">
        <v>2629</v>
      </c>
      <c r="B861" t="s">
        <v>1663</v>
      </c>
      <c r="C861" t="s">
        <v>275</v>
      </c>
      <c r="D861" t="s">
        <v>1657</v>
      </c>
      <c r="E861" t="s">
        <v>23</v>
      </c>
      <c r="F861" t="str">
        <f t="shared" si="13"/>
        <v>"C:\Program Files\VideoLAN\VLC\vlc.exe" "http://icecast.thisisdax.com/CapitalSouthEastStaffordshireMP3"</v>
      </c>
      <c r="M861" t="str">
        <f>VLOOKUP(A861,logos!$A$2:$A$10004,1,FALSE)</f>
        <v>Capital (Midlands) (South East Staffordshire)</v>
      </c>
    </row>
    <row r="862" spans="1:13" hidden="1" x14ac:dyDescent="0.55000000000000004">
      <c r="A862" t="s">
        <v>2630</v>
      </c>
      <c r="B862" t="s">
        <v>1663</v>
      </c>
      <c r="C862" t="s">
        <v>277</v>
      </c>
      <c r="D862" t="s">
        <v>1657</v>
      </c>
      <c r="E862" t="s">
        <v>23</v>
      </c>
      <c r="F862" t="str">
        <f t="shared" si="13"/>
        <v>"C:\Program Files\VideoLAN\VLC\vlc.exe" "http://icecast.thisisdax.com/CapitalStratfordMP3"</v>
      </c>
      <c r="M862" t="str">
        <f>VLOOKUP(A862,logos!$A$2:$A$10004,1,FALSE)</f>
        <v>Capital (Midlands) (Stratford-upon-Avon)</v>
      </c>
    </row>
    <row r="863" spans="1:13" hidden="1" x14ac:dyDescent="0.55000000000000004">
      <c r="A863" t="s">
        <v>2631</v>
      </c>
      <c r="B863" t="s">
        <v>1663</v>
      </c>
      <c r="C863" t="s">
        <v>279</v>
      </c>
      <c r="D863" t="s">
        <v>1657</v>
      </c>
      <c r="E863" t="s">
        <v>23</v>
      </c>
      <c r="F863" t="str">
        <f t="shared" si="13"/>
        <v>"C:\Program Files\VideoLAN\VLC\vlc.exe" "http://icecast.thisisdax.com/CapitalWarwickMP3"</v>
      </c>
      <c r="M863" t="str">
        <f>VLOOKUP(A863,logos!$A$2:$A$10004,1,FALSE)</f>
        <v>Capital (Midlands) (Warwick)</v>
      </c>
    </row>
    <row r="864" spans="1:13" hidden="1" x14ac:dyDescent="0.55000000000000004">
      <c r="A864" t="s">
        <v>2632</v>
      </c>
      <c r="B864" t="s">
        <v>1663</v>
      </c>
      <c r="C864" t="s">
        <v>281</v>
      </c>
      <c r="D864" t="s">
        <v>1657</v>
      </c>
      <c r="E864" t="s">
        <v>23</v>
      </c>
      <c r="F864" t="str">
        <f t="shared" si="13"/>
        <v>"C:\Program Files\VideoLAN\VLC\vlc.exe" "http://icecast.thisisdax.com/CapitalTeessideMP3"</v>
      </c>
      <c r="M864" t="str">
        <f>VLOOKUP(A864,logos!$A$2:$A$10004,1,FALSE)</f>
        <v>Capital (North East England) (Teesside)</v>
      </c>
    </row>
    <row r="865" spans="1:13" hidden="1" x14ac:dyDescent="0.55000000000000004">
      <c r="A865" t="s">
        <v>2633</v>
      </c>
      <c r="B865" t="s">
        <v>1663</v>
      </c>
      <c r="C865" t="s">
        <v>283</v>
      </c>
      <c r="D865" t="s">
        <v>1657</v>
      </c>
      <c r="E865" t="s">
        <v>23</v>
      </c>
      <c r="F865" t="str">
        <f t="shared" si="13"/>
        <v>"C:\Program Files\VideoLAN\VLC\vlc.exe" "http://icecast.thisisdax.com/CapitalTyneWearMP3"</v>
      </c>
      <c r="M865" t="str">
        <f>VLOOKUP(A865,logos!$A$2:$A$10004,1,FALSE)</f>
        <v>Capital (North East England) (Tyne &amp; Wear)</v>
      </c>
    </row>
    <row r="866" spans="1:13" hidden="1" x14ac:dyDescent="0.55000000000000004">
      <c r="A866" t="s">
        <v>2634</v>
      </c>
      <c r="B866" t="s">
        <v>1663</v>
      </c>
      <c r="C866" t="s">
        <v>285</v>
      </c>
      <c r="D866" t="s">
        <v>1657</v>
      </c>
      <c r="E866" t="s">
        <v>23</v>
      </c>
      <c r="F866" t="str">
        <f t="shared" si="13"/>
        <v>"C:\Program Files\VideoLAN\VLC\vlc.exe" "http://icecast.thisisdax.com/CapitalWalesCoastMP3"</v>
      </c>
      <c r="M866" t="str">
        <f>VLOOKUP(A866,logos!$A$2:$A$10004,1,FALSE)</f>
        <v>Capital (North West &amp; North Wales) (North Wales Coast)</v>
      </c>
    </row>
    <row r="867" spans="1:13" hidden="1" x14ac:dyDescent="0.55000000000000004">
      <c r="A867" t="s">
        <v>2635</v>
      </c>
      <c r="B867" t="s">
        <v>1663</v>
      </c>
      <c r="C867" t="s">
        <v>287</v>
      </c>
      <c r="D867" t="s">
        <v>1657</v>
      </c>
      <c r="E867" t="s">
        <v>23</v>
      </c>
      <c r="F867" t="str">
        <f t="shared" si="13"/>
        <v>"C:\Program Files\VideoLAN\VLC\vlc.exe" "http://icecast.thisisdax.com/CapitalWirralMP3"</v>
      </c>
      <c r="M867" t="str">
        <f>VLOOKUP(A867,logos!$A$2:$A$10004,1,FALSE)</f>
        <v>Capital (North West &amp; North Wales) (The Wirral)</v>
      </c>
    </row>
    <row r="868" spans="1:13" hidden="1" x14ac:dyDescent="0.55000000000000004">
      <c r="A868" t="s">
        <v>2636</v>
      </c>
      <c r="B868" t="s">
        <v>1663</v>
      </c>
      <c r="C868" t="s">
        <v>289</v>
      </c>
      <c r="D868" t="s">
        <v>1657</v>
      </c>
      <c r="E868" t="s">
        <v>23</v>
      </c>
      <c r="F868" t="str">
        <f t="shared" si="13"/>
        <v>"C:\Program Files\VideoLAN\VLC\vlc.exe" "http://icecast.thisisdax.com/CapitalWrexhamMP3"</v>
      </c>
      <c r="M868" t="str">
        <f>VLOOKUP(A868,logos!$A$2:$A$10004,1,FALSE)</f>
        <v>Capital (North West &amp; North Wales) (Wrexham &amp; Cheshire)</v>
      </c>
    </row>
    <row r="869" spans="1:13" hidden="1" x14ac:dyDescent="0.55000000000000004">
      <c r="A869" t="s">
        <v>2637</v>
      </c>
      <c r="B869" t="s">
        <v>1663</v>
      </c>
      <c r="C869" t="s">
        <v>291</v>
      </c>
      <c r="D869" t="s">
        <v>1657</v>
      </c>
      <c r="E869" t="s">
        <v>23</v>
      </c>
      <c r="F869" t="str">
        <f t="shared" si="13"/>
        <v>"C:\Program Files\VideoLAN\VLC\vlc.exe" "http://icecast.thisisdax.com/CapitalBurnleyMP3"</v>
      </c>
      <c r="M869" t="str">
        <f>VLOOKUP(A869,logos!$A$2:$A$10004,1,FALSE)</f>
        <v>Capital (North West England) (Burnley &amp; Pendle)</v>
      </c>
    </row>
    <row r="870" spans="1:13" hidden="1" x14ac:dyDescent="0.55000000000000004">
      <c r="A870" t="s">
        <v>2638</v>
      </c>
      <c r="B870" t="s">
        <v>1663</v>
      </c>
      <c r="C870" t="s">
        <v>293</v>
      </c>
      <c r="D870" t="s">
        <v>1657</v>
      </c>
      <c r="E870" t="s">
        <v>23</v>
      </c>
      <c r="F870" t="str">
        <f t="shared" si="13"/>
        <v>"C:\Program Files\VideoLAN\VLC\vlc.exe" "http://icecast.thisisdax.com/CapitalManchesterMP3"</v>
      </c>
      <c r="M870" t="str">
        <f>VLOOKUP(A870,logos!$A$2:$A$10004,1,FALSE)</f>
        <v>Capital (North West England) (Manchester)</v>
      </c>
    </row>
    <row r="871" spans="1:13" hidden="1" x14ac:dyDescent="0.55000000000000004">
      <c r="A871" t="s">
        <v>2639</v>
      </c>
      <c r="B871" t="s">
        <v>1663</v>
      </c>
      <c r="C871" t="s">
        <v>295</v>
      </c>
      <c r="D871" t="s">
        <v>1657</v>
      </c>
      <c r="E871" t="s">
        <v>23</v>
      </c>
      <c r="F871" t="str">
        <f t="shared" si="13"/>
        <v>"C:\Program Files\VideoLAN\VLC\vlc.exe" "http://icecast.thisisdax.com/CapitalPrestonMP3"</v>
      </c>
      <c r="M871" t="str">
        <f>VLOOKUP(A871,logos!$A$2:$A$10004,1,FALSE)</f>
        <v>Capital (North West England) (Preston &amp; Blackburn)</v>
      </c>
    </row>
    <row r="872" spans="1:13" hidden="1" x14ac:dyDescent="0.55000000000000004">
      <c r="A872" t="s">
        <v>2640</v>
      </c>
      <c r="B872" t="s">
        <v>1663</v>
      </c>
      <c r="C872" t="s">
        <v>297</v>
      </c>
      <c r="D872" t="s">
        <v>1657</v>
      </c>
      <c r="E872" t="s">
        <v>23</v>
      </c>
      <c r="F872" t="str">
        <f t="shared" si="13"/>
        <v>"C:\Program Files\VideoLAN\VLC\vlc.exe" "http://icecast.thisisdax.com/CapitalEdinburghMP3"</v>
      </c>
      <c r="M872" t="str">
        <f>VLOOKUP(A872,logos!$A$2:$A$10004,1,FALSE)</f>
        <v>Capital (Scotland) (East)</v>
      </c>
    </row>
    <row r="873" spans="1:13" hidden="1" x14ac:dyDescent="0.55000000000000004">
      <c r="A873" t="s">
        <v>2641</v>
      </c>
      <c r="B873" t="s">
        <v>1663</v>
      </c>
      <c r="C873" t="s">
        <v>299</v>
      </c>
      <c r="D873" t="s">
        <v>1657</v>
      </c>
      <c r="E873" t="s">
        <v>23</v>
      </c>
      <c r="F873" t="str">
        <f t="shared" si="13"/>
        <v>"C:\Program Files\VideoLAN\VLC\vlc.exe" "http://icecast.thisisdax.com/CapitalGlasgowMP3"</v>
      </c>
      <c r="M873" t="str">
        <f>VLOOKUP(A873,logos!$A$2:$A$10004,1,FALSE)</f>
        <v>Capital (Scotland) (West)</v>
      </c>
    </row>
    <row r="874" spans="1:13" hidden="1" x14ac:dyDescent="0.55000000000000004">
      <c r="A874" t="s">
        <v>2644</v>
      </c>
      <c r="B874" t="s">
        <v>1663</v>
      </c>
      <c r="C874" t="s">
        <v>305</v>
      </c>
      <c r="D874" t="s">
        <v>1657</v>
      </c>
      <c r="E874" t="s">
        <v>23</v>
      </c>
      <c r="F874" t="str">
        <f t="shared" si="13"/>
        <v>"C:\Program Files\VideoLAN\VLC\vlc.exe" "http://icecast.thisisdax.com/CapitalSouthWalesMP3"</v>
      </c>
      <c r="M874" t="str">
        <f>VLOOKUP(A874,logos!$A$2:$A$10004,1,FALSE)</f>
        <v>Capital (South Wales)</v>
      </c>
    </row>
    <row r="875" spans="1:13" hidden="1" x14ac:dyDescent="0.55000000000000004">
      <c r="A875" t="s">
        <v>2642</v>
      </c>
      <c r="B875" t="s">
        <v>1663</v>
      </c>
      <c r="C875" t="s">
        <v>301</v>
      </c>
      <c r="D875" t="s">
        <v>1657</v>
      </c>
      <c r="E875" t="s">
        <v>23</v>
      </c>
      <c r="F875" t="str">
        <f t="shared" si="13"/>
        <v>"C:\Program Files\VideoLAN\VLC\vlc.exe" "http://icecast.thisisdax.com/CapitalBrightonMP3"</v>
      </c>
      <c r="M875" t="str">
        <f>VLOOKUP(A875,logos!$A$2:$A$10004,1,FALSE)</f>
        <v>Capital (South) (Brighton)</v>
      </c>
    </row>
    <row r="876" spans="1:13" hidden="1" x14ac:dyDescent="0.55000000000000004">
      <c r="A876" t="s">
        <v>2643</v>
      </c>
      <c r="B876" t="s">
        <v>1663</v>
      </c>
      <c r="C876" t="s">
        <v>303</v>
      </c>
      <c r="D876" t="s">
        <v>1657</v>
      </c>
      <c r="E876" t="s">
        <v>23</v>
      </c>
      <c r="F876" t="str">
        <f t="shared" si="13"/>
        <v>"C:\Program Files\VideoLAN\VLC\vlc.exe" "http://icecast.thisisdax.com/CapitalSouthCoastMP3"</v>
      </c>
      <c r="M876" t="str">
        <f>VLOOKUP(A876,logos!$A$2:$A$10004,1,FALSE)</f>
        <v>Capital (South) (South Coast)</v>
      </c>
    </row>
    <row r="877" spans="1:13" hidden="1" x14ac:dyDescent="0.55000000000000004">
      <c r="A877" t="s">
        <v>2645</v>
      </c>
      <c r="B877" t="s">
        <v>1663</v>
      </c>
      <c r="C877" t="s">
        <v>307</v>
      </c>
      <c r="D877" t="s">
        <v>1657</v>
      </c>
      <c r="E877" t="s">
        <v>23</v>
      </c>
      <c r="F877" t="str">
        <f t="shared" si="13"/>
        <v>"C:\Program Files\VideoLAN\VLC\vlc.exe" "http://icecast.thisisdax.com/CapitalUKMP3"</v>
      </c>
      <c r="M877" t="str">
        <f>VLOOKUP(A877,logos!$A$2:$A$10004,1,FALSE)</f>
        <v>Capital (UK)</v>
      </c>
    </row>
    <row r="878" spans="1:13" hidden="1" x14ac:dyDescent="0.55000000000000004">
      <c r="A878" t="s">
        <v>2646</v>
      </c>
      <c r="B878" t="s">
        <v>1663</v>
      </c>
      <c r="C878" t="s">
        <v>309</v>
      </c>
      <c r="D878" t="s">
        <v>1657</v>
      </c>
      <c r="E878" t="s">
        <v>23</v>
      </c>
      <c r="F878" t="str">
        <f t="shared" si="13"/>
        <v>"C:\Program Files\VideoLAN\VLC\vlc.exe" "http://icecast.thisisdax.com/CapitalYorkshireEastMP3"</v>
      </c>
      <c r="M878" t="str">
        <f>VLOOKUP(A878,logos!$A$2:$A$10004,1,FALSE)</f>
        <v>Capital (Yorkshire) (East)</v>
      </c>
    </row>
    <row r="879" spans="1:13" hidden="1" x14ac:dyDescent="0.55000000000000004">
      <c r="A879" t="s">
        <v>2647</v>
      </c>
      <c r="B879" t="s">
        <v>1663</v>
      </c>
      <c r="C879" t="s">
        <v>311</v>
      </c>
      <c r="D879" t="s">
        <v>1657</v>
      </c>
      <c r="E879" t="s">
        <v>23</v>
      </c>
      <c r="F879" t="str">
        <f t="shared" si="13"/>
        <v>"C:\Program Files\VideoLAN\VLC\vlc.exe" "http://icecast.thisisdax.com/CapitalYorkshireSouthWestMP3"</v>
      </c>
      <c r="M879" t="str">
        <f>VLOOKUP(A879,logos!$A$2:$A$10004,1,FALSE)</f>
        <v>Capital (Yorkshire) (South &amp; West)</v>
      </c>
    </row>
    <row r="880" spans="1:13" hidden="1" x14ac:dyDescent="0.55000000000000004">
      <c r="A880" t="s">
        <v>314</v>
      </c>
      <c r="B880" t="s">
        <v>1663</v>
      </c>
      <c r="C880" t="s">
        <v>313</v>
      </c>
      <c r="D880" t="s">
        <v>1657</v>
      </c>
      <c r="E880" t="s">
        <v>23</v>
      </c>
      <c r="F880" t="str">
        <f t="shared" si="13"/>
        <v>"C:\Program Files\VideoLAN\VLC\vlc.exe" "http://icecast.thisisdax.com/CapitalDanceMP3"</v>
      </c>
      <c r="M880" t="str">
        <f>VLOOKUP(A880,logos!$A$2:$A$10004,1,FALSE)</f>
        <v>Capital Dance</v>
      </c>
    </row>
    <row r="881" spans="1:13" hidden="1" x14ac:dyDescent="0.55000000000000004">
      <c r="A881" t="s">
        <v>2648</v>
      </c>
      <c r="B881" t="s">
        <v>1663</v>
      </c>
      <c r="C881" t="s">
        <v>315</v>
      </c>
      <c r="D881" t="s">
        <v>1657</v>
      </c>
      <c r="E881" t="s">
        <v>23</v>
      </c>
      <c r="F881" t="str">
        <f t="shared" si="13"/>
        <v>"C:\Program Files\VideoLAN\VLC\vlc.exe" "http://icecast.thisisdax.com/CapitalXTRALondonMP3"</v>
      </c>
      <c r="M881" t="str">
        <f>VLOOKUP(A881,logos!$A$2:$A$10004,1,FALSE)</f>
        <v>Capital XTRA (London)</v>
      </c>
    </row>
    <row r="882" spans="1:13" hidden="1" x14ac:dyDescent="0.55000000000000004">
      <c r="A882" t="s">
        <v>2649</v>
      </c>
      <c r="B882" t="s">
        <v>1663</v>
      </c>
      <c r="C882" t="s">
        <v>317</v>
      </c>
      <c r="D882" t="s">
        <v>1657</v>
      </c>
      <c r="E882" t="s">
        <v>23</v>
      </c>
      <c r="F882" t="str">
        <f t="shared" si="13"/>
        <v>"C:\Program Files\VideoLAN\VLC\vlc.exe" "http://icecast.thisisdax.com/CapitalXTRANationalMP3"</v>
      </c>
      <c r="M882" t="str">
        <f>VLOOKUP(A882,logos!$A$2:$A$10004,1,FALSE)</f>
        <v>Capital XTRA (UK)</v>
      </c>
    </row>
    <row r="883" spans="1:13" hidden="1" x14ac:dyDescent="0.55000000000000004">
      <c r="A883" t="s">
        <v>320</v>
      </c>
      <c r="B883" t="s">
        <v>1663</v>
      </c>
      <c r="C883" t="s">
        <v>319</v>
      </c>
      <c r="D883" t="s">
        <v>1657</v>
      </c>
      <c r="E883" t="s">
        <v>23</v>
      </c>
      <c r="F883" t="str">
        <f t="shared" si="13"/>
        <v>"C:\Program Files\VideoLAN\VLC\vlc.exe" "http://icecast.thisisdax.com/CapitalXTRAReloadedMP3"</v>
      </c>
      <c r="M883" t="str">
        <f>VLOOKUP(A883,logos!$A$2:$A$10004,1,FALSE)</f>
        <v>Capital XTRA Reloaded</v>
      </c>
    </row>
    <row r="884" spans="1:13" hidden="1" x14ac:dyDescent="0.55000000000000004">
      <c r="A884" t="s">
        <v>322</v>
      </c>
      <c r="B884" t="s">
        <v>1663</v>
      </c>
      <c r="C884" t="s">
        <v>321</v>
      </c>
      <c r="D884" t="s">
        <v>1657</v>
      </c>
      <c r="E884" t="s">
        <v>23</v>
      </c>
      <c r="F884" t="str">
        <f t="shared" si="13"/>
        <v>"C:\Program Files\VideoLAN\VLC\vlc.exe" "http://listen-careradio.sharp-stream.com/120_care_radio_128_mp3?ref=RF"</v>
      </c>
      <c r="M884" t="e">
        <f>VLOOKUP(A884,logos!$A$2:$A$10004,1,FALSE)</f>
        <v>#N/A</v>
      </c>
    </row>
    <row r="885" spans="1:13" hidden="1" x14ac:dyDescent="0.55000000000000004">
      <c r="A885" t="s">
        <v>324</v>
      </c>
      <c r="B885" t="s">
        <v>1663</v>
      </c>
      <c r="C885" t="s">
        <v>323</v>
      </c>
      <c r="D885" t="s">
        <v>1657</v>
      </c>
      <c r="E885" t="s">
        <v>23</v>
      </c>
      <c r="F885" t="str">
        <f t="shared" si="13"/>
        <v>"C:\Program Files\VideoLAN\VLC\vlc.exe" "http://109.123.86.26:8012/stream"</v>
      </c>
      <c r="M885" t="e">
        <f>VLOOKUP(A885,logos!$A$2:$A$10004,1,FALSE)</f>
        <v>#N/A</v>
      </c>
    </row>
    <row r="886" spans="1:13" hidden="1" x14ac:dyDescent="0.55000000000000004">
      <c r="A886" t="s">
        <v>2650</v>
      </c>
      <c r="B886" t="s">
        <v>1663</v>
      </c>
      <c r="C886" t="s">
        <v>326</v>
      </c>
      <c r="D886" t="s">
        <v>1657</v>
      </c>
      <c r="E886" t="s">
        <v>23</v>
      </c>
      <c r="F886" t="str">
        <f t="shared" si="13"/>
        <v>"C:\Program Files\VideoLAN\VLC\vlc.exe" "http://uksouth.streaming.broadcast.radio:15890/central"</v>
      </c>
      <c r="M886" t="e">
        <f>VLOOKUP(A886,logos!$A$2:$A$10004,1,FALSE)</f>
        <v>#N/A</v>
      </c>
    </row>
    <row r="887" spans="1:13" hidden="1" x14ac:dyDescent="0.55000000000000004">
      <c r="A887" t="s">
        <v>329</v>
      </c>
      <c r="B887" t="s">
        <v>1663</v>
      </c>
      <c r="C887" t="s">
        <v>331</v>
      </c>
      <c r="D887" t="s">
        <v>1657</v>
      </c>
      <c r="E887" t="s">
        <v>23</v>
      </c>
      <c r="F887" t="str">
        <f t="shared" si="13"/>
        <v>"C:\Program Files\VideoLAN\VLC\vlc.exe" "http://centreforce.streamgb.com:8830/128"</v>
      </c>
      <c r="M887" t="e">
        <f>VLOOKUP(A887,logos!$A$2:$A$10004,1,FALSE)</f>
        <v>#N/A</v>
      </c>
    </row>
    <row r="888" spans="1:13" hidden="1" x14ac:dyDescent="0.55000000000000004">
      <c r="A888" t="s">
        <v>339</v>
      </c>
      <c r="B888" t="s">
        <v>1663</v>
      </c>
      <c r="C888" t="s">
        <v>338</v>
      </c>
      <c r="D888" t="s">
        <v>1657</v>
      </c>
      <c r="E888" t="s">
        <v>23</v>
      </c>
      <c r="F888" t="str">
        <f t="shared" si="13"/>
        <v>"C:\Program Files\VideoLAN\VLC\vlc.exe" "http://listen-cheesyfm.sharp-stream.com/cheesyfm.mp3?ref=RF"</v>
      </c>
      <c r="M888" t="e">
        <f>VLOOKUP(A888,logos!$A$2:$A$10004,1,FALSE)</f>
        <v>#N/A</v>
      </c>
    </row>
    <row r="889" spans="1:13" hidden="1" x14ac:dyDescent="0.55000000000000004">
      <c r="A889" t="s">
        <v>341</v>
      </c>
      <c r="B889" t="s">
        <v>1663</v>
      </c>
      <c r="C889" t="s">
        <v>340</v>
      </c>
      <c r="D889" t="s">
        <v>1657</v>
      </c>
      <c r="E889" t="s">
        <v>23</v>
      </c>
      <c r="F889" t="str">
        <f t="shared" si="13"/>
        <v>"C:\Program Files\VideoLAN\VLC\vlc.exe" "http://chiefradio.out.airtime.pro:8000/chiefradio_a"</v>
      </c>
      <c r="M889" t="e">
        <f>VLOOKUP(A889,logos!$A$2:$A$10004,1,FALSE)</f>
        <v>#N/A</v>
      </c>
    </row>
    <row r="890" spans="1:13" hidden="1" x14ac:dyDescent="0.55000000000000004">
      <c r="A890" t="s">
        <v>2652</v>
      </c>
      <c r="B890" t="s">
        <v>1663</v>
      </c>
      <c r="C890" t="s">
        <v>342</v>
      </c>
      <c r="D890" t="s">
        <v>1657</v>
      </c>
      <c r="E890" t="s">
        <v>23</v>
      </c>
      <c r="F890" t="str">
        <f t="shared" si="13"/>
        <v>"C:\Program Files\VideoLAN\VLC\vlc.exe" "http://icecast.thisisdax.com/ClassicFMMP3"</v>
      </c>
      <c r="M890" t="str">
        <f>VLOOKUP(A890,logos!$A$2:$A$10004,1,FALSE)</f>
        <v>Classic FM (UK)</v>
      </c>
    </row>
    <row r="891" spans="1:13" hidden="1" x14ac:dyDescent="0.55000000000000004">
      <c r="A891" t="s">
        <v>351</v>
      </c>
      <c r="B891" t="s">
        <v>1663</v>
      </c>
      <c r="C891" t="s">
        <v>350</v>
      </c>
      <c r="D891" t="s">
        <v>1657</v>
      </c>
      <c r="E891" t="s">
        <v>23</v>
      </c>
      <c r="F891" t="str">
        <f t="shared" si="13"/>
        <v>"C:\Program Files\VideoLAN\VLC\vlc.exe" "http://uksouth.streaming.broadcast.radio:16070/coastal"</v>
      </c>
      <c r="M891" t="e">
        <f>VLOOKUP(A891,logos!$A$2:$A$10004,1,FALSE)</f>
        <v>#N/A</v>
      </c>
    </row>
    <row r="892" spans="1:13" hidden="1" x14ac:dyDescent="0.55000000000000004">
      <c r="A892" t="s">
        <v>359</v>
      </c>
      <c r="B892" t="s">
        <v>1663</v>
      </c>
      <c r="C892" t="s">
        <v>358</v>
      </c>
      <c r="D892" t="s">
        <v>1657</v>
      </c>
      <c r="E892" t="s">
        <v>23</v>
      </c>
      <c r="F892" t="str">
        <f t="shared" si="13"/>
        <v>"C:\Program Files\VideoLAN\VLC\vlc.exe" "http://listen.radioking.com/radio/12237/stream/23945?ref=rf"</v>
      </c>
      <c r="M892" t="str">
        <f>VLOOKUP(A892,logos!$A$2:$A$10004,1,FALSE)</f>
        <v>Cosoro Radio</v>
      </c>
    </row>
    <row r="893" spans="1:13" hidden="1" x14ac:dyDescent="0.55000000000000004">
      <c r="A893" t="s">
        <v>2654</v>
      </c>
      <c r="B893" t="s">
        <v>1663</v>
      </c>
      <c r="C893" t="s">
        <v>362</v>
      </c>
      <c r="D893" t="s">
        <v>1657</v>
      </c>
      <c r="E893" t="s">
        <v>23</v>
      </c>
      <c r="F893" t="str">
        <f t="shared" si="13"/>
        <v>"C:\Program Files\VideoLAN\VLC\vlc.exe" "http://listen-chriscountry.sharp-stream.com/chriscountry.mp3?ref=RF"</v>
      </c>
      <c r="M893" t="e">
        <f>VLOOKUP(A893,logos!$A$2:$A$10004,1,FALSE)</f>
        <v>#N/A</v>
      </c>
    </row>
    <row r="894" spans="1:13" hidden="1" x14ac:dyDescent="0.55000000000000004">
      <c r="A894" t="s">
        <v>365</v>
      </c>
      <c r="B894" t="s">
        <v>1663</v>
      </c>
      <c r="C894" t="s">
        <v>364</v>
      </c>
      <c r="D894" t="s">
        <v>1657</v>
      </c>
      <c r="E894" t="s">
        <v>23</v>
      </c>
      <c r="F894" t="str">
        <f t="shared" si="13"/>
        <v>"C:\Program Files\VideoLAN\VLC\vlc.exe" "http://s5.radio.co:80/s89dcf578d/listen"</v>
      </c>
      <c r="M894" t="e">
        <f>VLOOKUP(A894,logos!$A$2:$A$10004,1,FALSE)</f>
        <v>#N/A</v>
      </c>
    </row>
    <row r="895" spans="1:13" hidden="1" x14ac:dyDescent="0.55000000000000004">
      <c r="A895" t="s">
        <v>367</v>
      </c>
      <c r="B895" t="s">
        <v>1663</v>
      </c>
      <c r="C895" t="s">
        <v>366</v>
      </c>
      <c r="D895" t="s">
        <v>1657</v>
      </c>
      <c r="E895" t="s">
        <v>23</v>
      </c>
      <c r="F895" t="str">
        <f t="shared" si="13"/>
        <v>"C:\Program Files\VideoLAN\VLC\vlc.exe" "http://dab.decadanceradio.net:8000/radio.mp3"</v>
      </c>
      <c r="M895" t="e">
        <f>VLOOKUP(A895,logos!$A$2:$A$10004,1,FALSE)</f>
        <v>#N/A</v>
      </c>
    </row>
    <row r="896" spans="1:13" hidden="1" x14ac:dyDescent="0.55000000000000004">
      <c r="A896" t="s">
        <v>369</v>
      </c>
      <c r="B896" t="s">
        <v>1663</v>
      </c>
      <c r="C896" t="s">
        <v>2211</v>
      </c>
      <c r="D896" t="s">
        <v>1657</v>
      </c>
      <c r="E896" t="s">
        <v>23</v>
      </c>
      <c r="F896" t="str">
        <f t="shared" si="13"/>
        <v>"C:\Program Files\VideoLAN\VLC\vlc.exe" "http://edge-audio-05-gos2.sharp-stream.com:80/tcdee.mp3"</v>
      </c>
      <c r="M896" t="e">
        <f>VLOOKUP(A896,logos!$A$2:$A$10004,1,FALSE)</f>
        <v>#N/A</v>
      </c>
    </row>
    <row r="897" spans="1:13" hidden="1" x14ac:dyDescent="0.55000000000000004">
      <c r="A897" t="s">
        <v>372</v>
      </c>
      <c r="B897" t="s">
        <v>1663</v>
      </c>
      <c r="C897" t="s">
        <v>373</v>
      </c>
      <c r="D897" t="s">
        <v>1657</v>
      </c>
      <c r="E897" t="s">
        <v>23</v>
      </c>
      <c r="F897" t="str">
        <f t="shared" si="13"/>
        <v>"C:\Program Files\VideoLAN\VLC\vlc.exe" "http://stream.deliteonline.com:48000/live128"</v>
      </c>
      <c r="M897" t="e">
        <f>VLOOKUP(A897,logos!$A$2:$A$10004,1,FALSE)</f>
        <v>#N/A</v>
      </c>
    </row>
    <row r="898" spans="1:13" hidden="1" x14ac:dyDescent="0.55000000000000004">
      <c r="A898" t="s">
        <v>381</v>
      </c>
      <c r="B898" t="s">
        <v>1663</v>
      </c>
      <c r="C898" t="s">
        <v>380</v>
      </c>
      <c r="D898" t="s">
        <v>1657</v>
      </c>
      <c r="E898" t="s">
        <v>23</v>
      </c>
      <c r="F898" t="str">
        <f t="shared" si="13"/>
        <v>"C:\Program Files\VideoLAN\VLC\vlc.exe" "http://listen-nation.sharp-stream.com/tcnationdigital.mp3?ref=RF"</v>
      </c>
      <c r="M898" t="e">
        <f>VLOOKUP(A898,logos!$A$2:$A$10004,1,FALSE)</f>
        <v>#N/A</v>
      </c>
    </row>
    <row r="899" spans="1:13" hidden="1" x14ac:dyDescent="0.55000000000000004">
      <c r="A899" t="s">
        <v>2655</v>
      </c>
      <c r="B899" t="s">
        <v>1663</v>
      </c>
      <c r="C899" t="s">
        <v>387</v>
      </c>
      <c r="D899" t="s">
        <v>1657</v>
      </c>
      <c r="E899" t="s">
        <v>23</v>
      </c>
      <c r="F899" t="str">
        <f t="shared" ref="F899:F962" si="14">"""C:\Program Files\VideoLAN\VLC\vlc.exe"" """&amp;C899&amp;""""</f>
        <v>"C:\Program Files\VideoLAN\VLC\vlc.exe" "http://listen-nation.sharp-stream.com/nationeasyports.mp3?ref=RF"</v>
      </c>
      <c r="M899" t="e">
        <f>VLOOKUP(A899,logos!$A$2:$A$10004,1,FALSE)</f>
        <v>#N/A</v>
      </c>
    </row>
    <row r="900" spans="1:13" hidden="1" x14ac:dyDescent="0.55000000000000004">
      <c r="A900" t="s">
        <v>2656</v>
      </c>
      <c r="B900" t="s">
        <v>1663</v>
      </c>
      <c r="C900" t="s">
        <v>391</v>
      </c>
      <c r="D900" t="s">
        <v>1657</v>
      </c>
      <c r="E900" t="s">
        <v>23</v>
      </c>
      <c r="F900" t="str">
        <f t="shared" si="14"/>
        <v>"C:\Program Files\VideoLAN\VLC\vlc.exe" "http://listen-nation.sharp-stream.com/nationeasysoton.mp3?ref=RF"</v>
      </c>
      <c r="M900" t="e">
        <f>VLOOKUP(A900,logos!$A$2:$A$10004,1,FALSE)</f>
        <v>#N/A</v>
      </c>
    </row>
    <row r="901" spans="1:13" hidden="1" x14ac:dyDescent="0.55000000000000004">
      <c r="A901" t="s">
        <v>2657</v>
      </c>
      <c r="B901" t="s">
        <v>1663</v>
      </c>
      <c r="C901" t="s">
        <v>394</v>
      </c>
      <c r="D901" t="s">
        <v>1657</v>
      </c>
      <c r="E901" t="s">
        <v>23</v>
      </c>
      <c r="F901" t="str">
        <f t="shared" si="14"/>
        <v>"C:\Program Files\VideoLAN\VLC\vlc.exe" "http://listen-nation.sharp-stream.com/breezyradiouk.mp3?ref=RF"</v>
      </c>
      <c r="M901" t="e">
        <f>VLOOKUP(A901,logos!$A$2:$A$10004,1,FALSE)</f>
        <v>#N/A</v>
      </c>
    </row>
    <row r="902" spans="1:13" hidden="1" x14ac:dyDescent="0.55000000000000004">
      <c r="A902" t="s">
        <v>2658</v>
      </c>
      <c r="B902" t="s">
        <v>1663</v>
      </c>
      <c r="C902" t="s">
        <v>397</v>
      </c>
      <c r="D902" t="s">
        <v>1657</v>
      </c>
      <c r="E902" t="s">
        <v>23</v>
      </c>
      <c r="F902" t="str">
        <f t="shared" si="14"/>
        <v>"C:\Program Files\VideoLAN\VLC\vlc.exe" "http://listen-nation.sharp-stream.com/tcbay.mp3?ref=RF"</v>
      </c>
      <c r="M902" t="e">
        <f>VLOOKUP(A902,logos!$A$2:$A$10004,1,FALSE)</f>
        <v>#N/A</v>
      </c>
    </row>
    <row r="903" spans="1:13" hidden="1" x14ac:dyDescent="0.55000000000000004">
      <c r="A903" t="s">
        <v>403</v>
      </c>
      <c r="B903" t="s">
        <v>1663</v>
      </c>
      <c r="C903" t="s">
        <v>402</v>
      </c>
      <c r="D903" t="s">
        <v>1657</v>
      </c>
      <c r="E903" t="s">
        <v>23</v>
      </c>
      <c r="F903" t="str">
        <f t="shared" si="14"/>
        <v>"C:\Program Files\VideoLAN\VLC\vlc.exe" "http://eirewave.ice.infomaniak.ch/eirewave-128.mp3?ref=RF"</v>
      </c>
      <c r="M903" t="e">
        <f>VLOOKUP(A903,logos!$A$2:$A$10004,1,FALSE)</f>
        <v>#N/A</v>
      </c>
    </row>
    <row r="904" spans="1:13" hidden="1" x14ac:dyDescent="0.55000000000000004">
      <c r="A904" t="s">
        <v>407</v>
      </c>
      <c r="B904" t="s">
        <v>1663</v>
      </c>
      <c r="C904" t="s">
        <v>406</v>
      </c>
      <c r="D904" t="s">
        <v>1657</v>
      </c>
      <c r="E904" t="s">
        <v>23</v>
      </c>
      <c r="F904" t="str">
        <f t="shared" si="14"/>
        <v>"C:\Program Files\VideoLAN\VLC\vlc.exe" "http://a11.streamgb.com:8083/stream"</v>
      </c>
      <c r="M904" t="e">
        <f>VLOOKUP(A904,logos!$A$2:$A$10004,1,FALSE)</f>
        <v>#N/A</v>
      </c>
    </row>
    <row r="905" spans="1:13" hidden="1" x14ac:dyDescent="0.55000000000000004">
      <c r="A905" t="s">
        <v>410</v>
      </c>
      <c r="B905" t="s">
        <v>1663</v>
      </c>
      <c r="C905" t="s">
        <v>409</v>
      </c>
      <c r="D905" t="s">
        <v>1657</v>
      </c>
      <c r="E905" t="s">
        <v>23</v>
      </c>
      <c r="F905" t="str">
        <f t="shared" si="14"/>
        <v>"C:\Program Files\VideoLAN\VLC\vlc.exe" "http://stream1.themediasite.co.uk:8030/stream"</v>
      </c>
      <c r="M905" t="e">
        <f>VLOOKUP(A905,logos!$A$2:$A$10004,1,FALSE)</f>
        <v>#N/A</v>
      </c>
    </row>
    <row r="906" spans="1:13" hidden="1" x14ac:dyDescent="0.55000000000000004">
      <c r="A906" t="s">
        <v>412</v>
      </c>
      <c r="B906" t="s">
        <v>1663</v>
      </c>
      <c r="C906" t="s">
        <v>2214</v>
      </c>
      <c r="D906" t="s">
        <v>1657</v>
      </c>
      <c r="E906" t="s">
        <v>23</v>
      </c>
      <c r="F906" t="str">
        <f t="shared" si="14"/>
        <v>"C:\Program Files\VideoLAN\VLC\vlc.exe" "http://edge-audio-05-gos2.sharp-stream.com:80/fixradio.mp3"</v>
      </c>
      <c r="M906" t="e">
        <f>VLOOKUP(A906,logos!$A$2:$A$10004,1,FALSE)</f>
        <v>#N/A</v>
      </c>
    </row>
    <row r="907" spans="1:13" hidden="1" x14ac:dyDescent="0.55000000000000004">
      <c r="A907" t="s">
        <v>428</v>
      </c>
      <c r="B907" t="s">
        <v>1663</v>
      </c>
      <c r="C907" t="s">
        <v>427</v>
      </c>
      <c r="D907" t="s">
        <v>1657</v>
      </c>
      <c r="E907" t="s">
        <v>23</v>
      </c>
      <c r="F907" t="str">
        <f t="shared" si="14"/>
        <v>"C:\Program Files\VideoLAN\VLC\vlc.exe" "http://listen-funkids.sharp-stream.com/funkids.mp3?ref=RF"</v>
      </c>
      <c r="M907" t="e">
        <f>VLOOKUP(A907,logos!$A$2:$A$10004,1,FALSE)</f>
        <v>#N/A</v>
      </c>
    </row>
    <row r="908" spans="1:13" hidden="1" x14ac:dyDescent="0.55000000000000004">
      <c r="A908" t="s">
        <v>430</v>
      </c>
      <c r="B908" t="s">
        <v>1663</v>
      </c>
      <c r="C908" t="s">
        <v>429</v>
      </c>
      <c r="D908" t="s">
        <v>1657</v>
      </c>
      <c r="E908" t="s">
        <v>23</v>
      </c>
      <c r="F908" t="str">
        <f t="shared" si="14"/>
        <v>"C:\Program Files\VideoLAN\VLC\vlc.exe" "http://listen-funkids.sharp-stream.com/funkidsjunior.mp3?ref=RF"</v>
      </c>
      <c r="M908" t="e">
        <f>VLOOKUP(A908,logos!$A$2:$A$10004,1,FALSE)</f>
        <v>#N/A</v>
      </c>
    </row>
    <row r="909" spans="1:13" hidden="1" x14ac:dyDescent="0.55000000000000004">
      <c r="A909" t="s">
        <v>432</v>
      </c>
      <c r="B909" t="s">
        <v>1663</v>
      </c>
      <c r="C909" t="s">
        <v>2222</v>
      </c>
      <c r="D909" t="s">
        <v>1657</v>
      </c>
      <c r="E909" t="s">
        <v>23</v>
      </c>
      <c r="F909" t="str">
        <f t="shared" si="14"/>
        <v>"C:\Program Files\VideoLAN\VLC\vlc.exe" "http://n10a-eu.rcs.revma.com:80/pp2cg1z3tm0uv"</v>
      </c>
      <c r="M909" t="str">
        <f>VLOOKUP(A909,logos!$A$2:$A$10004,1,FALSE)</f>
        <v>Fun Kids Naps</v>
      </c>
    </row>
    <row r="910" spans="1:13" hidden="1" x14ac:dyDescent="0.55000000000000004">
      <c r="A910" t="s">
        <v>434</v>
      </c>
      <c r="B910" t="s">
        <v>1663</v>
      </c>
      <c r="C910" t="s">
        <v>2223</v>
      </c>
      <c r="D910" t="s">
        <v>1657</v>
      </c>
      <c r="E910" t="s">
        <v>23</v>
      </c>
      <c r="F910" t="str">
        <f t="shared" si="14"/>
        <v>"C:\Program Files\VideoLAN\VLC\vlc.exe" "http://n10a-eu.rcs.revma.com:80/6m5ucmz3tm0uv"</v>
      </c>
      <c r="M910" t="e">
        <f>VLOOKUP(A910,logos!$A$2:$A$10004,1,FALSE)</f>
        <v>#N/A</v>
      </c>
    </row>
    <row r="911" spans="1:13" hidden="1" x14ac:dyDescent="0.55000000000000004">
      <c r="A911" t="s">
        <v>2662</v>
      </c>
      <c r="B911" t="s">
        <v>1663</v>
      </c>
      <c r="C911" t="s">
        <v>435</v>
      </c>
      <c r="D911" t="s">
        <v>1657</v>
      </c>
      <c r="E911" t="s">
        <v>23</v>
      </c>
      <c r="F911" t="str">
        <f t="shared" si="14"/>
        <v>"C:\Program Files\VideoLAN\VLC\vlc.exe" "http://listen-gaydio.sharp-stream.com/467_gaydio_birmingham_128_mp3?ref=RF"</v>
      </c>
      <c r="M911" t="e">
        <f>VLOOKUP(A911,logos!$A$2:$A$10004,1,FALSE)</f>
        <v>#N/A</v>
      </c>
    </row>
    <row r="912" spans="1:13" hidden="1" x14ac:dyDescent="0.55000000000000004">
      <c r="A912" t="s">
        <v>2663</v>
      </c>
      <c r="B912" t="s">
        <v>1663</v>
      </c>
      <c r="C912" t="s">
        <v>439</v>
      </c>
      <c r="D912" t="s">
        <v>1657</v>
      </c>
      <c r="E912" t="s">
        <v>23</v>
      </c>
      <c r="F912" t="str">
        <f t="shared" si="14"/>
        <v>"C:\Program Files\VideoLAN\VLC\vlc.exe" "http://listen-gaydio.sharp-stream.com/76_gaydio_scotland_128?ref=RF"</v>
      </c>
      <c r="M912" t="e">
        <f>VLOOKUP(A912,logos!$A$2:$A$10004,1,FALSE)</f>
        <v>#N/A</v>
      </c>
    </row>
    <row r="913" spans="1:13" hidden="1" x14ac:dyDescent="0.55000000000000004">
      <c r="A913" t="s">
        <v>2664</v>
      </c>
      <c r="B913" t="s">
        <v>1663</v>
      </c>
      <c r="C913" t="s">
        <v>442</v>
      </c>
      <c r="D913" t="s">
        <v>1657</v>
      </c>
      <c r="E913" t="s">
        <v>23</v>
      </c>
      <c r="F913" t="str">
        <f t="shared" si="14"/>
        <v>"C:\Program Files\VideoLAN\VLC\vlc.exe" "http://listen-gaydio.sharp-stream.com/472_gaydio_london_128_mp3?ref=RF"</v>
      </c>
      <c r="M913" t="e">
        <f>VLOOKUP(A913,logos!$A$2:$A$10004,1,FALSE)</f>
        <v>#N/A</v>
      </c>
    </row>
    <row r="914" spans="1:13" hidden="1" x14ac:dyDescent="0.55000000000000004">
      <c r="A914" t="s">
        <v>2665</v>
      </c>
      <c r="B914" t="s">
        <v>1663</v>
      </c>
      <c r="C914" t="s">
        <v>445</v>
      </c>
      <c r="D914" t="s">
        <v>1657</v>
      </c>
      <c r="E914" t="s">
        <v>23</v>
      </c>
      <c r="F914" t="str">
        <f t="shared" si="14"/>
        <v>"C:\Program Files\VideoLAN\VLC\vlc.exe" "http://listen-gaydio.sharp-stream.com/gaydiouk.mp3?ref=RF"</v>
      </c>
      <c r="M914" t="e">
        <f>VLOOKUP(A914,logos!$A$2:$A$10004,1,FALSE)</f>
        <v>#N/A</v>
      </c>
    </row>
    <row r="915" spans="1:13" hidden="1" x14ac:dyDescent="0.55000000000000004">
      <c r="A915" t="s">
        <v>449</v>
      </c>
      <c r="B915" t="s">
        <v>1663</v>
      </c>
      <c r="C915" t="s">
        <v>448</v>
      </c>
      <c r="D915" t="s">
        <v>1657</v>
      </c>
      <c r="E915" t="s">
        <v>23</v>
      </c>
      <c r="F915" t="str">
        <f t="shared" si="14"/>
        <v>"C:\Program Files\VideoLAN\VLC\vlc.exe" "http://listen-gbnews.sharp-stream.com/gbnews.mp3?ref=RF"</v>
      </c>
      <c r="M915" t="e">
        <f>VLOOKUP(A915,logos!$A$2:$A$10004,1,FALSE)</f>
        <v>#N/A</v>
      </c>
    </row>
    <row r="916" spans="1:13" hidden="1" x14ac:dyDescent="0.55000000000000004">
      <c r="A916" t="s">
        <v>453</v>
      </c>
      <c r="B916" t="s">
        <v>1663</v>
      </c>
      <c r="C916" t="s">
        <v>452</v>
      </c>
      <c r="D916" t="s">
        <v>1657</v>
      </c>
      <c r="E916" t="s">
        <v>23</v>
      </c>
      <c r="F916" t="str">
        <f t="shared" si="14"/>
        <v>"C:\Program Files\VideoLAN\VLC\vlc.exe" "http://stream.getradio.co.uk:80/mp3"</v>
      </c>
      <c r="M916" t="e">
        <f>VLOOKUP(A916,logos!$A$2:$A$10004,1,FALSE)</f>
        <v>#N/A</v>
      </c>
    </row>
    <row r="917" spans="1:13" hidden="1" x14ac:dyDescent="0.55000000000000004">
      <c r="A917" t="s">
        <v>455</v>
      </c>
      <c r="B917" t="s">
        <v>1663</v>
      </c>
      <c r="C917" t="s">
        <v>454</v>
      </c>
      <c r="D917" t="s">
        <v>1657</v>
      </c>
      <c r="E917" t="s">
        <v>23</v>
      </c>
      <c r="F917" t="str">
        <f t="shared" si="14"/>
        <v>"C:\Program Files\VideoLAN\VLC\vlc.exe" "http://s7.yesstreaming.net:8050/stream"</v>
      </c>
      <c r="M917" t="e">
        <f>VLOOKUP(A917,logos!$A$2:$A$10004,1,FALSE)</f>
        <v>#N/A</v>
      </c>
    </row>
    <row r="918" spans="1:13" hidden="1" x14ac:dyDescent="0.55000000000000004">
      <c r="A918" t="s">
        <v>457</v>
      </c>
      <c r="B918" t="s">
        <v>1663</v>
      </c>
      <c r="C918" t="s">
        <v>456</v>
      </c>
      <c r="D918" t="s">
        <v>1657</v>
      </c>
      <c r="E918" t="s">
        <v>23</v>
      </c>
      <c r="F918" t="str">
        <f t="shared" si="14"/>
        <v>"C:\Program Files\VideoLAN\VLC\vlc.exe" "http://streaming.broadcastradio.com:8250/goradio"</v>
      </c>
      <c r="M918" t="e">
        <f>VLOOKUP(A918,logos!$A$2:$A$10004,1,FALSE)</f>
        <v>#N/A</v>
      </c>
    </row>
    <row r="919" spans="1:13" hidden="1" x14ac:dyDescent="0.55000000000000004">
      <c r="A919" t="s">
        <v>459</v>
      </c>
      <c r="B919" t="s">
        <v>1663</v>
      </c>
      <c r="C919" t="s">
        <v>458</v>
      </c>
      <c r="D919" t="s">
        <v>1657</v>
      </c>
      <c r="E919" t="s">
        <v>23</v>
      </c>
      <c r="F919" t="str">
        <f t="shared" si="14"/>
        <v>"C:\Program Files\VideoLAN\VLC\vlc.exe" "http://icecast.thisisdax.com/GoldMP3"</v>
      </c>
      <c r="M919" t="str">
        <f>VLOOKUP(A919,logos!$A$2:$A$10004,1,FALSE)</f>
        <v>Gold</v>
      </c>
    </row>
    <row r="920" spans="1:13" hidden="1" x14ac:dyDescent="0.55000000000000004">
      <c r="A920" t="s">
        <v>461</v>
      </c>
      <c r="B920" t="s">
        <v>1663</v>
      </c>
      <c r="C920" t="s">
        <v>460</v>
      </c>
      <c r="D920" t="s">
        <v>1657</v>
      </c>
      <c r="E920" t="s">
        <v>23</v>
      </c>
      <c r="F920" t="str">
        <f t="shared" si="14"/>
        <v>"C:\Program Files\VideoLAN\VLC\vlc.exe" "http://listen-gorgeousfm.sharp-stream.com/45_gorgeous_fm_128_mp3?ref=RF"</v>
      </c>
      <c r="M920" t="str">
        <f>VLOOKUP(A920,logos!$A$2:$A$10004,1,FALSE)</f>
        <v>Gorgeous</v>
      </c>
    </row>
    <row r="921" spans="1:13" hidden="1" x14ac:dyDescent="0.55000000000000004">
      <c r="A921" t="s">
        <v>463</v>
      </c>
      <c r="B921" t="s">
        <v>1663</v>
      </c>
      <c r="C921" t="s">
        <v>464</v>
      </c>
      <c r="D921" t="s">
        <v>1657</v>
      </c>
      <c r="E921" t="s">
        <v>23</v>
      </c>
      <c r="F921" t="str">
        <f t="shared" si="14"/>
        <v>"C:\Program Files\VideoLAN\VLC\vlc.exe" "http://s6.citrus3.com:8010/stream"</v>
      </c>
      <c r="M921" t="e">
        <f>VLOOKUP(A921,logos!$A$2:$A$10004,1,FALSE)</f>
        <v>#N/A</v>
      </c>
    </row>
    <row r="922" spans="1:13" hidden="1" x14ac:dyDescent="0.55000000000000004">
      <c r="A922" t="s">
        <v>574</v>
      </c>
      <c r="B922" t="s">
        <v>1663</v>
      </c>
      <c r="C922" t="s">
        <v>573</v>
      </c>
      <c r="D922" t="s">
        <v>1657</v>
      </c>
      <c r="E922" t="s">
        <v>23</v>
      </c>
      <c r="F922" t="str">
        <f t="shared" si="14"/>
        <v>"C:\Program Files\VideoLAN\VLC\vlc.exe" "http://playoutonestreaming.com:8026/stream"</v>
      </c>
      <c r="M922" t="e">
        <f>VLOOKUP(A922,logos!$A$2:$A$10004,1,FALSE)</f>
        <v>#N/A</v>
      </c>
    </row>
    <row r="923" spans="1:13" hidden="1" x14ac:dyDescent="0.55000000000000004">
      <c r="A923" t="s">
        <v>2712</v>
      </c>
      <c r="B923" t="s">
        <v>1663</v>
      </c>
      <c r="C923" t="s">
        <v>575</v>
      </c>
      <c r="D923" t="s">
        <v>1657</v>
      </c>
      <c r="E923" t="s">
        <v>23</v>
      </c>
      <c r="F923" t="str">
        <f t="shared" si="14"/>
        <v>"C:\Program Files\VideoLAN\VLC\vlc.exe" "http://icecast.thisisdax.com/HeartBedfordshireMP3"</v>
      </c>
      <c r="M923" t="str">
        <f>VLOOKUP(A923,logos!$A$2:$A$10004,1,FALSE)</f>
        <v>Heart (East) (Bedfordshire)</v>
      </c>
    </row>
    <row r="924" spans="1:13" hidden="1" x14ac:dyDescent="0.55000000000000004">
      <c r="A924" t="s">
        <v>2713</v>
      </c>
      <c r="B924" t="s">
        <v>1663</v>
      </c>
      <c r="C924" t="s">
        <v>578</v>
      </c>
      <c r="D924" t="s">
        <v>1657</v>
      </c>
      <c r="E924" t="s">
        <v>23</v>
      </c>
      <c r="F924" t="str">
        <f t="shared" si="14"/>
        <v>"C:\Program Files\VideoLAN\VLC\vlc.exe" "http://icecast.thisisdax.com/HeartBedsBucksHertsMP3"</v>
      </c>
      <c r="M924" t="str">
        <f>VLOOKUP(A924,logos!$A$2:$A$10004,1,FALSE)</f>
        <v>Heart (East) (Beds, Bucks &amp; Herts)</v>
      </c>
    </row>
    <row r="925" spans="1:13" hidden="1" x14ac:dyDescent="0.55000000000000004">
      <c r="A925" t="s">
        <v>2714</v>
      </c>
      <c r="B925" t="s">
        <v>1663</v>
      </c>
      <c r="C925" t="s">
        <v>580</v>
      </c>
      <c r="D925" t="s">
        <v>1657</v>
      </c>
      <c r="E925" t="s">
        <v>23</v>
      </c>
      <c r="F925" t="str">
        <f t="shared" si="14"/>
        <v>"C:\Program Files\VideoLAN\VLC\vlc.exe" "http://icecast.thisisdax.com/HeartCambridgeMP3"</v>
      </c>
      <c r="M925" t="str">
        <f>VLOOKUP(A925,logos!$A$2:$A$10004,1,FALSE)</f>
        <v>Heart (East) (Cambridge &amp; Newmarket)</v>
      </c>
    </row>
    <row r="926" spans="1:13" hidden="1" x14ac:dyDescent="0.55000000000000004">
      <c r="A926" t="s">
        <v>2715</v>
      </c>
      <c r="B926" t="s">
        <v>1663</v>
      </c>
      <c r="C926" t="s">
        <v>582</v>
      </c>
      <c r="D926" t="s">
        <v>1657</v>
      </c>
      <c r="E926" t="s">
        <v>23</v>
      </c>
      <c r="F926" t="str">
        <f t="shared" si="14"/>
        <v>"C:\Program Files\VideoLAN\VLC\vlc.exe" "http://icecast.thisisdax.com/HeartColchesterMP3"</v>
      </c>
      <c r="M926" t="str">
        <f>VLOOKUP(A926,logos!$A$2:$A$10004,1,FALSE)</f>
        <v>Heart (East) (Colchester)</v>
      </c>
    </row>
    <row r="927" spans="1:13" hidden="1" x14ac:dyDescent="0.55000000000000004">
      <c r="A927" t="s">
        <v>2716</v>
      </c>
      <c r="B927" t="s">
        <v>1663</v>
      </c>
      <c r="C927" t="s">
        <v>584</v>
      </c>
      <c r="D927" t="s">
        <v>1657</v>
      </c>
      <c r="E927" t="s">
        <v>23</v>
      </c>
      <c r="F927" t="str">
        <f t="shared" si="14"/>
        <v>"C:\Program Files\VideoLAN\VLC\vlc.exe" "http://icecast.thisisdax.com/HeartPeterboroughMP3"</v>
      </c>
      <c r="M927" t="str">
        <f>VLOOKUP(A927,logos!$A$2:$A$10004,1,FALSE)</f>
        <v>Heart (East) (Greater Peterborough)</v>
      </c>
    </row>
    <row r="928" spans="1:13" hidden="1" x14ac:dyDescent="0.55000000000000004">
      <c r="A928" t="s">
        <v>2717</v>
      </c>
      <c r="B928" t="s">
        <v>1663</v>
      </c>
      <c r="C928" t="s">
        <v>586</v>
      </c>
      <c r="D928" t="s">
        <v>1657</v>
      </c>
      <c r="E928" t="s">
        <v>23</v>
      </c>
      <c r="F928" t="str">
        <f t="shared" si="14"/>
        <v>"C:\Program Files\VideoLAN\VLC\vlc.exe" "http://icecast.thisisdax.com/HeartHarlowMP3"</v>
      </c>
      <c r="M928" t="str">
        <f>VLOOKUP(A928,logos!$A$2:$A$10004,1,FALSE)</f>
        <v>Heart (East) (Harlow)</v>
      </c>
    </row>
    <row r="929" spans="1:13" hidden="1" x14ac:dyDescent="0.55000000000000004">
      <c r="A929" t="s">
        <v>2718</v>
      </c>
      <c r="B929" t="s">
        <v>1663</v>
      </c>
      <c r="C929" t="s">
        <v>588</v>
      </c>
      <c r="D929" t="s">
        <v>1657</v>
      </c>
      <c r="E929" t="s">
        <v>23</v>
      </c>
      <c r="F929" t="str">
        <f t="shared" si="14"/>
        <v>"C:\Program Files\VideoLAN\VLC\vlc.exe" "http://icecast.thisisdax.com/HeartMiltonKeynesMP3"</v>
      </c>
      <c r="M929" t="str">
        <f>VLOOKUP(A929,logos!$A$2:$A$10004,1,FALSE)</f>
        <v>Heart (East) (Milton Keynes)</v>
      </c>
    </row>
    <row r="930" spans="1:13" hidden="1" x14ac:dyDescent="0.55000000000000004">
      <c r="A930" t="s">
        <v>2719</v>
      </c>
      <c r="B930" t="s">
        <v>1663</v>
      </c>
      <c r="C930" t="s">
        <v>590</v>
      </c>
      <c r="D930" t="s">
        <v>1657</v>
      </c>
      <c r="E930" t="s">
        <v>23</v>
      </c>
      <c r="F930" t="str">
        <f t="shared" si="14"/>
        <v>"C:\Program Files\VideoLAN\VLC\vlc.exe" "http://icecast.thisisdax.com/HeartNorfolkMP3"</v>
      </c>
      <c r="M930" t="str">
        <f>VLOOKUP(A930,logos!$A$2:$A$10004,1,FALSE)</f>
        <v>Heart (East) (Norfolk &amp; North Suffolk)</v>
      </c>
    </row>
    <row r="931" spans="1:13" hidden="1" x14ac:dyDescent="0.55000000000000004">
      <c r="A931" t="s">
        <v>2720</v>
      </c>
      <c r="B931" t="s">
        <v>1663</v>
      </c>
      <c r="C931" t="s">
        <v>592</v>
      </c>
      <c r="D931" t="s">
        <v>1657</v>
      </c>
      <c r="E931" t="s">
        <v>23</v>
      </c>
      <c r="F931" t="str">
        <f t="shared" si="14"/>
        <v>"C:\Program Files\VideoLAN\VLC\vlc.exe" "http://icecast.thisisdax.com/HeartNorthamptonshireMP3"</v>
      </c>
      <c r="M931" t="str">
        <f>VLOOKUP(A931,logos!$A$2:$A$10004,1,FALSE)</f>
        <v>Heart (East) (Northamptonshire)</v>
      </c>
    </row>
    <row r="932" spans="1:13" hidden="1" x14ac:dyDescent="0.55000000000000004">
      <c r="A932" t="s">
        <v>2721</v>
      </c>
      <c r="B932" t="s">
        <v>1663</v>
      </c>
      <c r="C932" t="s">
        <v>594</v>
      </c>
      <c r="D932" t="s">
        <v>1657</v>
      </c>
      <c r="E932" t="s">
        <v>23</v>
      </c>
      <c r="F932" t="str">
        <f t="shared" si="14"/>
        <v>"C:\Program Files\VideoLAN\VLC\vlc.exe" "http://icecast.thisisdax.com/HeartEssexMP3"</v>
      </c>
      <c r="M932" t="str">
        <f>VLOOKUP(A932,logos!$A$2:$A$10004,1,FALSE)</f>
        <v>Heart (East) (Southend &amp; Chelmsford)</v>
      </c>
    </row>
    <row r="933" spans="1:13" hidden="1" x14ac:dyDescent="0.55000000000000004">
      <c r="A933" t="s">
        <v>2722</v>
      </c>
      <c r="B933" t="s">
        <v>1663</v>
      </c>
      <c r="C933" t="s">
        <v>596</v>
      </c>
      <c r="D933" t="s">
        <v>1657</v>
      </c>
      <c r="E933" t="s">
        <v>23</v>
      </c>
      <c r="F933" t="str">
        <f t="shared" si="14"/>
        <v>"C:\Program Files\VideoLAN\VLC\vlc.exe" "http://icecast.thisisdax.com/HeartSuffolkMP3"</v>
      </c>
      <c r="M933" t="str">
        <f>VLOOKUP(A933,logos!$A$2:$A$10004,1,FALSE)</f>
        <v>Heart (East) (Suffolk)</v>
      </c>
    </row>
    <row r="934" spans="1:13" hidden="1" x14ac:dyDescent="0.55000000000000004">
      <c r="A934" t="s">
        <v>2723</v>
      </c>
      <c r="B934" t="s">
        <v>1663</v>
      </c>
      <c r="C934" t="s">
        <v>598</v>
      </c>
      <c r="D934" t="s">
        <v>1657</v>
      </c>
      <c r="E934" t="s">
        <v>23</v>
      </c>
      <c r="F934" t="str">
        <f t="shared" si="14"/>
        <v>"C:\Program Files\VideoLAN\VLC\vlc.exe" "http://icecast.thisisdax.com/HeartHertsNorthMP3"</v>
      </c>
      <c r="M934" t="str">
        <f>VLOOKUP(A934,logos!$A$2:$A$10004,1,FALSE)</f>
        <v>Heart (Hertfordshire) (North)</v>
      </c>
    </row>
    <row r="935" spans="1:13" hidden="1" x14ac:dyDescent="0.55000000000000004">
      <c r="A935" t="s">
        <v>2724</v>
      </c>
      <c r="B935" t="s">
        <v>1663</v>
      </c>
      <c r="C935" t="s">
        <v>600</v>
      </c>
      <c r="D935" t="s">
        <v>1657</v>
      </c>
      <c r="E935" t="s">
        <v>23</v>
      </c>
      <c r="F935" t="str">
        <f t="shared" si="14"/>
        <v>"C:\Program Files\VideoLAN\VLC\vlc.exe" "http://icecast.thisisdax.com/HeartWatfordMP3"</v>
      </c>
      <c r="M935" t="str">
        <f>VLOOKUP(A935,logos!$A$2:$A$10004,1,FALSE)</f>
        <v>Heart (Hertfordshire) (Watford &amp; Hemel)</v>
      </c>
    </row>
    <row r="936" spans="1:13" hidden="1" x14ac:dyDescent="0.55000000000000004">
      <c r="A936" t="s">
        <v>2725</v>
      </c>
      <c r="B936" t="s">
        <v>1663</v>
      </c>
      <c r="C936" t="s">
        <v>602</v>
      </c>
      <c r="D936" t="s">
        <v>1657</v>
      </c>
      <c r="E936" t="s">
        <v>23</v>
      </c>
      <c r="F936" t="str">
        <f t="shared" si="14"/>
        <v>"C:\Program Files\VideoLAN\VLC\vlc.exe" "http://icecast.thisisdax.com/HeartLondonMP3"</v>
      </c>
      <c r="M936" t="str">
        <f>VLOOKUP(A936,logos!$A$2:$A$10004,1,FALSE)</f>
        <v>Heart (London)</v>
      </c>
    </row>
    <row r="937" spans="1:13" hidden="1" x14ac:dyDescent="0.55000000000000004">
      <c r="A937" t="s">
        <v>2726</v>
      </c>
      <c r="B937" t="s">
        <v>1663</v>
      </c>
      <c r="C937" t="s">
        <v>604</v>
      </c>
      <c r="D937" t="s">
        <v>1657</v>
      </c>
      <c r="E937" t="s">
        <v>23</v>
      </c>
      <c r="F937" t="str">
        <f t="shared" si="14"/>
        <v>"C:\Program Files\VideoLAN\VLC\vlc.exe" "http://icecast.thisisdax.com/HeartNorthWalesMP3"</v>
      </c>
      <c r="M937" t="str">
        <f>VLOOKUP(A937,logos!$A$2:$A$10004,1,FALSE)</f>
        <v>Heart (North &amp; Mid Wales)</v>
      </c>
    </row>
    <row r="938" spans="1:13" hidden="1" x14ac:dyDescent="0.55000000000000004">
      <c r="A938" t="s">
        <v>2727</v>
      </c>
      <c r="B938" t="s">
        <v>1663</v>
      </c>
      <c r="C938" t="s">
        <v>606</v>
      </c>
      <c r="D938" t="s">
        <v>1657</v>
      </c>
      <c r="E938" t="s">
        <v>23</v>
      </c>
      <c r="F938" t="str">
        <f t="shared" si="14"/>
        <v>"C:\Program Files\VideoLAN\VLC\vlc.exe" "http://icecast.thisisdax.com/HeartTeessideMP3"</v>
      </c>
      <c r="M938" t="str">
        <f>VLOOKUP(A938,logos!$A$2:$A$10004,1,FALSE)</f>
        <v>Heart (North East England) (Teesside)</v>
      </c>
    </row>
    <row r="939" spans="1:13" hidden="1" x14ac:dyDescent="0.55000000000000004">
      <c r="A939" t="s">
        <v>2728</v>
      </c>
      <c r="B939" t="s">
        <v>1663</v>
      </c>
      <c r="C939" t="s">
        <v>608</v>
      </c>
      <c r="D939" t="s">
        <v>1657</v>
      </c>
      <c r="E939" t="s">
        <v>23</v>
      </c>
      <c r="F939" t="str">
        <f t="shared" si="14"/>
        <v>"C:\Program Files\VideoLAN\VLC\vlc.exe" "http://icecast.thisisdax.com/HeartTyneWearMP3"</v>
      </c>
      <c r="M939" t="str">
        <f>VLOOKUP(A939,logos!$A$2:$A$10004,1,FALSE)</f>
        <v>Heart (North East England) (Tyne &amp; Wear)</v>
      </c>
    </row>
    <row r="940" spans="1:13" hidden="1" x14ac:dyDescent="0.55000000000000004">
      <c r="A940" t="s">
        <v>2729</v>
      </c>
      <c r="B940" t="s">
        <v>1663</v>
      </c>
      <c r="C940" t="s">
        <v>610</v>
      </c>
      <c r="D940" t="s">
        <v>1657</v>
      </c>
      <c r="E940" t="s">
        <v>23</v>
      </c>
      <c r="F940" t="str">
        <f t="shared" si="14"/>
        <v>"C:\Program Files\VideoLAN\VLC\vlc.exe" "http://icecast.thisisdax.com/HeartNorthLancsCumbriaMP3"</v>
      </c>
      <c r="M940" t="str">
        <f>VLOOKUP(A940,logos!$A$2:$A$10004,1,FALSE)</f>
        <v>Heart (North West England) (North Lancashire &amp; Cumbria)</v>
      </c>
    </row>
    <row r="941" spans="1:13" hidden="1" x14ac:dyDescent="0.55000000000000004">
      <c r="A941" t="s">
        <v>2730</v>
      </c>
      <c r="B941" t="s">
        <v>1663</v>
      </c>
      <c r="C941" t="s">
        <v>612</v>
      </c>
      <c r="D941" t="s">
        <v>1657</v>
      </c>
      <c r="E941" t="s">
        <v>23</v>
      </c>
      <c r="F941" t="str">
        <f t="shared" si="14"/>
        <v>"C:\Program Files\VideoLAN\VLC\vlc.exe" "http://icecast.thisisdax.com/HeartNorthWestMP3"</v>
      </c>
      <c r="M941" t="str">
        <f>VLOOKUP(A941,logos!$A$2:$A$10004,1,FALSE)</f>
        <v>Heart (North West England) (North West England)</v>
      </c>
    </row>
    <row r="942" spans="1:13" hidden="1" x14ac:dyDescent="0.55000000000000004">
      <c r="A942" t="s">
        <v>2731</v>
      </c>
      <c r="B942" t="s">
        <v>1663</v>
      </c>
      <c r="C942" t="s">
        <v>614</v>
      </c>
      <c r="D942" t="s">
        <v>1657</v>
      </c>
      <c r="E942" t="s">
        <v>23</v>
      </c>
      <c r="F942" t="str">
        <f t="shared" si="14"/>
        <v>"C:\Program Files\VideoLAN\VLC\vlc.exe" "http://icecast.thisisdax.com/HeartEdinburghMP3"</v>
      </c>
      <c r="M942" t="str">
        <f>VLOOKUP(A942,logos!$A$2:$A$10004,1,FALSE)</f>
        <v>Heart (Scotland) (East)</v>
      </c>
    </row>
    <row r="943" spans="1:13" hidden="1" x14ac:dyDescent="0.55000000000000004">
      <c r="A943" t="s">
        <v>2732</v>
      </c>
      <c r="B943" t="s">
        <v>1663</v>
      </c>
      <c r="C943" t="s">
        <v>616</v>
      </c>
      <c r="D943" t="s">
        <v>1657</v>
      </c>
      <c r="E943" t="s">
        <v>23</v>
      </c>
      <c r="F943" t="str">
        <f t="shared" si="14"/>
        <v>"C:\Program Files\VideoLAN\VLC\vlc.exe" "http://icecast.thisisdax.com/HeartGlasgowMP3"</v>
      </c>
      <c r="M943" t="str">
        <f>VLOOKUP(A943,logos!$A$2:$A$10004,1,FALSE)</f>
        <v>Heart (Scotland) (West)</v>
      </c>
    </row>
    <row r="944" spans="1:13" hidden="1" x14ac:dyDescent="0.55000000000000004">
      <c r="A944" t="s">
        <v>2740</v>
      </c>
      <c r="B944" t="s">
        <v>1663</v>
      </c>
      <c r="C944" t="s">
        <v>632</v>
      </c>
      <c r="D944" t="s">
        <v>1657</v>
      </c>
      <c r="E944" t="s">
        <v>23</v>
      </c>
      <c r="F944" t="str">
        <f t="shared" si="14"/>
        <v>"C:\Program Files\VideoLAN\VLC\vlc.exe" "http://icecast.thisisdax.com/HeartSouthWalesMP3"</v>
      </c>
      <c r="M944" t="str">
        <f>VLOOKUP(A944,logos!$A$2:$A$10004,1,FALSE)</f>
        <v>Heart (South Wales) (East)</v>
      </c>
    </row>
    <row r="945" spans="1:13" hidden="1" x14ac:dyDescent="0.55000000000000004">
      <c r="A945" t="s">
        <v>2741</v>
      </c>
      <c r="B945" t="s">
        <v>1663</v>
      </c>
      <c r="C945" t="s">
        <v>634</v>
      </c>
      <c r="D945" t="s">
        <v>1657</v>
      </c>
      <c r="E945" t="s">
        <v>23</v>
      </c>
      <c r="F945" t="str">
        <f t="shared" si="14"/>
        <v>"C:\Program Files\VideoLAN\VLC\vlc.exe" "http://icecast.thisisdax.com/HeartWestWalesMP3"</v>
      </c>
      <c r="M945" t="str">
        <f>VLOOKUP(A945,logos!$A$2:$A$10004,1,FALSE)</f>
        <v>Heart (South Wales) (West)</v>
      </c>
    </row>
    <row r="946" spans="1:13" hidden="1" x14ac:dyDescent="0.55000000000000004">
      <c r="A946" t="s">
        <v>2733</v>
      </c>
      <c r="B946" t="s">
        <v>1663</v>
      </c>
      <c r="C946" t="s">
        <v>618</v>
      </c>
      <c r="D946" t="s">
        <v>1657</v>
      </c>
      <c r="E946" t="s">
        <v>23</v>
      </c>
      <c r="F946" t="str">
        <f t="shared" si="14"/>
        <v>"C:\Program Files\VideoLAN\VLC\vlc.exe" "http://icecast.thisisdax.com/HeartBerkshireMP3"</v>
      </c>
      <c r="M946" t="str">
        <f>VLOOKUP(A946,logos!$A$2:$A$10004,1,FALSE)</f>
        <v>Heart (South) (Berkshire &amp; North Hampshire)</v>
      </c>
    </row>
    <row r="947" spans="1:13" hidden="1" x14ac:dyDescent="0.55000000000000004">
      <c r="A947" t="s">
        <v>2734</v>
      </c>
      <c r="B947" t="s">
        <v>1663</v>
      </c>
      <c r="C947" t="s">
        <v>620</v>
      </c>
      <c r="D947" t="s">
        <v>1657</v>
      </c>
      <c r="E947" t="s">
        <v>23</v>
      </c>
      <c r="F947" t="str">
        <f t="shared" si="14"/>
        <v>"C:\Program Files\VideoLAN\VLC\vlc.exe" "http://icecast.thisisdax.com/HeartCrawleyMP3"</v>
      </c>
      <c r="M947" t="str">
        <f>VLOOKUP(A947,logos!$A$2:$A$10004,1,FALSE)</f>
        <v>Heart (South) (Crawley &amp; Surrey)</v>
      </c>
    </row>
    <row r="948" spans="1:13" hidden="1" x14ac:dyDescent="0.55000000000000004">
      <c r="A948" t="s">
        <v>2735</v>
      </c>
      <c r="B948" t="s">
        <v>1663</v>
      </c>
      <c r="C948" t="s">
        <v>622</v>
      </c>
      <c r="D948" t="s">
        <v>1657</v>
      </c>
      <c r="E948" t="s">
        <v>23</v>
      </c>
      <c r="F948" t="str">
        <f t="shared" si="14"/>
        <v>"C:\Program Files\VideoLAN\VLC\vlc.exe" "http://icecast.thisisdax.com/HeartDorsetMP3"</v>
      </c>
      <c r="M948" t="str">
        <f>VLOOKUP(A948,logos!$A$2:$A$10004,1,FALSE)</f>
        <v>Heart (South) (Dorset &amp; The New Forest)</v>
      </c>
    </row>
    <row r="949" spans="1:13" hidden="1" x14ac:dyDescent="0.55000000000000004">
      <c r="A949" t="s">
        <v>2736</v>
      </c>
      <c r="B949" t="s">
        <v>1663</v>
      </c>
      <c r="C949" t="s">
        <v>624</v>
      </c>
      <c r="D949" t="s">
        <v>1657</v>
      </c>
      <c r="E949" t="s">
        <v>23</v>
      </c>
      <c r="F949" t="str">
        <f t="shared" si="14"/>
        <v>"C:\Program Files\VideoLAN\VLC\vlc.exe" "http://icecast.thisisdax.com/HeartHampshireMP3"</v>
      </c>
      <c r="M949" t="str">
        <f>VLOOKUP(A949,logos!$A$2:$A$10004,1,FALSE)</f>
        <v>Heart (South) (Hampshire &amp; West Sussex)</v>
      </c>
    </row>
    <row r="950" spans="1:13" hidden="1" x14ac:dyDescent="0.55000000000000004">
      <c r="A950" t="s">
        <v>2737</v>
      </c>
      <c r="B950" t="s">
        <v>1663</v>
      </c>
      <c r="C950" t="s">
        <v>626</v>
      </c>
      <c r="D950" t="s">
        <v>1657</v>
      </c>
      <c r="E950" t="s">
        <v>23</v>
      </c>
      <c r="F950" t="str">
        <f t="shared" si="14"/>
        <v>"C:\Program Files\VideoLAN\VLC\vlc.exe" "http://icecast.thisisdax.com/HeartKentMP3"</v>
      </c>
      <c r="M950" t="str">
        <f>VLOOKUP(A950,logos!$A$2:$A$10004,1,FALSE)</f>
        <v>Heart (South) (Kent)</v>
      </c>
    </row>
    <row r="951" spans="1:13" hidden="1" x14ac:dyDescent="0.55000000000000004">
      <c r="A951" t="s">
        <v>2738</v>
      </c>
      <c r="B951" t="s">
        <v>1663</v>
      </c>
      <c r="C951" t="s">
        <v>628</v>
      </c>
      <c r="D951" t="s">
        <v>1657</v>
      </c>
      <c r="E951" t="s">
        <v>23</v>
      </c>
      <c r="F951" t="str">
        <f t="shared" si="14"/>
        <v>"C:\Program Files\VideoLAN\VLC\vlc.exe" "http://icecast.thisisdax.com/HeartOxfordshireMP3"</v>
      </c>
      <c r="M951" t="str">
        <f>VLOOKUP(A951,logos!$A$2:$A$10004,1,FALSE)</f>
        <v>Heart (South) (Oxfordshire)</v>
      </c>
    </row>
    <row r="952" spans="1:13" hidden="1" x14ac:dyDescent="0.55000000000000004">
      <c r="A952" t="s">
        <v>2739</v>
      </c>
      <c r="B952" t="s">
        <v>1663</v>
      </c>
      <c r="C952" t="s">
        <v>630</v>
      </c>
      <c r="D952" t="s">
        <v>1657</v>
      </c>
      <c r="E952" t="s">
        <v>23</v>
      </c>
      <c r="F952" t="str">
        <f t="shared" si="14"/>
        <v>"C:\Program Files\VideoLAN\VLC\vlc.exe" "http://icecast.thisisdax.com/HeartSussexMP3"</v>
      </c>
      <c r="M952" t="str">
        <f>VLOOKUP(A952,logos!$A$2:$A$10004,1,FALSE)</f>
        <v>Heart (South) (Sussex)</v>
      </c>
    </row>
    <row r="953" spans="1:13" hidden="1" x14ac:dyDescent="0.55000000000000004">
      <c r="A953" t="s">
        <v>2742</v>
      </c>
      <c r="B953" t="s">
        <v>1663</v>
      </c>
      <c r="C953" t="s">
        <v>636</v>
      </c>
      <c r="D953" t="s">
        <v>1657</v>
      </c>
      <c r="E953" t="s">
        <v>23</v>
      </c>
      <c r="F953" t="str">
        <f t="shared" si="14"/>
        <v>"C:\Program Files\VideoLAN\VLC\vlc.exe" "http://icecast.thisisdax.com/HeartUKMP3"</v>
      </c>
      <c r="M953" t="str">
        <f>VLOOKUP(A953,logos!$A$2:$A$10004,1,FALSE)</f>
        <v>Heart (UK)</v>
      </c>
    </row>
    <row r="954" spans="1:13" hidden="1" x14ac:dyDescent="0.55000000000000004">
      <c r="A954" t="s">
        <v>2754</v>
      </c>
      <c r="B954" t="s">
        <v>1663</v>
      </c>
      <c r="C954" t="s">
        <v>660</v>
      </c>
      <c r="D954" t="s">
        <v>1657</v>
      </c>
      <c r="E954" t="s">
        <v>23</v>
      </c>
      <c r="F954" t="str">
        <f t="shared" si="14"/>
        <v>"C:\Program Files\VideoLAN\VLC\vlc.exe" "http://icecast.thisisdax.com/HeartWestMidsMP3"</v>
      </c>
      <c r="M954" t="str">
        <f>VLOOKUP(A954,logos!$A$2:$A$10004,1,FALSE)</f>
        <v>Heart (West Midlands)</v>
      </c>
    </row>
    <row r="955" spans="1:13" hidden="1" x14ac:dyDescent="0.55000000000000004">
      <c r="A955" t="s">
        <v>2743</v>
      </c>
      <c r="B955" t="s">
        <v>1663</v>
      </c>
      <c r="C955" t="s">
        <v>638</v>
      </c>
      <c r="D955" t="s">
        <v>1657</v>
      </c>
      <c r="E955" t="s">
        <v>23</v>
      </c>
      <c r="F955" t="str">
        <f t="shared" si="14"/>
        <v>"C:\Program Files\VideoLAN\VLC\vlc.exe" "http://icecast.thisisdax.com/HeartBathMP3"</v>
      </c>
      <c r="M955" t="str">
        <f>VLOOKUP(A955,logos!$A$2:$A$10004,1,FALSE)</f>
        <v>Heart (West) (Bath)</v>
      </c>
    </row>
    <row r="956" spans="1:13" hidden="1" x14ac:dyDescent="0.55000000000000004">
      <c r="A956" t="s">
        <v>2744</v>
      </c>
      <c r="B956" t="s">
        <v>1663</v>
      </c>
      <c r="C956" t="s">
        <v>640</v>
      </c>
      <c r="D956" t="s">
        <v>1657</v>
      </c>
      <c r="E956" t="s">
        <v>23</v>
      </c>
      <c r="F956" t="str">
        <f t="shared" si="14"/>
        <v>"C:\Program Files\VideoLAN\VLC\vlc.exe" "http://icecast.thisisdax.com/HeartBristolMP3"</v>
      </c>
      <c r="M956" t="str">
        <f>VLOOKUP(A956,logos!$A$2:$A$10004,1,FALSE)</f>
        <v>Heart (West) (Bristol)</v>
      </c>
    </row>
    <row r="957" spans="1:13" hidden="1" x14ac:dyDescent="0.55000000000000004">
      <c r="A957" t="s">
        <v>2745</v>
      </c>
      <c r="B957" t="s">
        <v>1663</v>
      </c>
      <c r="C957" t="s">
        <v>642</v>
      </c>
      <c r="D957" t="s">
        <v>1657</v>
      </c>
      <c r="E957" t="s">
        <v>23</v>
      </c>
      <c r="F957" t="str">
        <f t="shared" si="14"/>
        <v>"C:\Program Files\VideoLAN\VLC\vlc.exe" "http://icecast.thisisdax.com/HeartCornwallMP3"</v>
      </c>
      <c r="M957" t="str">
        <f>VLOOKUP(A957,logos!$A$2:$A$10004,1,FALSE)</f>
        <v>Heart (West) (Cornwall)</v>
      </c>
    </row>
    <row r="958" spans="1:13" hidden="1" x14ac:dyDescent="0.55000000000000004">
      <c r="A958" t="s">
        <v>2746</v>
      </c>
      <c r="B958" t="s">
        <v>1663</v>
      </c>
      <c r="C958" t="s">
        <v>644</v>
      </c>
      <c r="D958" t="s">
        <v>1657</v>
      </c>
      <c r="E958" t="s">
        <v>23</v>
      </c>
      <c r="F958" t="str">
        <f t="shared" si="14"/>
        <v>"C:\Program Files\VideoLAN\VLC\vlc.exe" "http://icecast.thisisdax.com/HeartEastDevonMP3"</v>
      </c>
      <c r="M958" t="str">
        <f>VLOOKUP(A958,logos!$A$2:$A$10004,1,FALSE)</f>
        <v>Heart (West) (Exeter &amp; East Devon)</v>
      </c>
    </row>
    <row r="959" spans="1:13" hidden="1" x14ac:dyDescent="0.55000000000000004">
      <c r="A959" t="s">
        <v>2747</v>
      </c>
      <c r="B959" t="s">
        <v>1663</v>
      </c>
      <c r="C959" t="s">
        <v>646</v>
      </c>
      <c r="D959" t="s">
        <v>1657</v>
      </c>
      <c r="E959" t="s">
        <v>23</v>
      </c>
      <c r="F959" t="str">
        <f t="shared" si="14"/>
        <v>"C:\Program Files\VideoLAN\VLC\vlc.exe" "http://icecast.thisisdax.com/HeartGloucestershireMP3"</v>
      </c>
      <c r="M959" t="str">
        <f>VLOOKUP(A959,logos!$A$2:$A$10004,1,FALSE)</f>
        <v>Heart (West) (Gloucestershire)</v>
      </c>
    </row>
    <row r="960" spans="1:13" hidden="1" x14ac:dyDescent="0.55000000000000004">
      <c r="A960" t="s">
        <v>2748</v>
      </c>
      <c r="B960" t="s">
        <v>1663</v>
      </c>
      <c r="C960" t="s">
        <v>648</v>
      </c>
      <c r="D960" t="s">
        <v>1657</v>
      </c>
      <c r="E960" t="s">
        <v>23</v>
      </c>
      <c r="F960" t="str">
        <f t="shared" si="14"/>
        <v>"C:\Program Files\VideoLAN\VLC\vlc.exe" "http://icecast.thisisdax.com/HeartNorthDevonMP3"</v>
      </c>
      <c r="M960" t="str">
        <f>VLOOKUP(A960,logos!$A$2:$A$10004,1,FALSE)</f>
        <v>Heart (West) (North Devon)</v>
      </c>
    </row>
    <row r="961" spans="1:13" hidden="1" x14ac:dyDescent="0.55000000000000004">
      <c r="A961" t="s">
        <v>2749</v>
      </c>
      <c r="B961" t="s">
        <v>1663</v>
      </c>
      <c r="C961" t="s">
        <v>650</v>
      </c>
      <c r="D961" t="s">
        <v>1657</v>
      </c>
      <c r="E961" t="s">
        <v>23</v>
      </c>
      <c r="F961" t="str">
        <f t="shared" si="14"/>
        <v>"C:\Program Files\VideoLAN\VLC\vlc.exe" "http://icecast.thisisdax.com/HeartPlymouthMP3"</v>
      </c>
      <c r="M961" t="str">
        <f>VLOOKUP(A961,logos!$A$2:$A$10004,1,FALSE)</f>
        <v>Heart (West) (Plymouth)</v>
      </c>
    </row>
    <row r="962" spans="1:13" hidden="1" x14ac:dyDescent="0.55000000000000004">
      <c r="A962" t="s">
        <v>2750</v>
      </c>
      <c r="B962" t="s">
        <v>1663</v>
      </c>
      <c r="C962" t="s">
        <v>652</v>
      </c>
      <c r="D962" t="s">
        <v>1657</v>
      </c>
      <c r="E962" t="s">
        <v>23</v>
      </c>
      <c r="F962" t="str">
        <f t="shared" si="14"/>
        <v>"C:\Program Files\VideoLAN\VLC\vlc.exe" "http://icecast.thisisdax.com/HeartSomersetMP3"</v>
      </c>
      <c r="M962" t="str">
        <f>VLOOKUP(A962,logos!$A$2:$A$10004,1,FALSE)</f>
        <v>Heart (West) (Somerset)</v>
      </c>
    </row>
    <row r="963" spans="1:13" hidden="1" x14ac:dyDescent="0.55000000000000004">
      <c r="A963" t="s">
        <v>2751</v>
      </c>
      <c r="B963" t="s">
        <v>1663</v>
      </c>
      <c r="C963" t="s">
        <v>654</v>
      </c>
      <c r="D963" t="s">
        <v>1657</v>
      </c>
      <c r="E963" t="s">
        <v>23</v>
      </c>
      <c r="F963" t="str">
        <f t="shared" ref="F963:F1026" si="15">"""C:\Program Files\VideoLAN\VLC\vlc.exe"" """&amp;C963&amp;""""</f>
        <v>"C:\Program Files\VideoLAN\VLC\vlc.exe" "http://icecast.thisisdax.com/HeartSouthHamsMP3"</v>
      </c>
      <c r="M963" t="str">
        <f>VLOOKUP(A963,logos!$A$2:$A$10004,1,FALSE)</f>
        <v>Heart (West) (South Hams)</v>
      </c>
    </row>
    <row r="964" spans="1:13" hidden="1" x14ac:dyDescent="0.55000000000000004">
      <c r="A964" t="s">
        <v>2752</v>
      </c>
      <c r="B964" t="s">
        <v>1663</v>
      </c>
      <c r="C964" t="s">
        <v>656</v>
      </c>
      <c r="D964" t="s">
        <v>1657</v>
      </c>
      <c r="E964" t="s">
        <v>23</v>
      </c>
      <c r="F964" t="str">
        <f t="shared" si="15"/>
        <v>"C:\Program Files\VideoLAN\VLC\vlc.exe" "http://icecast.thisisdax.com/HeartTorbayMP3"</v>
      </c>
      <c r="M964" t="str">
        <f>VLOOKUP(A964,logos!$A$2:$A$10004,1,FALSE)</f>
        <v>Heart (West) (Torbay)</v>
      </c>
    </row>
    <row r="965" spans="1:13" hidden="1" x14ac:dyDescent="0.55000000000000004">
      <c r="A965" t="s">
        <v>2753</v>
      </c>
      <c r="B965" t="s">
        <v>1663</v>
      </c>
      <c r="C965" t="s">
        <v>658</v>
      </c>
      <c r="D965" t="s">
        <v>1657</v>
      </c>
      <c r="E965" t="s">
        <v>23</v>
      </c>
      <c r="F965" t="str">
        <f t="shared" si="15"/>
        <v>"C:\Program Files\VideoLAN\VLC\vlc.exe" "http://icecast.thisisdax.com/HeartWiltshireMP3"</v>
      </c>
      <c r="M965" t="str">
        <f>VLOOKUP(A965,logos!$A$2:$A$10004,1,FALSE)</f>
        <v>Heart (West) (Wiltshire)</v>
      </c>
    </row>
    <row r="966" spans="1:13" hidden="1" x14ac:dyDescent="0.55000000000000004">
      <c r="A966" t="s">
        <v>2755</v>
      </c>
      <c r="B966" t="s">
        <v>1663</v>
      </c>
      <c r="C966" t="s">
        <v>662</v>
      </c>
      <c r="D966" t="s">
        <v>1657</v>
      </c>
      <c r="E966" t="s">
        <v>23</v>
      </c>
      <c r="F966" t="str">
        <f t="shared" si="15"/>
        <v>"C:\Program Files\VideoLAN\VLC\vlc.exe" "http://icecast.thisisdax.com/HeartYorkshireMP3"</v>
      </c>
      <c r="M966" t="str">
        <f>VLOOKUP(A966,logos!$A$2:$A$10004,1,FALSE)</f>
        <v>Heart (Yorkshire)</v>
      </c>
    </row>
    <row r="967" spans="1:13" hidden="1" x14ac:dyDescent="0.55000000000000004">
      <c r="A967" t="s">
        <v>671</v>
      </c>
      <c r="B967" t="s">
        <v>1663</v>
      </c>
      <c r="C967" t="s">
        <v>670</v>
      </c>
      <c r="D967" t="s">
        <v>1657</v>
      </c>
      <c r="E967" t="s">
        <v>23</v>
      </c>
      <c r="F967" t="str">
        <f t="shared" si="15"/>
        <v>"C:\Program Files\VideoLAN\VLC\vlc.exe" "http://icecast.thisisdax.com/Heart00sMP3"</v>
      </c>
      <c r="M967" t="str">
        <f>VLOOKUP(A967,logos!$A$2:$A$10004,1,FALSE)</f>
        <v>Heart 00s</v>
      </c>
    </row>
    <row r="968" spans="1:13" hidden="1" x14ac:dyDescent="0.55000000000000004">
      <c r="A968" t="s">
        <v>665</v>
      </c>
      <c r="B968" t="s">
        <v>1663</v>
      </c>
      <c r="C968" t="s">
        <v>664</v>
      </c>
      <c r="D968" t="s">
        <v>1657</v>
      </c>
      <c r="E968" t="s">
        <v>23</v>
      </c>
      <c r="F968" t="str">
        <f t="shared" si="15"/>
        <v>"C:\Program Files\VideoLAN\VLC\vlc.exe" "http://icecast.thisisdax.com/Heart70sMP3"</v>
      </c>
      <c r="M968" t="str">
        <f>VLOOKUP(A968,logos!$A$2:$A$10004,1,FALSE)</f>
        <v>Heart 70s</v>
      </c>
    </row>
    <row r="969" spans="1:13" hidden="1" x14ac:dyDescent="0.55000000000000004">
      <c r="A969" t="s">
        <v>667</v>
      </c>
      <c r="B969" t="s">
        <v>1663</v>
      </c>
      <c r="C969" t="s">
        <v>666</v>
      </c>
      <c r="D969" t="s">
        <v>1657</v>
      </c>
      <c r="E969" t="s">
        <v>23</v>
      </c>
      <c r="F969" t="str">
        <f t="shared" si="15"/>
        <v>"C:\Program Files\VideoLAN\VLC\vlc.exe" "http://icecast.thisisdax.com/Heart80sMP3"</v>
      </c>
      <c r="M969" t="str">
        <f>VLOOKUP(A969,logos!$A$2:$A$10004,1,FALSE)</f>
        <v>Heart 80s</v>
      </c>
    </row>
    <row r="970" spans="1:13" hidden="1" x14ac:dyDescent="0.55000000000000004">
      <c r="A970" t="s">
        <v>669</v>
      </c>
      <c r="B970" t="s">
        <v>1663</v>
      </c>
      <c r="C970" t="s">
        <v>668</v>
      </c>
      <c r="D970" t="s">
        <v>1657</v>
      </c>
      <c r="E970" t="s">
        <v>23</v>
      </c>
      <c r="F970" t="str">
        <f t="shared" si="15"/>
        <v>"C:\Program Files\VideoLAN\VLC\vlc.exe" "http://icecast.thisisdax.com/Heart90sMP3"</v>
      </c>
      <c r="M970" t="str">
        <f>VLOOKUP(A970,logos!$A$2:$A$10004,1,FALSE)</f>
        <v>Heart 90s</v>
      </c>
    </row>
    <row r="971" spans="1:13" hidden="1" x14ac:dyDescent="0.55000000000000004">
      <c r="A971" t="s">
        <v>673</v>
      </c>
      <c r="B971" t="s">
        <v>1663</v>
      </c>
      <c r="C971" t="s">
        <v>672</v>
      </c>
      <c r="D971" t="s">
        <v>1657</v>
      </c>
      <c r="E971" t="s">
        <v>23</v>
      </c>
      <c r="F971" t="str">
        <f t="shared" si="15"/>
        <v>"C:\Program Files\VideoLAN\VLC\vlc.exe" "http://icecast.thisisdax.com/HeartDanceMP3"</v>
      </c>
      <c r="M971" t="str">
        <f>VLOOKUP(A971,logos!$A$2:$A$10004,1,FALSE)</f>
        <v>Heart Dance</v>
      </c>
    </row>
    <row r="972" spans="1:13" hidden="1" x14ac:dyDescent="0.55000000000000004">
      <c r="A972" t="s">
        <v>675</v>
      </c>
      <c r="B972" t="s">
        <v>1663</v>
      </c>
      <c r="C972" t="s">
        <v>674</v>
      </c>
      <c r="D972" t="s">
        <v>1657</v>
      </c>
      <c r="E972" t="s">
        <v>23</v>
      </c>
      <c r="F972" t="str">
        <f t="shared" si="15"/>
        <v>"C:\Program Files\VideoLAN\VLC\vlc.exe" "http://icecast.thisisdax.com/HeartXmasMP3"</v>
      </c>
      <c r="M972" t="str">
        <f>VLOOKUP(A972,logos!$A$2:$A$10004,1,FALSE)</f>
        <v>Heart Xmas</v>
      </c>
    </row>
    <row r="973" spans="1:13" hidden="1" x14ac:dyDescent="0.55000000000000004">
      <c r="A973" t="s">
        <v>677</v>
      </c>
      <c r="B973" t="s">
        <v>1663</v>
      </c>
      <c r="C973" t="s">
        <v>676</v>
      </c>
      <c r="D973" t="s">
        <v>1657</v>
      </c>
      <c r="E973" t="s">
        <v>23</v>
      </c>
      <c r="F973" t="str">
        <f t="shared" si="15"/>
        <v>"C:\Program Files\VideoLAN\VLC\vlc.exe" "http://streaming.broadcastradio.com:8610/heartland"</v>
      </c>
      <c r="M973" t="e">
        <f>VLOOKUP(A973,logos!$A$2:$A$10004,1,FALSE)</f>
        <v>#N/A</v>
      </c>
    </row>
    <row r="974" spans="1:13" hidden="1" x14ac:dyDescent="0.55000000000000004">
      <c r="A974" t="s">
        <v>679</v>
      </c>
      <c r="B974" t="s">
        <v>1663</v>
      </c>
      <c r="C974" t="s">
        <v>678</v>
      </c>
      <c r="D974" t="s">
        <v>1657</v>
      </c>
      <c r="E974" t="s">
        <v>23</v>
      </c>
      <c r="F974" t="str">
        <f t="shared" si="15"/>
        <v>"C:\Program Files\VideoLAN\VLC\vlc.exe" "http://streamer.radio.co:80/sa0f1967d5/listen"</v>
      </c>
      <c r="M974" t="e">
        <f>VLOOKUP(A974,logos!$A$2:$A$10004,1,FALSE)</f>
        <v>#N/A</v>
      </c>
    </row>
    <row r="975" spans="1:13" hidden="1" x14ac:dyDescent="0.55000000000000004">
      <c r="A975" t="s">
        <v>683</v>
      </c>
      <c r="B975" t="s">
        <v>1663</v>
      </c>
      <c r="C975" t="s">
        <v>682</v>
      </c>
      <c r="D975" t="s">
        <v>1657</v>
      </c>
      <c r="E975" t="s">
        <v>23</v>
      </c>
      <c r="F975" t="str">
        <f t="shared" si="15"/>
        <v>"C:\Program Files\VideoLAN\VLC\vlc.exe" "http://149.255.59.3:8158/stream"</v>
      </c>
      <c r="M975" t="e">
        <f>VLOOKUP(A975,logos!$A$2:$A$10004,1,FALSE)</f>
        <v>#N/A</v>
      </c>
    </row>
    <row r="976" spans="1:13" hidden="1" x14ac:dyDescent="0.55000000000000004">
      <c r="A976" t="s">
        <v>702</v>
      </c>
      <c r="B976" t="s">
        <v>1663</v>
      </c>
      <c r="C976" t="s">
        <v>2283</v>
      </c>
      <c r="D976" t="s">
        <v>1657</v>
      </c>
      <c r="E976" t="s">
        <v>23</v>
      </c>
      <c r="F976" t="str">
        <f t="shared" si="15"/>
        <v>"C:\Program Files\VideoLAN\VLC\vlc.exe" "http://edge-bauerall-01-gos2.sharp-stream.com/hitsradiopride.mp3?aw_0_1st.skey=1666797593&amp;aw_0_1st.playerid=BMUK_RPi"</v>
      </c>
      <c r="M976" t="str">
        <f>VLOOKUP(A976,logos!$A$2:$A$10004,1,FALSE)</f>
        <v>Hits Radio Pride</v>
      </c>
    </row>
    <row r="977" spans="1:13" hidden="1" x14ac:dyDescent="0.55000000000000004">
      <c r="A977" t="s">
        <v>2864</v>
      </c>
      <c r="B977" t="s">
        <v>1663</v>
      </c>
      <c r="C977" t="s">
        <v>705</v>
      </c>
      <c r="D977" t="s">
        <v>1657</v>
      </c>
      <c r="E977" t="s">
        <v>23</v>
      </c>
      <c r="F977" t="str">
        <f t="shared" si="15"/>
        <v>"C:\Program Files\VideoLAN\VLC\vlc.exe" "http://hotgold.tune-in.co.uk:8000/stream"</v>
      </c>
      <c r="M977" t="e">
        <f>VLOOKUP(A977,logos!$A$2:$A$10004,1,FALSE)</f>
        <v>#N/A</v>
      </c>
    </row>
    <row r="978" spans="1:13" hidden="1" x14ac:dyDescent="0.55000000000000004">
      <c r="A978" t="s">
        <v>2865</v>
      </c>
      <c r="B978" t="s">
        <v>1663</v>
      </c>
      <c r="C978" t="s">
        <v>707</v>
      </c>
      <c r="D978" t="s">
        <v>1657</v>
      </c>
      <c r="E978" t="s">
        <v>23</v>
      </c>
      <c r="F978" t="str">
        <f t="shared" si="15"/>
        <v>"C:\Program Files\VideoLAN\VLC\vlc.exe" "http://stream1.tune-in.co.uk:7002/stream"</v>
      </c>
      <c r="M978" t="e">
        <f>VLOOKUP(A978,logos!$A$2:$A$10004,1,FALSE)</f>
        <v>#N/A</v>
      </c>
    </row>
    <row r="979" spans="1:13" hidden="1" x14ac:dyDescent="0.55000000000000004">
      <c r="A979" t="s">
        <v>2866</v>
      </c>
      <c r="B979" t="s">
        <v>1663</v>
      </c>
      <c r="C979" t="s">
        <v>709</v>
      </c>
      <c r="D979" t="s">
        <v>1657</v>
      </c>
      <c r="E979" t="s">
        <v>23</v>
      </c>
      <c r="F979" t="str">
        <f t="shared" si="15"/>
        <v>"C:\Program Files\VideoLAN\VLC\vlc.exe" "http://hot-wilts.tune-in.co.uk:8000/stream"</v>
      </c>
      <c r="M979" t="e">
        <f>VLOOKUP(A979,logos!$A$2:$A$10004,1,FALSE)</f>
        <v>#N/A</v>
      </c>
    </row>
    <row r="980" spans="1:13" hidden="1" x14ac:dyDescent="0.55000000000000004">
      <c r="A980" t="s">
        <v>712</v>
      </c>
      <c r="B980" t="s">
        <v>1663</v>
      </c>
      <c r="C980" t="s">
        <v>711</v>
      </c>
      <c r="D980" t="s">
        <v>1657</v>
      </c>
      <c r="E980" t="s">
        <v>23</v>
      </c>
      <c r="F980" t="str">
        <f t="shared" si="15"/>
        <v>"C:\Program Files\VideoLAN\VLC\vlc.exe" "http://listen.housepartyradio.net/stream_mp3?type=.mp3&amp;csl=3&amp;lrl=false&amp;sh=true&amp;ssr=false&amp;sfr=true&amp;slc=true&amp;spl=m3u&amp;from=radiofeeds"</v>
      </c>
      <c r="M980" t="e">
        <f>VLOOKUP(A980,logos!$A$2:$A$10004,1,FALSE)</f>
        <v>#N/A</v>
      </c>
    </row>
    <row r="981" spans="1:13" hidden="1" x14ac:dyDescent="0.55000000000000004">
      <c r="A981" t="s">
        <v>714</v>
      </c>
      <c r="B981" t="s">
        <v>1663</v>
      </c>
      <c r="C981" t="s">
        <v>713</v>
      </c>
      <c r="D981" t="s">
        <v>1657</v>
      </c>
      <c r="E981" t="s">
        <v>23</v>
      </c>
      <c r="F981" t="str">
        <f t="shared" si="15"/>
        <v>"C:\Program Files\VideoLAN\VLC\vlc.exe" "http://curtis.hubradio.co.uk:8080/hub-hq.mp3"</v>
      </c>
      <c r="M981" t="str">
        <f>VLOOKUP(A981,logos!$A$2:$A$10004,1,FALSE)</f>
        <v>Hub Radio</v>
      </c>
    </row>
    <row r="982" spans="1:13" hidden="1" x14ac:dyDescent="0.55000000000000004">
      <c r="A982" t="s">
        <v>716</v>
      </c>
      <c r="B982" t="s">
        <v>1663</v>
      </c>
      <c r="C982" t="s">
        <v>715</v>
      </c>
      <c r="D982" t="s">
        <v>1657</v>
      </c>
      <c r="E982" t="s">
        <v>23</v>
      </c>
      <c r="F982" t="str">
        <f t="shared" si="15"/>
        <v>"C:\Program Files\VideoLAN\VLC\vlc.exe" "http://idr-nlb-400b0b217a490f14.elb.eu-west-1.amazonaws.com:8001/in_demand_radio"</v>
      </c>
      <c r="M982" t="e">
        <f>VLOOKUP(A982,logos!$A$2:$A$10004,1,FALSE)</f>
        <v>#N/A</v>
      </c>
    </row>
    <row r="983" spans="1:13" hidden="1" x14ac:dyDescent="0.55000000000000004">
      <c r="A983" t="s">
        <v>718</v>
      </c>
      <c r="B983" t="s">
        <v>1663</v>
      </c>
      <c r="C983" t="s">
        <v>2284</v>
      </c>
      <c r="D983" t="s">
        <v>1657</v>
      </c>
      <c r="E983" t="s">
        <v>23</v>
      </c>
      <c r="F983" t="str">
        <f t="shared" si="15"/>
        <v>"C:\Program Files\VideoLAN\VLC\vlc.exe" "http://n10a-eu.rcs.revma.com:80/epatpyebanzuv"</v>
      </c>
      <c r="M983" t="str">
        <f>VLOOKUP(A983,logos!$A$2:$A$10004,1,FALSE)</f>
        <v>Island FM</v>
      </c>
    </row>
    <row r="984" spans="1:13" hidden="1" x14ac:dyDescent="0.55000000000000004">
      <c r="A984" t="s">
        <v>720</v>
      </c>
      <c r="B984" t="s">
        <v>1663</v>
      </c>
      <c r="C984" t="s">
        <v>719</v>
      </c>
      <c r="D984" t="s">
        <v>1657</v>
      </c>
      <c r="E984" t="s">
        <v>23</v>
      </c>
      <c r="F984" t="str">
        <f t="shared" si="15"/>
        <v>"C:\Program Files\VideoLAN\VLC\vlc.exe" "http://s2.xrad.io:8198/stream"</v>
      </c>
      <c r="M984" t="e">
        <f>VLOOKUP(A984,logos!$A$2:$A$10004,1,FALSE)</f>
        <v>#N/A</v>
      </c>
    </row>
    <row r="985" spans="1:13" hidden="1" x14ac:dyDescent="0.55000000000000004">
      <c r="A985" t="s">
        <v>722</v>
      </c>
      <c r="B985" t="s">
        <v>1663</v>
      </c>
      <c r="C985" t="s">
        <v>721</v>
      </c>
      <c r="D985" t="s">
        <v>1657</v>
      </c>
      <c r="E985" t="s">
        <v>23</v>
      </c>
      <c r="F985" t="str">
        <f t="shared" si="15"/>
        <v>"C:\Program Files\VideoLAN\VLC\vlc.exe" "http://www.hebrides.tv:8000/islesfm"</v>
      </c>
      <c r="M985" t="e">
        <f>VLOOKUP(A985,logos!$A$2:$A$10004,1,FALSE)</f>
        <v>#N/A</v>
      </c>
    </row>
    <row r="986" spans="1:13" hidden="1" x14ac:dyDescent="0.55000000000000004">
      <c r="A986" t="s">
        <v>728</v>
      </c>
      <c r="B986" t="s">
        <v>1663</v>
      </c>
      <c r="C986" t="s">
        <v>727</v>
      </c>
      <c r="D986" t="s">
        <v>1657</v>
      </c>
      <c r="E986" t="s">
        <v>23</v>
      </c>
      <c r="F986" t="str">
        <f t="shared" si="15"/>
        <v>"C:\Program Files\VideoLAN\VLC\vlc.exe" "http://listen-jackmedia.sharp-stream.com/390_jack_2_128_mp3?ref=RF"</v>
      </c>
      <c r="M986" t="e">
        <f>VLOOKUP(A986,logos!$A$2:$A$10004,1,FALSE)</f>
        <v>#N/A</v>
      </c>
    </row>
    <row r="987" spans="1:13" hidden="1" x14ac:dyDescent="0.55000000000000004">
      <c r="A987" t="s">
        <v>731</v>
      </c>
      <c r="B987" t="s">
        <v>1663</v>
      </c>
      <c r="C987" t="s">
        <v>730</v>
      </c>
      <c r="D987" t="s">
        <v>1657</v>
      </c>
      <c r="E987" t="s">
        <v>23</v>
      </c>
      <c r="F987" t="str">
        <f t="shared" si="15"/>
        <v>"C:\Program Files\VideoLAN\VLC\vlc.exe" "http://listen-jackmedia.sharp-stream.com/390_jack_3_128_mp3?ref=RF"</v>
      </c>
      <c r="M987" t="e">
        <f>VLOOKUP(A987,logos!$A$2:$A$10004,1,FALSE)</f>
        <v>#N/A</v>
      </c>
    </row>
    <row r="988" spans="1:13" hidden="1" x14ac:dyDescent="0.55000000000000004">
      <c r="A988" t="s">
        <v>724</v>
      </c>
      <c r="B988" t="s">
        <v>1663</v>
      </c>
      <c r="C988" t="s">
        <v>723</v>
      </c>
      <c r="D988" t="s">
        <v>1657</v>
      </c>
      <c r="E988" t="s">
        <v>23</v>
      </c>
      <c r="F988" t="str">
        <f t="shared" si="15"/>
        <v>"C:\Program Files\VideoLAN\VLC\vlc.exe" "http://listen-jackmedia.sharp-stream.com/390_jack_fm_128_mp3?ref=RF"</v>
      </c>
      <c r="M988" t="e">
        <f>VLOOKUP(A988,logos!$A$2:$A$10004,1,FALSE)</f>
        <v>#N/A</v>
      </c>
    </row>
    <row r="989" spans="1:13" hidden="1" x14ac:dyDescent="0.55000000000000004">
      <c r="A989" t="s">
        <v>734</v>
      </c>
      <c r="B989" t="s">
        <v>1663</v>
      </c>
      <c r="C989" t="s">
        <v>733</v>
      </c>
      <c r="D989" t="s">
        <v>1657</v>
      </c>
      <c r="E989" t="s">
        <v>23</v>
      </c>
      <c r="F989" t="str">
        <f t="shared" si="15"/>
        <v>"C:\Program Files\VideoLAN\VLC\vlc.exe" "http://radio.canstream.co.uk:8129/live.mp3"</v>
      </c>
      <c r="M989" t="e">
        <f>VLOOKUP(A989,logos!$A$2:$A$10004,1,FALSE)</f>
        <v>#N/A</v>
      </c>
    </row>
    <row r="990" spans="1:13" hidden="1" x14ac:dyDescent="0.55000000000000004">
      <c r="A990" t="s">
        <v>2867</v>
      </c>
      <c r="B990" t="s">
        <v>1663</v>
      </c>
      <c r="C990" t="s">
        <v>737</v>
      </c>
      <c r="D990" t="s">
        <v>1657</v>
      </c>
      <c r="E990" t="s">
        <v>23</v>
      </c>
      <c r="F990" t="str">
        <f t="shared" si="15"/>
        <v>"C:\Program Files\VideoLAN\VLC\vlc.exe" "http://uksouth.streaming.broadcast.radio:16020/jeodabstream"</v>
      </c>
      <c r="M990" t="e">
        <f>VLOOKUP(A990,logos!$A$2:$A$10004,1,FALSE)</f>
        <v>#N/A</v>
      </c>
    </row>
    <row r="991" spans="1:13" hidden="1" x14ac:dyDescent="0.55000000000000004">
      <c r="A991" t="s">
        <v>742</v>
      </c>
      <c r="B991" t="s">
        <v>1663</v>
      </c>
      <c r="C991" t="s">
        <v>741</v>
      </c>
      <c r="D991" t="s">
        <v>1657</v>
      </c>
      <c r="E991" t="s">
        <v>23</v>
      </c>
      <c r="F991" t="str">
        <f t="shared" si="15"/>
        <v>"C:\Program Files\VideoLAN\VLC\vlc.exe" "http://listen-kingdomfm.sharp-stream.com/kingdomfm.mp3?ref=RF"</v>
      </c>
      <c r="M991" t="str">
        <f>VLOOKUP(A991,logos!$A$2:$A$10004,1,FALSE)</f>
        <v>Kingdom FM</v>
      </c>
    </row>
    <row r="992" spans="1:13" hidden="1" x14ac:dyDescent="0.55000000000000004">
      <c r="A992" t="s">
        <v>2868</v>
      </c>
      <c r="B992" t="s">
        <v>1663</v>
      </c>
      <c r="C992" t="s">
        <v>752</v>
      </c>
      <c r="D992" t="s">
        <v>1657</v>
      </c>
      <c r="E992" t="s">
        <v>23</v>
      </c>
      <c r="F992" t="str">
        <f t="shared" si="15"/>
        <v>"C:\Program Files\VideoLAN\VLC\vlc.exe" "http://listen-kmfm.sharp-stream.com/kmfmashford.mp3?ref=RF"</v>
      </c>
      <c r="M992" t="e">
        <f>VLOOKUP(A992,logos!$A$2:$A$10004,1,FALSE)</f>
        <v>#N/A</v>
      </c>
    </row>
    <row r="993" spans="1:13" hidden="1" x14ac:dyDescent="0.55000000000000004">
      <c r="A993" t="s">
        <v>2869</v>
      </c>
      <c r="B993" t="s">
        <v>1663</v>
      </c>
      <c r="C993" t="s">
        <v>754</v>
      </c>
      <c r="D993" t="s">
        <v>1657</v>
      </c>
      <c r="E993" t="s">
        <v>23</v>
      </c>
      <c r="F993" t="str">
        <f t="shared" si="15"/>
        <v>"C:\Program Files\VideoLAN\VLC\vlc.exe" "http://listen-kmfm.sharp-stream.com/kmfmcanterbury.mp3?ref=RF"</v>
      </c>
      <c r="M993" t="e">
        <f>VLOOKUP(A993,logos!$A$2:$A$10004,1,FALSE)</f>
        <v>#N/A</v>
      </c>
    </row>
    <row r="994" spans="1:13" hidden="1" x14ac:dyDescent="0.55000000000000004">
      <c r="A994" t="s">
        <v>2870</v>
      </c>
      <c r="B994" t="s">
        <v>1663</v>
      </c>
      <c r="C994" t="s">
        <v>756</v>
      </c>
      <c r="D994" t="s">
        <v>1657</v>
      </c>
      <c r="E994" t="s">
        <v>23</v>
      </c>
      <c r="F994" t="str">
        <f t="shared" si="15"/>
        <v>"C:\Program Files\VideoLAN\VLC\vlc.exe" "http://listen-kmfm.sharp-stream.com/kmfmmaidstone.mp3?ref=RF"</v>
      </c>
      <c r="M994" t="e">
        <f>VLOOKUP(A994,logos!$A$2:$A$10004,1,FALSE)</f>
        <v>#N/A</v>
      </c>
    </row>
    <row r="995" spans="1:13" hidden="1" x14ac:dyDescent="0.55000000000000004">
      <c r="A995" t="s">
        <v>2871</v>
      </c>
      <c r="B995" t="s">
        <v>1663</v>
      </c>
      <c r="C995" t="s">
        <v>758</v>
      </c>
      <c r="D995" t="s">
        <v>1657</v>
      </c>
      <c r="E995" t="s">
        <v>23</v>
      </c>
      <c r="F995" t="str">
        <f t="shared" si="15"/>
        <v>"C:\Program Files\VideoLAN\VLC\vlc.exe" "http://listen-kmfm.sharp-stream.com/kmfmmedway.mp3?ref=RF"</v>
      </c>
      <c r="M995" t="e">
        <f>VLOOKUP(A995,logos!$A$2:$A$10004,1,FALSE)</f>
        <v>#N/A</v>
      </c>
    </row>
    <row r="996" spans="1:13" hidden="1" x14ac:dyDescent="0.55000000000000004">
      <c r="A996" t="s">
        <v>2872</v>
      </c>
      <c r="B996" t="s">
        <v>1663</v>
      </c>
      <c r="C996" t="s">
        <v>760</v>
      </c>
      <c r="D996" t="s">
        <v>1657</v>
      </c>
      <c r="E996" t="s">
        <v>23</v>
      </c>
      <c r="F996" t="str">
        <f t="shared" si="15"/>
        <v>"C:\Program Files\VideoLAN\VLC\vlc.exe" "http://listen-kmfm.sharp-stream.com/kmfmdoverfolkestone.mp3?ref=RF"</v>
      </c>
      <c r="M996" t="e">
        <f>VLOOKUP(A996,logos!$A$2:$A$10004,1,FALSE)</f>
        <v>#N/A</v>
      </c>
    </row>
    <row r="997" spans="1:13" hidden="1" x14ac:dyDescent="0.55000000000000004">
      <c r="A997" t="s">
        <v>2873</v>
      </c>
      <c r="B997" t="s">
        <v>1663</v>
      </c>
      <c r="C997" t="s">
        <v>762</v>
      </c>
      <c r="D997" t="s">
        <v>1657</v>
      </c>
      <c r="E997" t="s">
        <v>23</v>
      </c>
      <c r="F997" t="str">
        <f t="shared" si="15"/>
        <v>"C:\Program Files\VideoLAN\VLC\vlc.exe" "http://listen-kmfm.sharp-stream.com/kmfmthanet.mp3?ref=RF"</v>
      </c>
      <c r="M997" t="e">
        <f>VLOOKUP(A997,logos!$A$2:$A$10004,1,FALSE)</f>
        <v>#N/A</v>
      </c>
    </row>
    <row r="998" spans="1:13" hidden="1" x14ac:dyDescent="0.55000000000000004">
      <c r="A998" t="s">
        <v>2874</v>
      </c>
      <c r="B998" t="s">
        <v>1663</v>
      </c>
      <c r="C998" t="s">
        <v>764</v>
      </c>
      <c r="D998" t="s">
        <v>1657</v>
      </c>
      <c r="E998" t="s">
        <v>23</v>
      </c>
      <c r="F998" t="str">
        <f t="shared" si="15"/>
        <v>"C:\Program Files\VideoLAN\VLC\vlc.exe" "http://listen-kmfm.sharp-stream.com/kmfmwestkent.mp3?ref=RF"</v>
      </c>
      <c r="M998" t="e">
        <f>VLOOKUP(A998,logos!$A$2:$A$10004,1,FALSE)</f>
        <v>#N/A</v>
      </c>
    </row>
    <row r="999" spans="1:13" hidden="1" x14ac:dyDescent="0.55000000000000004">
      <c r="A999" t="s">
        <v>2767</v>
      </c>
      <c r="B999" t="s">
        <v>1663</v>
      </c>
      <c r="C999" t="s">
        <v>773</v>
      </c>
      <c r="D999" t="s">
        <v>1657</v>
      </c>
      <c r="E999" t="s">
        <v>23</v>
      </c>
      <c r="F999" t="str">
        <f t="shared" si="15"/>
        <v>"C:\Program Files\VideoLAN\VLC\vlc.exe" "http://icecast.thisisdax.com/LBCNewsUKMP3"</v>
      </c>
      <c r="M999" t="str">
        <f>VLOOKUP(A999,logos!$A$2:$A$10004,1,FALSE)</f>
        <v>LBC News (UK)</v>
      </c>
    </row>
    <row r="1000" spans="1:13" hidden="1" x14ac:dyDescent="0.55000000000000004">
      <c r="A1000" t="s">
        <v>2875</v>
      </c>
      <c r="B1000" t="s">
        <v>1663</v>
      </c>
      <c r="C1000" t="s">
        <v>775</v>
      </c>
      <c r="D1000" t="s">
        <v>1657</v>
      </c>
      <c r="E1000" t="s">
        <v>23</v>
      </c>
      <c r="F1000" t="str">
        <f t="shared" si="15"/>
        <v>"C:\Program Files\VideoLAN\VLC\vlc.exe" "http://live3.istoikona.net:8203/stream"</v>
      </c>
      <c r="M1000" t="e">
        <f>VLOOKUP(A1000,logos!$A$2:$A$10004,1,FALSE)</f>
        <v>#N/A</v>
      </c>
    </row>
    <row r="1001" spans="1:13" hidden="1" x14ac:dyDescent="0.55000000000000004">
      <c r="A1001" t="s">
        <v>2769</v>
      </c>
      <c r="B1001" t="s">
        <v>1663</v>
      </c>
      <c r="C1001" t="s">
        <v>780</v>
      </c>
      <c r="D1001" t="s">
        <v>1657</v>
      </c>
      <c r="E1001" t="s">
        <v>23</v>
      </c>
      <c r="F1001" t="str">
        <f t="shared" si="15"/>
        <v>"C:\Program Files\VideoLAN\VLC\vlc.exe" "http://likeradiostream.com:8080/likeoneuk?ref=RF"</v>
      </c>
      <c r="M1001" t="e">
        <f>VLOOKUP(A1001,logos!$A$2:$A$10004,1,FALSE)</f>
        <v>#N/A</v>
      </c>
    </row>
    <row r="1002" spans="1:13" hidden="1" x14ac:dyDescent="0.55000000000000004">
      <c r="A1002" t="s">
        <v>2770</v>
      </c>
      <c r="B1002" t="s">
        <v>1663</v>
      </c>
      <c r="C1002" t="s">
        <v>782</v>
      </c>
      <c r="D1002" t="s">
        <v>1657</v>
      </c>
      <c r="E1002" t="s">
        <v>23</v>
      </c>
      <c r="F1002" t="str">
        <f t="shared" si="15"/>
        <v>"C:\Program Files\VideoLAN\VLC\vlc.exe" "http://likeradiostream.com:8080/likepop?ref=RF"</v>
      </c>
      <c r="M1002" t="e">
        <f>VLOOKUP(A1002,logos!$A$2:$A$10004,1,FALSE)</f>
        <v>#N/A</v>
      </c>
    </row>
    <row r="1003" spans="1:13" hidden="1" x14ac:dyDescent="0.55000000000000004">
      <c r="A1003" t="s">
        <v>785</v>
      </c>
      <c r="B1003" t="s">
        <v>1663</v>
      </c>
      <c r="C1003" t="s">
        <v>784</v>
      </c>
      <c r="D1003" t="s">
        <v>1657</v>
      </c>
      <c r="E1003" t="s">
        <v>23</v>
      </c>
      <c r="F1003" t="str">
        <f t="shared" si="15"/>
        <v>"C:\Program Files\VideoLAN\VLC\vlc.exe" "http://likeradiostream.com:8080/likeretro?ref=RF"</v>
      </c>
      <c r="M1003" t="e">
        <f>VLOOKUP(A1003,logos!$A$2:$A$10004,1,FALSE)</f>
        <v>#N/A</v>
      </c>
    </row>
    <row r="1004" spans="1:13" hidden="1" x14ac:dyDescent="0.55000000000000004">
      <c r="A1004" t="s">
        <v>789</v>
      </c>
      <c r="B1004" t="s">
        <v>1663</v>
      </c>
      <c r="C1004" t="s">
        <v>788</v>
      </c>
      <c r="D1004" t="s">
        <v>1657</v>
      </c>
      <c r="E1004" t="s">
        <v>23</v>
      </c>
      <c r="F1004" t="str">
        <f t="shared" si="15"/>
        <v>"C:\Program Files\VideoLAN\VLC\vlc.exe" "http://ais-sa2.cdnstream1.com/2382_128.mp3?ref=RF"</v>
      </c>
      <c r="M1004" t="e">
        <f>VLOOKUP(A1004,logos!$A$2:$A$10004,1,FALSE)</f>
        <v>#N/A</v>
      </c>
    </row>
    <row r="1005" spans="1:13" hidden="1" x14ac:dyDescent="0.55000000000000004">
      <c r="A1005" t="s">
        <v>791</v>
      </c>
      <c r="B1005" t="s">
        <v>1663</v>
      </c>
      <c r="C1005" t="s">
        <v>790</v>
      </c>
      <c r="D1005" t="s">
        <v>1657</v>
      </c>
      <c r="E1005" t="s">
        <v>23</v>
      </c>
      <c r="F1005" t="str">
        <f t="shared" si="15"/>
        <v>"C:\Program Files\VideoLAN\VLC\vlc.exe" "http://playoutonestreaming.com:8048/stream"</v>
      </c>
      <c r="M1005" t="e">
        <f>VLOOKUP(A1005,logos!$A$2:$A$10004,1,FALSE)</f>
        <v>#N/A</v>
      </c>
    </row>
    <row r="1006" spans="1:13" hidden="1" x14ac:dyDescent="0.55000000000000004">
      <c r="A1006" t="s">
        <v>793</v>
      </c>
      <c r="B1006" t="s">
        <v>1663</v>
      </c>
      <c r="C1006" t="s">
        <v>792</v>
      </c>
      <c r="D1006" t="s">
        <v>1657</v>
      </c>
      <c r="E1006" t="s">
        <v>23</v>
      </c>
      <c r="F1006" t="str">
        <f t="shared" si="15"/>
        <v>"C:\Program Files\VideoLAN\VLC\vlc.exe" "http://playoutonestreaming.com:8086/stream"</v>
      </c>
      <c r="M1006" t="e">
        <f>VLOOKUP(A1006,logos!$A$2:$A$10004,1,FALSE)</f>
        <v>#N/A</v>
      </c>
    </row>
    <row r="1007" spans="1:13" hidden="1" x14ac:dyDescent="0.55000000000000004">
      <c r="A1007" t="s">
        <v>795</v>
      </c>
      <c r="B1007" t="s">
        <v>1663</v>
      </c>
      <c r="C1007" t="s">
        <v>794</v>
      </c>
      <c r="D1007" t="s">
        <v>1657</v>
      </c>
      <c r="E1007" t="s">
        <v>23</v>
      </c>
      <c r="F1007" t="str">
        <f t="shared" si="15"/>
        <v>"C:\Program Files\VideoLAN\VLC\vlc.exe" "http://london.meway.host/live?ref=RF"</v>
      </c>
      <c r="M1007" t="e">
        <f>VLOOKUP(A1007,logos!$A$2:$A$10004,1,FALSE)</f>
        <v>#N/A</v>
      </c>
    </row>
    <row r="1008" spans="1:13" hidden="1" x14ac:dyDescent="0.55000000000000004">
      <c r="A1008" t="s">
        <v>2771</v>
      </c>
      <c r="B1008" t="s">
        <v>1663</v>
      </c>
      <c r="C1008" t="s">
        <v>796</v>
      </c>
      <c r="D1008" t="s">
        <v>1657</v>
      </c>
      <c r="E1008" t="s">
        <v>23</v>
      </c>
      <c r="F1008" t="str">
        <f t="shared" si="15"/>
        <v>"C:\Program Files\VideoLAN\VLC\vlc.exe" "http://playoutonestreaming.com:8062/mp3"</v>
      </c>
      <c r="M1008" t="e">
        <f>VLOOKUP(A1008,logos!$A$2:$A$10004,1,FALSE)</f>
        <v>#N/A</v>
      </c>
    </row>
    <row r="1009" spans="1:13" hidden="1" x14ac:dyDescent="0.55000000000000004">
      <c r="A1009" t="s">
        <v>2772</v>
      </c>
      <c r="B1009" t="s">
        <v>1663</v>
      </c>
      <c r="C1009" t="s">
        <v>798</v>
      </c>
      <c r="D1009" t="s">
        <v>1657</v>
      </c>
      <c r="E1009" t="s">
        <v>23</v>
      </c>
      <c r="F1009" t="str">
        <f t="shared" si="15"/>
        <v>"C:\Program Files\VideoLAN\VLC\vlc.exe" "http://stream1.themediasite.co.uk:8038/stream"</v>
      </c>
      <c r="M1009" t="e">
        <f>VLOOKUP(A1009,logos!$A$2:$A$10004,1,FALSE)</f>
        <v>#N/A</v>
      </c>
    </row>
    <row r="1010" spans="1:13" hidden="1" x14ac:dyDescent="0.55000000000000004">
      <c r="A1010" t="s">
        <v>803</v>
      </c>
      <c r="B1010" t="s">
        <v>1663</v>
      </c>
      <c r="C1010" t="s">
        <v>802</v>
      </c>
      <c r="D1010" t="s">
        <v>1657</v>
      </c>
      <c r="E1010" t="s">
        <v>23</v>
      </c>
      <c r="F1010" t="str">
        <f t="shared" si="15"/>
        <v>"C:\Program Files\VideoLAN\VLC\vlc.exe" "http://listen-lycaradio.sharp-stream.com/1458.mp3?ref=RF"</v>
      </c>
      <c r="M1010" t="e">
        <f>VLOOKUP(A1010,logos!$A$2:$A$10004,1,FALSE)</f>
        <v>#N/A</v>
      </c>
    </row>
    <row r="1011" spans="1:13" hidden="1" x14ac:dyDescent="0.55000000000000004">
      <c r="A1011" t="s">
        <v>815</v>
      </c>
      <c r="B1011" t="s">
        <v>1663</v>
      </c>
      <c r="C1011" t="s">
        <v>814</v>
      </c>
      <c r="D1011" t="s">
        <v>1657</v>
      </c>
      <c r="E1011" t="s">
        <v>23</v>
      </c>
      <c r="F1011" t="str">
        <f t="shared" si="15"/>
        <v>"C:\Program Files\VideoLAN\VLC\vlc.exe" "http://audiospace.stream:8000/3748"</v>
      </c>
      <c r="M1011" t="e">
        <f>VLOOKUP(A1011,logos!$A$2:$A$10004,1,FALSE)</f>
        <v>#N/A</v>
      </c>
    </row>
    <row r="1012" spans="1:13" hidden="1" x14ac:dyDescent="0.55000000000000004">
      <c r="A1012" t="s">
        <v>2775</v>
      </c>
      <c r="B1012" t="s">
        <v>1663</v>
      </c>
      <c r="C1012" t="s">
        <v>816</v>
      </c>
      <c r="D1012" t="s">
        <v>1657</v>
      </c>
      <c r="E1012" t="s">
        <v>23</v>
      </c>
      <c r="F1012" t="str">
        <f t="shared" si="15"/>
        <v>"C:\Program Files\VideoLAN\VLC\vlc.exe" "http://listen-manxradio.sharp-stream.com/manxradioam.mp3?ref=RF"</v>
      </c>
      <c r="M1012" t="e">
        <f>VLOOKUP(A1012,logos!$A$2:$A$10004,1,FALSE)</f>
        <v>#N/A</v>
      </c>
    </row>
    <row r="1013" spans="1:13" hidden="1" x14ac:dyDescent="0.55000000000000004">
      <c r="A1013" t="s">
        <v>2776</v>
      </c>
      <c r="B1013" t="s">
        <v>1663</v>
      </c>
      <c r="C1013" t="s">
        <v>818</v>
      </c>
      <c r="D1013" t="s">
        <v>1657</v>
      </c>
      <c r="E1013" t="s">
        <v>23</v>
      </c>
      <c r="F1013" t="str">
        <f t="shared" si="15"/>
        <v>"C:\Program Files\VideoLAN\VLC\vlc.exe" "http://listen-manxradio.sharp-stream.com/manxradiofm.mp3?ref=RF"</v>
      </c>
      <c r="M1013" t="e">
        <f>VLOOKUP(A1013,logos!$A$2:$A$10004,1,FALSE)</f>
        <v>#N/A</v>
      </c>
    </row>
    <row r="1014" spans="1:13" hidden="1" x14ac:dyDescent="0.55000000000000004">
      <c r="A1014" t="s">
        <v>1695</v>
      </c>
      <c r="B1014" t="s">
        <v>1663</v>
      </c>
      <c r="C1014" t="s">
        <v>2297</v>
      </c>
      <c r="D1014" t="s">
        <v>1657</v>
      </c>
      <c r="E1014" t="s">
        <v>23</v>
      </c>
      <c r="F1014" t="str">
        <f t="shared" si="15"/>
        <v>"C:\Program Files\VideoLAN\VLC\vlc.exe" "http://philae.shoutca.st:8054/stream"</v>
      </c>
      <c r="M1014" t="e">
        <f>VLOOKUP(A1014,logos!$A$2:$A$10004,1,FALSE)</f>
        <v>#N/A</v>
      </c>
    </row>
    <row r="1015" spans="1:13" hidden="1" x14ac:dyDescent="0.55000000000000004">
      <c r="A1015" t="s">
        <v>2876</v>
      </c>
      <c r="B1015" t="s">
        <v>1663</v>
      </c>
      <c r="C1015" t="s">
        <v>822</v>
      </c>
      <c r="D1015" t="s">
        <v>1657</v>
      </c>
      <c r="E1015" t="s">
        <v>23</v>
      </c>
      <c r="F1015" t="str">
        <f t="shared" si="15"/>
        <v>"C:\Program Files\VideoLAN\VLC\vlc.exe" "http://stream.zeno.fm/bu7tz109x4zuv"</v>
      </c>
      <c r="M1015" t="e">
        <f>VLOOKUP(A1015,logos!$A$2:$A$10004,1,FALSE)</f>
        <v>#N/A</v>
      </c>
    </row>
    <row r="1016" spans="1:13" hidden="1" x14ac:dyDescent="0.55000000000000004">
      <c r="A1016" t="s">
        <v>2877</v>
      </c>
      <c r="B1016" t="s">
        <v>1663</v>
      </c>
      <c r="C1016" t="s">
        <v>2302</v>
      </c>
      <c r="D1016" t="s">
        <v>1657</v>
      </c>
      <c r="E1016" t="s">
        <v>23</v>
      </c>
      <c r="F1016" t="str">
        <f t="shared" si="15"/>
        <v>"C:\Program Files\VideoLAN\VLC\vlc.exe" "http://proxima.shoutca.st:8122/stream"</v>
      </c>
      <c r="M1016" t="e">
        <f>VLOOKUP(A1016,logos!$A$2:$A$10004,1,FALSE)</f>
        <v>#N/A</v>
      </c>
    </row>
    <row r="1017" spans="1:13" hidden="1" x14ac:dyDescent="0.55000000000000004">
      <c r="A1017" t="s">
        <v>831</v>
      </c>
      <c r="B1017" t="s">
        <v>1663</v>
      </c>
      <c r="C1017" t="s">
        <v>830</v>
      </c>
      <c r="D1017" t="s">
        <v>1657</v>
      </c>
      <c r="E1017" t="s">
        <v>23</v>
      </c>
      <c r="F1017" t="str">
        <f t="shared" si="15"/>
        <v>"C:\Program Files\VideoLAN\VLC\vlc.exe" "http://trappist.shoutca.st:8058/stream"</v>
      </c>
      <c r="M1017" t="e">
        <f>VLOOKUP(A1017,logos!$A$2:$A$10004,1,FALSE)</f>
        <v>#N/A</v>
      </c>
    </row>
    <row r="1018" spans="1:13" hidden="1" x14ac:dyDescent="0.55000000000000004">
      <c r="A1018" t="s">
        <v>834</v>
      </c>
      <c r="B1018" t="s">
        <v>1663</v>
      </c>
      <c r="C1018" t="s">
        <v>833</v>
      </c>
      <c r="D1018" t="s">
        <v>1657</v>
      </c>
      <c r="E1018" t="s">
        <v>23</v>
      </c>
      <c r="F1018" t="str">
        <f t="shared" si="15"/>
        <v>"C:\Program Files\VideoLAN\VLC\vlc.exe" "http://listen-misoul.sharp-stream.com/462_mi_soul_128_mp3?ref=RF"</v>
      </c>
      <c r="M1018" t="e">
        <f>VLOOKUP(A1018,logos!$A$2:$A$10004,1,FALSE)</f>
        <v>#N/A</v>
      </c>
    </row>
    <row r="1019" spans="1:13" hidden="1" x14ac:dyDescent="0.55000000000000004">
      <c r="A1019" t="s">
        <v>837</v>
      </c>
      <c r="B1019" t="s">
        <v>1663</v>
      </c>
      <c r="C1019" t="s">
        <v>836</v>
      </c>
      <c r="D1019" t="s">
        <v>1657</v>
      </c>
      <c r="E1019" t="s">
        <v>23</v>
      </c>
      <c r="F1019" t="str">
        <f t="shared" si="15"/>
        <v>"C:\Program Files\VideoLAN\VLC\vlc.exe" "http://mkfmradioplayer.radioca.st:9648/stream"</v>
      </c>
      <c r="M1019" t="e">
        <f>VLOOKUP(A1019,logos!$A$2:$A$10004,1,FALSE)</f>
        <v>#N/A</v>
      </c>
    </row>
    <row r="1020" spans="1:13" hidden="1" x14ac:dyDescent="0.55000000000000004">
      <c r="A1020" t="s">
        <v>2878</v>
      </c>
      <c r="B1020" t="s">
        <v>1663</v>
      </c>
      <c r="C1020" t="s">
        <v>2303</v>
      </c>
      <c r="D1020" t="s">
        <v>1657</v>
      </c>
      <c r="E1020" t="s">
        <v>23</v>
      </c>
      <c r="F1020" t="str">
        <f t="shared" si="15"/>
        <v>"C:\Program Files\VideoLAN\VLC\vlc.exe" "http://n10a-eu.rcs.revma.com:80/6q7ksnnz6k0uv"</v>
      </c>
      <c r="M1020" t="e">
        <f>VLOOKUP(A1020,logos!$A$2:$A$10004,1,FALSE)</f>
        <v>#N/A</v>
      </c>
    </row>
    <row r="1021" spans="1:13" hidden="1" x14ac:dyDescent="0.55000000000000004">
      <c r="A1021" t="s">
        <v>2778</v>
      </c>
      <c r="B1021" t="s">
        <v>1663</v>
      </c>
      <c r="C1021" t="s">
        <v>840</v>
      </c>
      <c r="D1021" t="s">
        <v>1657</v>
      </c>
      <c r="E1021" t="s">
        <v>23</v>
      </c>
      <c r="F1021" t="str">
        <f t="shared" si="15"/>
        <v>"C:\Program Files\VideoLAN\VLC\vlc.exe" "http://s2.xrad.io:8190/stream"</v>
      </c>
      <c r="M1021" t="e">
        <f>VLOOKUP(A1021,logos!$A$2:$A$10004,1,FALSE)</f>
        <v>#N/A</v>
      </c>
    </row>
    <row r="1022" spans="1:13" hidden="1" x14ac:dyDescent="0.55000000000000004">
      <c r="A1022" t="s">
        <v>2779</v>
      </c>
      <c r="B1022" t="s">
        <v>1663</v>
      </c>
      <c r="C1022" t="s">
        <v>842</v>
      </c>
      <c r="D1022" t="s">
        <v>1657</v>
      </c>
      <c r="E1022" t="s">
        <v>23</v>
      </c>
      <c r="F1022" t="str">
        <f t="shared" si="15"/>
        <v>"C:\Program Files\VideoLAN\VLC\vlc.exe" "http://s2.xrad.io:8192/stream"</v>
      </c>
      <c r="M1022" t="e">
        <f>VLOOKUP(A1022,logos!$A$2:$A$10004,1,FALSE)</f>
        <v>#N/A</v>
      </c>
    </row>
    <row r="1023" spans="1:13" hidden="1" x14ac:dyDescent="0.55000000000000004">
      <c r="A1023" t="s">
        <v>2780</v>
      </c>
      <c r="B1023" t="s">
        <v>1663</v>
      </c>
      <c r="C1023" t="s">
        <v>844</v>
      </c>
      <c r="D1023" t="s">
        <v>1657</v>
      </c>
      <c r="E1023" t="s">
        <v>23</v>
      </c>
      <c r="F1023" t="str">
        <f t="shared" si="15"/>
        <v>"C:\Program Files\VideoLAN\VLC\vlc.exe" "http://s2.xrad.io:8194/stream"</v>
      </c>
      <c r="M1023" t="e">
        <f>VLOOKUP(A1023,logos!$A$2:$A$10004,1,FALSE)</f>
        <v>#N/A</v>
      </c>
    </row>
    <row r="1024" spans="1:13" hidden="1" x14ac:dyDescent="0.55000000000000004">
      <c r="A1024" t="s">
        <v>2781</v>
      </c>
      <c r="B1024" t="s">
        <v>1663</v>
      </c>
      <c r="C1024" t="s">
        <v>846</v>
      </c>
      <c r="D1024" t="s">
        <v>1657</v>
      </c>
      <c r="E1024" t="s">
        <v>23</v>
      </c>
      <c r="F1024" t="str">
        <f t="shared" si="15"/>
        <v>"C:\Program Files\VideoLAN\VLC\vlc.exe" "http://s2.xrad.io:8188/stream"</v>
      </c>
      <c r="M1024" t="e">
        <f>VLOOKUP(A1024,logos!$A$2:$A$10004,1,FALSE)</f>
        <v>#N/A</v>
      </c>
    </row>
    <row r="1025" spans="1:13" hidden="1" x14ac:dyDescent="0.55000000000000004">
      <c r="A1025" t="s">
        <v>2782</v>
      </c>
      <c r="B1025" t="s">
        <v>1663</v>
      </c>
      <c r="C1025" t="s">
        <v>848</v>
      </c>
      <c r="D1025" t="s">
        <v>1657</v>
      </c>
      <c r="E1025" t="s">
        <v>23</v>
      </c>
      <c r="F1025" t="str">
        <f t="shared" si="15"/>
        <v>"C:\Program Files\VideoLAN\VLC\vlc.exe" "http://s2.xrad.io:8196/stream"</v>
      </c>
      <c r="M1025" t="e">
        <f>VLOOKUP(A1025,logos!$A$2:$A$10004,1,FALSE)</f>
        <v>#N/A</v>
      </c>
    </row>
    <row r="1026" spans="1:13" hidden="1" x14ac:dyDescent="0.55000000000000004">
      <c r="A1026" t="s">
        <v>851</v>
      </c>
      <c r="B1026" t="s">
        <v>1663</v>
      </c>
      <c r="C1026" t="s">
        <v>850</v>
      </c>
      <c r="D1026" t="s">
        <v>1657</v>
      </c>
      <c r="E1026" t="s">
        <v>23</v>
      </c>
      <c r="F1026" t="str">
        <f t="shared" si="15"/>
        <v>"C:\Program Files\VideoLAN\VLC\vlc.exe" "http://s2.xrad.io:8330/stream"</v>
      </c>
      <c r="M1026" t="e">
        <f>VLOOKUP(A1026,logos!$A$2:$A$10004,1,FALSE)</f>
        <v>#N/A</v>
      </c>
    </row>
    <row r="1027" spans="1:13" hidden="1" x14ac:dyDescent="0.55000000000000004">
      <c r="A1027" t="s">
        <v>865</v>
      </c>
      <c r="B1027" t="s">
        <v>1663</v>
      </c>
      <c r="C1027" t="s">
        <v>864</v>
      </c>
      <c r="D1027" t="s">
        <v>1657</v>
      </c>
      <c r="E1027" t="s">
        <v>23</v>
      </c>
      <c r="F1027" t="str">
        <f t="shared" ref="F1027:F1090" si="16">"""C:\Program Files\VideoLAN\VLC\vlc.exe"" """&amp;C1027&amp;""""</f>
        <v>"C:\Program Files\VideoLAN\VLC\vlc.exe" "http://listen-nation.sharp-stream.com/nationradio00s.mp3?ref=RF"</v>
      </c>
      <c r="M1027" t="e">
        <f>VLOOKUP(A1027,logos!$A$2:$A$10004,1,FALSE)</f>
        <v>#N/A</v>
      </c>
    </row>
    <row r="1028" spans="1:13" hidden="1" x14ac:dyDescent="0.55000000000000004">
      <c r="A1028" t="s">
        <v>853</v>
      </c>
      <c r="B1028" t="s">
        <v>1663</v>
      </c>
      <c r="C1028" t="s">
        <v>852</v>
      </c>
      <c r="D1028" t="s">
        <v>1657</v>
      </c>
      <c r="E1028" t="s">
        <v>23</v>
      </c>
      <c r="F1028" t="str">
        <f t="shared" si="16"/>
        <v>"C:\Program Files\VideoLAN\VLC\vlc.exe" "http://listen-nation.sharp-stream.com/nation60s.mp3?ref=RF"</v>
      </c>
      <c r="M1028" t="e">
        <f>VLOOKUP(A1028,logos!$A$2:$A$10004,1,FALSE)</f>
        <v>#N/A</v>
      </c>
    </row>
    <row r="1029" spans="1:13" hidden="1" x14ac:dyDescent="0.55000000000000004">
      <c r="A1029" t="s">
        <v>856</v>
      </c>
      <c r="B1029" t="s">
        <v>1663</v>
      </c>
      <c r="C1029" t="s">
        <v>855</v>
      </c>
      <c r="D1029" t="s">
        <v>1657</v>
      </c>
      <c r="E1029" t="s">
        <v>23</v>
      </c>
      <c r="F1029" t="str">
        <f t="shared" si="16"/>
        <v>"C:\Program Files\VideoLAN\VLC\vlc.exe" "http://listen-nation.sharp-stream.com/nationradio70s.mp3?ref=RF"</v>
      </c>
      <c r="M1029" t="e">
        <f>VLOOKUP(A1029,logos!$A$2:$A$10004,1,FALSE)</f>
        <v>#N/A</v>
      </c>
    </row>
    <row r="1030" spans="1:13" hidden="1" x14ac:dyDescent="0.55000000000000004">
      <c r="A1030" t="s">
        <v>859</v>
      </c>
      <c r="B1030" t="s">
        <v>1663</v>
      </c>
      <c r="C1030" t="s">
        <v>858</v>
      </c>
      <c r="D1030" t="s">
        <v>1657</v>
      </c>
      <c r="E1030" t="s">
        <v>23</v>
      </c>
      <c r="F1030" t="str">
        <f t="shared" si="16"/>
        <v>"C:\Program Files\VideoLAN\VLC\vlc.exe" "http://listen-nation.sharp-stream.com/nationradio80s.mp3?ref=RF"</v>
      </c>
      <c r="M1030" t="e">
        <f>VLOOKUP(A1030,logos!$A$2:$A$10004,1,FALSE)</f>
        <v>#N/A</v>
      </c>
    </row>
    <row r="1031" spans="1:13" hidden="1" x14ac:dyDescent="0.55000000000000004">
      <c r="A1031" t="s">
        <v>862</v>
      </c>
      <c r="B1031" t="s">
        <v>1663</v>
      </c>
      <c r="C1031" t="s">
        <v>861</v>
      </c>
      <c r="D1031" t="s">
        <v>1657</v>
      </c>
      <c r="E1031" t="s">
        <v>23</v>
      </c>
      <c r="F1031" t="str">
        <f t="shared" si="16"/>
        <v>"C:\Program Files\VideoLAN\VLC\vlc.exe" "http://listen-nation.sharp-stream.com/nationradio90s.mp3?ref=RF"</v>
      </c>
      <c r="M1031" t="e">
        <f>VLOOKUP(A1031,logos!$A$2:$A$10004,1,FALSE)</f>
        <v>#N/A</v>
      </c>
    </row>
    <row r="1032" spans="1:13" hidden="1" x14ac:dyDescent="0.55000000000000004">
      <c r="A1032" t="s">
        <v>868</v>
      </c>
      <c r="B1032" t="s">
        <v>1663</v>
      </c>
      <c r="C1032" t="s">
        <v>867</v>
      </c>
      <c r="D1032" t="s">
        <v>1657</v>
      </c>
      <c r="E1032" t="s">
        <v>23</v>
      </c>
      <c r="F1032" t="str">
        <f t="shared" si="16"/>
        <v>"C:\Program Files\VideoLAN\VLC\vlc.exe" "http://listen-nation.sharp-stream.com/clubnation.mp3?ref=RF"</v>
      </c>
      <c r="M1032" t="e">
        <f>VLOOKUP(A1032,logos!$A$2:$A$10004,1,FALSE)</f>
        <v>#N/A</v>
      </c>
    </row>
    <row r="1033" spans="1:13" hidden="1" x14ac:dyDescent="0.55000000000000004">
      <c r="A1033" t="s">
        <v>871</v>
      </c>
      <c r="B1033" t="s">
        <v>1663</v>
      </c>
      <c r="C1033" t="s">
        <v>870</v>
      </c>
      <c r="D1033" t="s">
        <v>1657</v>
      </c>
      <c r="E1033" t="s">
        <v>23</v>
      </c>
      <c r="F1033" t="str">
        <f t="shared" si="16"/>
        <v>"C:\Program Files\VideoLAN\VLC\vlc.exe" "http://listen-nation.sharp-stream.com/nationhits.mp3?ref=RF"</v>
      </c>
      <c r="M1033" t="e">
        <f>VLOOKUP(A1033,logos!$A$2:$A$10004,1,FALSE)</f>
        <v>#N/A</v>
      </c>
    </row>
    <row r="1034" spans="1:13" hidden="1" x14ac:dyDescent="0.55000000000000004">
      <c r="A1034" t="s">
        <v>874</v>
      </c>
      <c r="B1034" t="s">
        <v>1663</v>
      </c>
      <c r="C1034" t="s">
        <v>873</v>
      </c>
      <c r="D1034" t="s">
        <v>1657</v>
      </c>
      <c r="E1034" t="s">
        <v>23</v>
      </c>
      <c r="F1034" t="str">
        <f t="shared" si="16"/>
        <v>"C:\Program Files\VideoLAN\VLC\vlc.exe" "http://listen-nation.sharp-stream.com/lovenation.mp3?ref=RF"</v>
      </c>
      <c r="M1034" t="e">
        <f>VLOOKUP(A1034,logos!$A$2:$A$10004,1,FALSE)</f>
        <v>#N/A</v>
      </c>
    </row>
    <row r="1035" spans="1:13" hidden="1" x14ac:dyDescent="0.55000000000000004">
      <c r="A1035" t="s">
        <v>877</v>
      </c>
      <c r="B1035" t="s">
        <v>1663</v>
      </c>
      <c r="C1035" t="s">
        <v>876</v>
      </c>
      <c r="D1035" t="s">
        <v>1657</v>
      </c>
      <c r="E1035" t="s">
        <v>23</v>
      </c>
      <c r="F1035" t="str">
        <f t="shared" si="16"/>
        <v>"C:\Program Files\VideoLAN\VLC\vlc.exe" "http://listen-nation.sharp-stream.com/nationparty.mp3?ref=RF"</v>
      </c>
      <c r="M1035" t="e">
        <f>VLOOKUP(A1035,logos!$A$2:$A$10004,1,FALSE)</f>
        <v>#N/A</v>
      </c>
    </row>
    <row r="1036" spans="1:13" hidden="1" x14ac:dyDescent="0.55000000000000004">
      <c r="A1036" t="s">
        <v>2783</v>
      </c>
      <c r="B1036" t="s">
        <v>1663</v>
      </c>
      <c r="C1036" t="s">
        <v>879</v>
      </c>
      <c r="D1036" t="s">
        <v>1657</v>
      </c>
      <c r="E1036" t="s">
        <v>23</v>
      </c>
      <c r="F1036" t="str">
        <f t="shared" si="16"/>
        <v>"C:\Program Files\VideoLAN\VLC\vlc.exe" "http://listen-nation.sharp-stream.com/hull.mp3?ref=RF"</v>
      </c>
      <c r="M1036" t="e">
        <f>VLOOKUP(A1036,logos!$A$2:$A$10004,1,FALSE)</f>
        <v>#N/A</v>
      </c>
    </row>
    <row r="1037" spans="1:13" hidden="1" x14ac:dyDescent="0.55000000000000004">
      <c r="A1037" t="s">
        <v>2784</v>
      </c>
      <c r="B1037" t="s">
        <v>1663</v>
      </c>
      <c r="C1037" t="s">
        <v>882</v>
      </c>
      <c r="D1037" t="s">
        <v>1657</v>
      </c>
      <c r="E1037" t="s">
        <v>23</v>
      </c>
      <c r="F1037" t="str">
        <f t="shared" si="16"/>
        <v>"C:\Program Files\VideoLAN\VLC\vlc.exe" "http://listen-nation.sharp-stream.com/yourradio.mp3?ref=RF"</v>
      </c>
      <c r="M1037" t="e">
        <f>VLOOKUP(A1037,logos!$A$2:$A$10004,1,FALSE)</f>
        <v>#N/A</v>
      </c>
    </row>
    <row r="1038" spans="1:13" hidden="1" x14ac:dyDescent="0.55000000000000004">
      <c r="A1038" t="s">
        <v>2785</v>
      </c>
      <c r="B1038" t="s">
        <v>1663</v>
      </c>
      <c r="C1038" t="s">
        <v>885</v>
      </c>
      <c r="D1038" t="s">
        <v>1657</v>
      </c>
      <c r="E1038" t="s">
        <v>23</v>
      </c>
      <c r="F1038" t="str">
        <f t="shared" si="16"/>
        <v>"C:\Program Files\VideoLAN\VLC\vlc.exe" "http://listen-nation.sharp-stream.com/nationscotland.mp3?ref=RF"</v>
      </c>
      <c r="M1038" t="e">
        <f>VLOOKUP(A1038,logos!$A$2:$A$10004,1,FALSE)</f>
        <v>#N/A</v>
      </c>
    </row>
    <row r="1039" spans="1:13" hidden="1" x14ac:dyDescent="0.55000000000000004">
      <c r="A1039" t="s">
        <v>2786</v>
      </c>
      <c r="B1039" t="s">
        <v>1663</v>
      </c>
      <c r="C1039" t="s">
        <v>888</v>
      </c>
      <c r="D1039" t="s">
        <v>1657</v>
      </c>
      <c r="E1039" t="s">
        <v>23</v>
      </c>
      <c r="F1039" t="str">
        <f t="shared" si="16"/>
        <v>"C:\Program Files\VideoLAN\VLC\vlc.exe" "http://listen-nation.sharp-stream.com/nationdorset.mp3?ref=RF"</v>
      </c>
      <c r="M1039" t="e">
        <f>VLOOKUP(A1039,logos!$A$2:$A$10004,1,FALSE)</f>
        <v>#N/A</v>
      </c>
    </row>
    <row r="1040" spans="1:13" hidden="1" x14ac:dyDescent="0.55000000000000004">
      <c r="A1040" t="s">
        <v>2787</v>
      </c>
      <c r="B1040" t="s">
        <v>1663</v>
      </c>
      <c r="C1040" t="s">
        <v>891</v>
      </c>
      <c r="D1040" t="s">
        <v>1657</v>
      </c>
      <c r="E1040" t="s">
        <v>23</v>
      </c>
      <c r="F1040" t="str">
        <f t="shared" si="16"/>
        <v>"C:\Program Files\VideoLAN\VLC\vlc.exe" "http://listen-nation.sharp-stream.com/nationhampshire.mp3?ref=RF"</v>
      </c>
      <c r="M1040" t="e">
        <f>VLOOKUP(A1040,logos!$A$2:$A$10004,1,FALSE)</f>
        <v>#N/A</v>
      </c>
    </row>
    <row r="1041" spans="1:13" hidden="1" x14ac:dyDescent="0.55000000000000004">
      <c r="A1041" t="s">
        <v>2788</v>
      </c>
      <c r="B1041" t="s">
        <v>1663</v>
      </c>
      <c r="C1041" t="s">
        <v>894</v>
      </c>
      <c r="D1041" t="s">
        <v>1657</v>
      </c>
      <c r="E1041" t="s">
        <v>23</v>
      </c>
      <c r="F1041" t="str">
        <f t="shared" si="16"/>
        <v>"C:\Program Files\VideoLAN\VLC\vlc.exe" "http://listen-nation.sharp-stream.com/nationsuffolk.mp3?ref=RF"</v>
      </c>
      <c r="M1041" t="e">
        <f>VLOOKUP(A1041,logos!$A$2:$A$10004,1,FALSE)</f>
        <v>#N/A</v>
      </c>
    </row>
    <row r="1042" spans="1:13" hidden="1" x14ac:dyDescent="0.55000000000000004">
      <c r="A1042" t="s">
        <v>2789</v>
      </c>
      <c r="B1042" t="s">
        <v>1663</v>
      </c>
      <c r="C1042" t="s">
        <v>897</v>
      </c>
      <c r="D1042" t="s">
        <v>1657</v>
      </c>
      <c r="E1042" t="s">
        <v>23</v>
      </c>
      <c r="F1042" t="str">
        <f t="shared" si="16"/>
        <v>"C:\Program Files\VideoLAN\VLC\vlc.exe" "http://listen-nation.sharp-stream.com/thamesradio.mp3?ref=RF"</v>
      </c>
      <c r="M1042" t="e">
        <f>VLOOKUP(A1042,logos!$A$2:$A$10004,1,FALSE)</f>
        <v>#N/A</v>
      </c>
    </row>
    <row r="1043" spans="1:13" hidden="1" x14ac:dyDescent="0.55000000000000004">
      <c r="A1043" t="s">
        <v>2790</v>
      </c>
      <c r="B1043" t="s">
        <v>1663</v>
      </c>
      <c r="C1043" t="s">
        <v>900</v>
      </c>
      <c r="D1043" t="s">
        <v>1657</v>
      </c>
      <c r="E1043" t="s">
        <v>23</v>
      </c>
      <c r="F1043" t="str">
        <f t="shared" si="16"/>
        <v>"C:\Program Files\VideoLAN\VLC\vlc.exe" "http://listen-nation.sharp-stream.com/tcceredigion.mp3?ref=RF"</v>
      </c>
      <c r="M1043" t="e">
        <f>VLOOKUP(A1043,logos!$A$2:$A$10004,1,FALSE)</f>
        <v>#N/A</v>
      </c>
    </row>
    <row r="1044" spans="1:13" hidden="1" x14ac:dyDescent="0.55000000000000004">
      <c r="A1044" t="s">
        <v>2791</v>
      </c>
      <c r="B1044" t="s">
        <v>1663</v>
      </c>
      <c r="C1044" t="s">
        <v>903</v>
      </c>
      <c r="D1044" t="s">
        <v>1657</v>
      </c>
      <c r="E1044" t="s">
        <v>23</v>
      </c>
      <c r="F1044" t="str">
        <f t="shared" si="16"/>
        <v>"C:\Program Files\VideoLAN\VLC\vlc.exe" "http://listen-nation.sharp-stream.com/tcnation.mp3?ref=RF"</v>
      </c>
      <c r="M1044" t="e">
        <f>VLOOKUP(A1044,logos!$A$2:$A$10004,1,FALSE)</f>
        <v>#N/A</v>
      </c>
    </row>
    <row r="1045" spans="1:13" hidden="1" x14ac:dyDescent="0.55000000000000004">
      <c r="A1045" t="s">
        <v>2879</v>
      </c>
      <c r="B1045" t="s">
        <v>1663</v>
      </c>
      <c r="C1045" t="s">
        <v>2304</v>
      </c>
      <c r="D1045" t="s">
        <v>1657</v>
      </c>
      <c r="E1045" t="s">
        <v>23</v>
      </c>
      <c r="F1045" t="str">
        <f t="shared" si="16"/>
        <v>"C:\Program Files\VideoLAN\VLC\vlc.exe" "http://edge-audio-05-gos2.sharp-stream.com:80/nationwestdab.mp3"</v>
      </c>
      <c r="M1045" t="e">
        <f>VLOOKUP(A1045,logos!$A$2:$A$10004,1,FALSE)</f>
        <v>#N/A</v>
      </c>
    </row>
    <row r="1046" spans="1:13" hidden="1" x14ac:dyDescent="0.55000000000000004">
      <c r="A1046" t="s">
        <v>909</v>
      </c>
      <c r="B1046" t="s">
        <v>1663</v>
      </c>
      <c r="C1046" t="s">
        <v>908</v>
      </c>
      <c r="D1046" t="s">
        <v>1657</v>
      </c>
      <c r="E1046" t="s">
        <v>23</v>
      </c>
      <c r="F1046" t="str">
        <f t="shared" si="16"/>
        <v>"C:\Program Files\VideoLAN\VLC\vlc.exe" "http://listen-nation.sharp-stream.com/nationrocks.mp3?ref=RF"</v>
      </c>
      <c r="M1046" t="e">
        <f>VLOOKUP(A1046,logos!$A$2:$A$10004,1,FALSE)</f>
        <v>#N/A</v>
      </c>
    </row>
    <row r="1047" spans="1:13" hidden="1" x14ac:dyDescent="0.55000000000000004">
      <c r="A1047" t="s">
        <v>912</v>
      </c>
      <c r="B1047" t="s">
        <v>1663</v>
      </c>
      <c r="C1047" t="s">
        <v>911</v>
      </c>
      <c r="D1047" t="s">
        <v>1657</v>
      </c>
      <c r="E1047" t="s">
        <v>23</v>
      </c>
      <c r="F1047" t="str">
        <f t="shared" si="16"/>
        <v>"C:\Program Files\VideoLAN\VLC\vlc.exe" "http://playoutonestreaming.com:8008/stream"</v>
      </c>
      <c r="M1047" t="e">
        <f>VLOOKUP(A1047,logos!$A$2:$A$10004,1,FALSE)</f>
        <v>#N/A</v>
      </c>
    </row>
    <row r="1048" spans="1:13" hidden="1" x14ac:dyDescent="0.55000000000000004">
      <c r="A1048" t="s">
        <v>914</v>
      </c>
      <c r="B1048" t="s">
        <v>1663</v>
      </c>
      <c r="C1048" t="s">
        <v>913</v>
      </c>
      <c r="D1048" t="s">
        <v>1657</v>
      </c>
      <c r="E1048" t="s">
        <v>23</v>
      </c>
      <c r="F1048" t="str">
        <f t="shared" si="16"/>
        <v>"C:\Program Files\VideoLAN\VLC\vlc.exe" "http://listen-nme.sharp-stream.com/nme1.mp3?ref=RF"</v>
      </c>
      <c r="M1048" t="e">
        <f>VLOOKUP(A1048,logos!$A$2:$A$10004,1,FALSE)</f>
        <v>#N/A</v>
      </c>
    </row>
    <row r="1049" spans="1:13" hidden="1" x14ac:dyDescent="0.55000000000000004">
      <c r="A1049" t="s">
        <v>917</v>
      </c>
      <c r="B1049" t="s">
        <v>1663</v>
      </c>
      <c r="C1049" t="s">
        <v>916</v>
      </c>
      <c r="D1049" t="s">
        <v>1657</v>
      </c>
      <c r="E1049" t="s">
        <v>23</v>
      </c>
      <c r="F1049" t="str">
        <f t="shared" si="16"/>
        <v>"C:\Program Files\VideoLAN\VLC\vlc.exe" "http://listen-nme.sharp-stream.com/nme2.mp3?ref=RF"</v>
      </c>
      <c r="M1049" t="e">
        <f>VLOOKUP(A1049,logos!$A$2:$A$10004,1,FALSE)</f>
        <v>#N/A</v>
      </c>
    </row>
    <row r="1050" spans="1:13" hidden="1" x14ac:dyDescent="0.55000000000000004">
      <c r="A1050" t="s">
        <v>927</v>
      </c>
      <c r="B1050" t="s">
        <v>1663</v>
      </c>
      <c r="C1050" t="s">
        <v>926</v>
      </c>
      <c r="D1050" t="s">
        <v>1657</v>
      </c>
      <c r="E1050" t="s">
        <v>23</v>
      </c>
      <c r="F1050" t="str">
        <f t="shared" si="16"/>
        <v>"C:\Program Files\VideoLAN\VLC\vlc.exe" "http://radio.canstream.co.uk:8143/live.mp3"</v>
      </c>
      <c r="M1050" t="e">
        <f>VLOOKUP(A1050,logos!$A$2:$A$10004,1,FALSE)</f>
        <v>#N/A</v>
      </c>
    </row>
    <row r="1051" spans="1:13" hidden="1" x14ac:dyDescent="0.55000000000000004">
      <c r="A1051" t="s">
        <v>929</v>
      </c>
      <c r="B1051" t="s">
        <v>1663</v>
      </c>
      <c r="C1051" t="s">
        <v>928</v>
      </c>
      <c r="D1051" t="s">
        <v>1657</v>
      </c>
      <c r="E1051" t="s">
        <v>23</v>
      </c>
      <c r="F1051" t="str">
        <f t="shared" si="16"/>
        <v>"C:\Program Files\VideoLAN\VLC\vlc.exe" "http://likeradiostream.com:8080/owruk?ref=RF"</v>
      </c>
      <c r="M1051" t="e">
        <f>VLOOKUP(A1051,logos!$A$2:$A$10004,1,FALSE)</f>
        <v>#N/A</v>
      </c>
    </row>
    <row r="1052" spans="1:13" hidden="1" x14ac:dyDescent="0.55000000000000004">
      <c r="A1052" t="s">
        <v>931</v>
      </c>
      <c r="B1052" t="s">
        <v>1663</v>
      </c>
      <c r="C1052" t="s">
        <v>930</v>
      </c>
      <c r="D1052" t="s">
        <v>1657</v>
      </c>
      <c r="E1052" t="s">
        <v>23</v>
      </c>
      <c r="F1052" t="str">
        <f t="shared" si="16"/>
        <v>"C:\Program Files\VideoLAN\VLC\vlc.exe" "http://listen-original.sharp-stream.com/original106.mp3?ref=RF"</v>
      </c>
      <c r="M1052" t="e">
        <f>VLOOKUP(A1052,logos!$A$2:$A$10004,1,FALSE)</f>
        <v>#N/A</v>
      </c>
    </row>
    <row r="1053" spans="1:13" hidden="1" x14ac:dyDescent="0.55000000000000004">
      <c r="A1053" t="s">
        <v>2792</v>
      </c>
      <c r="B1053" t="s">
        <v>1663</v>
      </c>
      <c r="C1053" t="s">
        <v>932</v>
      </c>
      <c r="D1053" t="s">
        <v>1657</v>
      </c>
      <c r="E1053" t="s">
        <v>23</v>
      </c>
      <c r="F1053" t="str">
        <f t="shared" si="16"/>
        <v>"C:\Program Files\VideoLAN\VLC\vlc.exe" "http://live.streamlojik.com:11170/outreachdance.mp3"</v>
      </c>
      <c r="M1053" t="e">
        <f>VLOOKUP(A1053,logos!$A$2:$A$10004,1,FALSE)</f>
        <v>#N/A</v>
      </c>
    </row>
    <row r="1054" spans="1:13" hidden="1" x14ac:dyDescent="0.55000000000000004">
      <c r="A1054" t="s">
        <v>935</v>
      </c>
      <c r="B1054" t="s">
        <v>1663</v>
      </c>
      <c r="C1054" t="s">
        <v>934</v>
      </c>
      <c r="D1054" t="s">
        <v>1657</v>
      </c>
      <c r="E1054" t="s">
        <v>23</v>
      </c>
      <c r="F1054" t="str">
        <f t="shared" si="16"/>
        <v>"C:\Program Files\VideoLAN\VLC\vlc.exe" "http://live.streamlojik.com:11070/outreachradio.mp3"</v>
      </c>
      <c r="M1054" t="e">
        <f>VLOOKUP(A1054,logos!$A$2:$A$10004,1,FALSE)</f>
        <v>#N/A</v>
      </c>
    </row>
    <row r="1055" spans="1:13" hidden="1" x14ac:dyDescent="0.55000000000000004">
      <c r="A1055" t="s">
        <v>937</v>
      </c>
      <c r="B1055" t="s">
        <v>1663</v>
      </c>
      <c r="C1055" t="s">
        <v>936</v>
      </c>
      <c r="D1055" t="s">
        <v>1657</v>
      </c>
      <c r="E1055" t="s">
        <v>23</v>
      </c>
      <c r="F1055" t="str">
        <f t="shared" si="16"/>
        <v>"C:\Program Files\VideoLAN\VLC\vlc.exe" "http://streaming03.zfast.co.uk:8047/listen.mp3"</v>
      </c>
      <c r="M1055" t="e">
        <f>VLOOKUP(A1055,logos!$A$2:$A$10004,1,FALSE)</f>
        <v>#N/A</v>
      </c>
    </row>
    <row r="1056" spans="1:13" hidden="1" x14ac:dyDescent="0.55000000000000004">
      <c r="A1056" t="s">
        <v>942</v>
      </c>
      <c r="B1056" t="s">
        <v>1663</v>
      </c>
      <c r="C1056" t="s">
        <v>941</v>
      </c>
      <c r="D1056" t="s">
        <v>1657</v>
      </c>
      <c r="E1056" t="s">
        <v>23</v>
      </c>
      <c r="F1056" t="str">
        <f t="shared" si="16"/>
        <v>"C:\Program Files\VideoLAN\VLC\vlc.exe" "http://stream.mybroadbandradio.com/passionradiohq?ref=RF"</v>
      </c>
      <c r="M1056" t="e">
        <f>VLOOKUP(A1056,logos!$A$2:$A$10004,1,FALSE)</f>
        <v>#N/A</v>
      </c>
    </row>
    <row r="1057" spans="1:13" hidden="1" x14ac:dyDescent="0.55000000000000004">
      <c r="A1057" t="s">
        <v>959</v>
      </c>
      <c r="B1057" t="s">
        <v>1663</v>
      </c>
      <c r="C1057" t="s">
        <v>958</v>
      </c>
      <c r="D1057" t="s">
        <v>1657</v>
      </c>
      <c r="E1057" t="s">
        <v>23</v>
      </c>
      <c r="F1057" t="str">
        <f t="shared" si="16"/>
        <v>"C:\Program Files\VideoLAN\VLC\vlc.exe" "http://pointblankradio.co.uk/stream.mp3?ref=rf"</v>
      </c>
      <c r="M1057" t="e">
        <f>VLOOKUP(A1057,logos!$A$2:$A$10004,1,FALSE)</f>
        <v>#N/A</v>
      </c>
    </row>
    <row r="1058" spans="1:13" hidden="1" x14ac:dyDescent="0.55000000000000004">
      <c r="A1058" t="s">
        <v>962</v>
      </c>
      <c r="B1058" t="s">
        <v>1663</v>
      </c>
      <c r="C1058" t="s">
        <v>961</v>
      </c>
      <c r="D1058" t="s">
        <v>1657</v>
      </c>
      <c r="E1058" t="s">
        <v>23</v>
      </c>
      <c r="F1058" t="str">
        <f t="shared" si="16"/>
        <v>"C:\Program Files\VideoLAN\VLC\vlc.exe" "http://s4.xrad.io:8008/stream"</v>
      </c>
      <c r="M1058" t="e">
        <f>VLOOKUP(A1058,logos!$A$2:$A$10004,1,FALSE)</f>
        <v>#N/A</v>
      </c>
    </row>
    <row r="1059" spans="1:13" hidden="1" x14ac:dyDescent="0.55000000000000004">
      <c r="A1059" t="s">
        <v>2880</v>
      </c>
      <c r="B1059" t="s">
        <v>1663</v>
      </c>
      <c r="C1059" t="s">
        <v>966</v>
      </c>
      <c r="D1059" t="s">
        <v>1657</v>
      </c>
      <c r="E1059" t="s">
        <v>23</v>
      </c>
      <c r="F1059" t="str">
        <f t="shared" si="16"/>
        <v>"C:\Program Files\VideoLAN\VLC\vlc.exe" "http://streams.radiomast.io/4d0743b5-b63a-43f1-9f7f-e8a04abe9367"</v>
      </c>
      <c r="M1059" t="e">
        <f>VLOOKUP(A1059,logos!$A$2:$A$10004,1,FALSE)</f>
        <v>#N/A</v>
      </c>
    </row>
    <row r="1060" spans="1:13" hidden="1" x14ac:dyDescent="0.55000000000000004">
      <c r="A1060" t="s">
        <v>968</v>
      </c>
      <c r="B1060" t="s">
        <v>1663</v>
      </c>
      <c r="C1060" t="s">
        <v>969</v>
      </c>
      <c r="D1060" t="s">
        <v>1657</v>
      </c>
      <c r="E1060" t="s">
        <v>23</v>
      </c>
      <c r="F1060" t="str">
        <f t="shared" si="16"/>
        <v>"C:\Program Files\VideoLAN\VLC\vlc.exe" "http://streams.radiomast.io/bc0b65c9-472b-48b7-b9fc-3b3000ca5ac3"</v>
      </c>
      <c r="M1060" t="e">
        <f>VLOOKUP(A1060,logos!$A$2:$A$10004,1,FALSE)</f>
        <v>#N/A</v>
      </c>
    </row>
    <row r="1061" spans="1:13" hidden="1" x14ac:dyDescent="0.55000000000000004">
      <c r="A1061" t="s">
        <v>971</v>
      </c>
      <c r="B1061" t="s">
        <v>1663</v>
      </c>
      <c r="C1061" t="s">
        <v>972</v>
      </c>
      <c r="D1061" t="s">
        <v>1657</v>
      </c>
      <c r="E1061" t="s">
        <v>23</v>
      </c>
      <c r="F1061" t="str">
        <f t="shared" si="16"/>
        <v>"C:\Program Files\VideoLAN\VLC\vlc.exe" "http://streams.radiomast.io/4f0fe096-7e2a-4bf0-957f-6c46a866d9ea"</v>
      </c>
      <c r="M1061" t="e">
        <f>VLOOKUP(A1061,logos!$A$2:$A$10004,1,FALSE)</f>
        <v>#N/A</v>
      </c>
    </row>
    <row r="1062" spans="1:13" hidden="1" x14ac:dyDescent="0.55000000000000004">
      <c r="A1062" t="s">
        <v>2797</v>
      </c>
      <c r="B1062" t="s">
        <v>1663</v>
      </c>
      <c r="C1062" t="s">
        <v>2312</v>
      </c>
      <c r="D1062" t="s">
        <v>1657</v>
      </c>
      <c r="E1062" t="s">
        <v>23</v>
      </c>
      <c r="F1062" t="str">
        <f t="shared" si="16"/>
        <v>"C:\Program Files\VideoLAN\VLC\vlc.exe" "http://edge-audio-05-gos2.sharp-stream.com:80/pure_radio.mp3"</v>
      </c>
      <c r="M1062" t="e">
        <f>VLOOKUP(A1062,logos!$A$2:$A$10004,1,FALSE)</f>
        <v>#N/A</v>
      </c>
    </row>
    <row r="1063" spans="1:13" hidden="1" x14ac:dyDescent="0.55000000000000004">
      <c r="A1063" t="s">
        <v>2881</v>
      </c>
      <c r="B1063" t="s">
        <v>1663</v>
      </c>
      <c r="C1063" t="s">
        <v>979</v>
      </c>
      <c r="D1063" t="s">
        <v>1657</v>
      </c>
      <c r="E1063" t="s">
        <v>23</v>
      </c>
      <c r="F1063" t="str">
        <f t="shared" si="16"/>
        <v>"C:\Program Files\VideoLAN\VLC\vlc.exe" "http://listen-pureradiotay.sharp-stream.com/145_pure_radio_tayside_128_mp3?ref=RF"</v>
      </c>
      <c r="M1063" t="e">
        <f>VLOOKUP(A1063,logos!$A$2:$A$10004,1,FALSE)</f>
        <v>#N/A</v>
      </c>
    </row>
    <row r="1064" spans="1:13" hidden="1" x14ac:dyDescent="0.55000000000000004">
      <c r="A1064" t="s">
        <v>2882</v>
      </c>
      <c r="B1064" t="s">
        <v>1663</v>
      </c>
      <c r="C1064" t="s">
        <v>2314</v>
      </c>
      <c r="D1064" t="s">
        <v>1657</v>
      </c>
      <c r="E1064" t="s">
        <v>23</v>
      </c>
      <c r="F1064" t="str">
        <f t="shared" si="16"/>
        <v>"C:\Program Files\VideoLAN\VLC\vlc.exe" "http://edge-audio-05-gos2.sharp-stream.com:80/qr1070.mp3"</v>
      </c>
      <c r="M1064" t="e">
        <f>VLOOKUP(A1064,logos!$A$2:$A$10004,1,FALSE)</f>
        <v>#N/A</v>
      </c>
    </row>
    <row r="1065" spans="1:13" hidden="1" x14ac:dyDescent="0.55000000000000004">
      <c r="A1065" t="s">
        <v>2883</v>
      </c>
      <c r="B1065" t="s">
        <v>1663</v>
      </c>
      <c r="C1065" t="s">
        <v>2316</v>
      </c>
      <c r="D1065" t="s">
        <v>1657</v>
      </c>
      <c r="E1065" t="s">
        <v>23</v>
      </c>
      <c r="F1065" t="str">
        <f t="shared" si="16"/>
        <v>"C:\Program Files\VideoLAN\VLC\vlc.exe" "http://edge-audio-05-gos2.sharp-stream.com:80/qr967.mp3"</v>
      </c>
      <c r="M1065" t="e">
        <f>VLOOKUP(A1065,logos!$A$2:$A$10004,1,FALSE)</f>
        <v>#N/A</v>
      </c>
    </row>
    <row r="1066" spans="1:13" hidden="1" x14ac:dyDescent="0.55000000000000004">
      <c r="A1066" t="s">
        <v>2884</v>
      </c>
      <c r="B1066" t="s">
        <v>1663</v>
      </c>
      <c r="C1066" t="s">
        <v>2318</v>
      </c>
      <c r="D1066" t="s">
        <v>1657</v>
      </c>
      <c r="E1066" t="s">
        <v>23</v>
      </c>
      <c r="F1066" t="str">
        <f t="shared" si="16"/>
        <v>"C:\Program Files\VideoLAN\VLC\vlc.exe" "http://edge-audio-05-gos2.sharp-stream.com:80/qr972.mp3"</v>
      </c>
      <c r="M1066" t="e">
        <f>VLOOKUP(A1066,logos!$A$2:$A$10004,1,FALSE)</f>
        <v>#N/A</v>
      </c>
    </row>
    <row r="1067" spans="1:13" hidden="1" x14ac:dyDescent="0.55000000000000004">
      <c r="A1067" t="s">
        <v>2885</v>
      </c>
      <c r="B1067" t="s">
        <v>1663</v>
      </c>
      <c r="C1067" t="s">
        <v>2320</v>
      </c>
      <c r="D1067" t="s">
        <v>1657</v>
      </c>
      <c r="E1067" t="s">
        <v>23</v>
      </c>
      <c r="F1067" t="str">
        <f t="shared" si="16"/>
        <v>"C:\Program Files\VideoLAN\VLC\vlc.exe" "http://edge-audio-05-gos2.sharp-stream.com:80/qr1029.mp3"</v>
      </c>
      <c r="M1067" t="e">
        <f>VLOOKUP(A1067,logos!$A$2:$A$10004,1,FALSE)</f>
        <v>#N/A</v>
      </c>
    </row>
    <row r="1068" spans="1:13" hidden="1" x14ac:dyDescent="0.55000000000000004">
      <c r="A1068" t="s">
        <v>2886</v>
      </c>
      <c r="B1068" t="s">
        <v>1663</v>
      </c>
      <c r="C1068" t="s">
        <v>2322</v>
      </c>
      <c r="D1068" t="s">
        <v>1657</v>
      </c>
      <c r="E1068" t="s">
        <v>23</v>
      </c>
      <c r="F1068" t="str">
        <f t="shared" si="16"/>
        <v>"C:\Program Files\VideoLAN\VLC\vlc.exe" "http://edge-audio-05-gos2.sharp-stream.com:80/qr1060.mp3"</v>
      </c>
      <c r="M1068" t="e">
        <f>VLOOKUP(A1068,logos!$A$2:$A$10004,1,FALSE)</f>
        <v>#N/A</v>
      </c>
    </row>
    <row r="1069" spans="1:13" hidden="1" x14ac:dyDescent="0.55000000000000004">
      <c r="A1069" t="s">
        <v>2887</v>
      </c>
      <c r="B1069" t="s">
        <v>1663</v>
      </c>
      <c r="C1069" t="s">
        <v>2324</v>
      </c>
      <c r="D1069" t="s">
        <v>1657</v>
      </c>
      <c r="E1069" t="s">
        <v>23</v>
      </c>
      <c r="F1069" t="str">
        <f t="shared" si="16"/>
        <v>"C:\Program Files\VideoLAN\VLC\vlc.exe" "http://edge-audio-05-gos2.sharp-stream.com:80/qr1005.mp3"</v>
      </c>
      <c r="M1069" t="e">
        <f>VLOOKUP(A1069,logos!$A$2:$A$10004,1,FALSE)</f>
        <v>#N/A</v>
      </c>
    </row>
    <row r="1070" spans="1:13" hidden="1" x14ac:dyDescent="0.55000000000000004">
      <c r="A1070" t="s">
        <v>2888</v>
      </c>
      <c r="B1070" t="s">
        <v>1663</v>
      </c>
      <c r="C1070" t="s">
        <v>2326</v>
      </c>
      <c r="D1070" t="s">
        <v>1657</v>
      </c>
      <c r="E1070" t="s">
        <v>23</v>
      </c>
      <c r="F1070" t="str">
        <f t="shared" si="16"/>
        <v>"C:\Program Files\VideoLAN\VLC\vlc.exe" "http://edge-audio-05-gos2.sharp-stream.com:80/qr1012.mp3"</v>
      </c>
      <c r="M1070" t="e">
        <f>VLOOKUP(A1070,logos!$A$2:$A$10004,1,FALSE)</f>
        <v>#N/A</v>
      </c>
    </row>
    <row r="1071" spans="1:13" hidden="1" x14ac:dyDescent="0.55000000000000004">
      <c r="A1071" t="s">
        <v>1005</v>
      </c>
      <c r="B1071" t="s">
        <v>1663</v>
      </c>
      <c r="C1071" t="s">
        <v>1004</v>
      </c>
      <c r="D1071" t="s">
        <v>1657</v>
      </c>
      <c r="E1071" t="s">
        <v>23</v>
      </c>
      <c r="F1071" t="str">
        <f t="shared" si="16"/>
        <v>"C:\Program Files\VideoLAN\VLC\vlc.exe" "http://5.135.154.69:8888/;"</v>
      </c>
      <c r="M1071" t="e">
        <f>VLOOKUP(A1071,logos!$A$2:$A$10004,1,FALSE)</f>
        <v>#N/A</v>
      </c>
    </row>
    <row r="1072" spans="1:13" hidden="1" x14ac:dyDescent="0.55000000000000004">
      <c r="A1072" t="s">
        <v>1005</v>
      </c>
      <c r="B1072" t="s">
        <v>1663</v>
      </c>
      <c r="C1072" t="s">
        <v>1004</v>
      </c>
      <c r="D1072" t="s">
        <v>1657</v>
      </c>
      <c r="E1072" t="s">
        <v>23</v>
      </c>
      <c r="F1072" t="str">
        <f t="shared" si="16"/>
        <v>"C:\Program Files\VideoLAN\VLC\vlc.exe" "http://5.135.154.69:8888/;"</v>
      </c>
      <c r="M1072" t="e">
        <f>VLOOKUP(A1072,logos!$A$2:$A$10004,1,FALSE)</f>
        <v>#N/A</v>
      </c>
    </row>
    <row r="1073" spans="1:13" hidden="1" x14ac:dyDescent="0.55000000000000004">
      <c r="A1073" t="s">
        <v>1007</v>
      </c>
      <c r="B1073" t="s">
        <v>1663</v>
      </c>
      <c r="C1073" t="s">
        <v>1006</v>
      </c>
      <c r="D1073" t="s">
        <v>1657</v>
      </c>
      <c r="E1073" t="s">
        <v>23</v>
      </c>
      <c r="F1073" t="str">
        <f t="shared" si="16"/>
        <v>"C:\Program Files\VideoLAN\VLC\vlc.exe" "http://stream1.hippynet.co.uk:8061/stream"</v>
      </c>
      <c r="M1073" t="e">
        <f>VLOOKUP(A1073,logos!$A$2:$A$10004,1,FALSE)</f>
        <v>#N/A</v>
      </c>
    </row>
    <row r="1074" spans="1:13" hidden="1" x14ac:dyDescent="0.55000000000000004">
      <c r="A1074" t="s">
        <v>1009</v>
      </c>
      <c r="B1074" t="s">
        <v>1663</v>
      </c>
      <c r="C1074" t="s">
        <v>1008</v>
      </c>
      <c r="D1074" t="s">
        <v>1657</v>
      </c>
      <c r="E1074" t="s">
        <v>23</v>
      </c>
      <c r="F1074" t="str">
        <f t="shared" si="16"/>
        <v>"C:\Program Files\VideoLAN\VLC\vlc.exe" "http://playoutonestreaming.com:8147/mp3"</v>
      </c>
      <c r="M1074" t="e">
        <f>VLOOKUP(A1074,logos!$A$2:$A$10004,1,FALSE)</f>
        <v>#N/A</v>
      </c>
    </row>
    <row r="1075" spans="1:13" hidden="1" x14ac:dyDescent="0.55000000000000004">
      <c r="A1075" t="s">
        <v>1013</v>
      </c>
      <c r="B1075" t="s">
        <v>1663</v>
      </c>
      <c r="C1075" t="s">
        <v>1012</v>
      </c>
      <c r="D1075" t="s">
        <v>1657</v>
      </c>
      <c r="E1075" t="s">
        <v>23</v>
      </c>
      <c r="F1075" t="str">
        <f t="shared" si="16"/>
        <v>"C:\Program Files\VideoLAN\VLC\vlc.exe" "http://listen-nation.sharp-stream.com/tccarmarthenshire.mp3?ref=RF"</v>
      </c>
      <c r="M1075" t="e">
        <f>VLOOKUP(A1075,logos!$A$2:$A$10004,1,FALSE)</f>
        <v>#N/A</v>
      </c>
    </row>
    <row r="1076" spans="1:13" hidden="1" x14ac:dyDescent="0.55000000000000004">
      <c r="A1076" t="s">
        <v>1016</v>
      </c>
      <c r="B1076" t="s">
        <v>1663</v>
      </c>
      <c r="C1076" t="s">
        <v>1019</v>
      </c>
      <c r="D1076" t="s">
        <v>1657</v>
      </c>
      <c r="E1076" t="s">
        <v>23</v>
      </c>
      <c r="F1076" t="str">
        <f t="shared" si="16"/>
        <v>"C:\Program Files\VideoLAN\VLC\vlc.exe" "http://sc2.radiocaroline.net:10558/;"</v>
      </c>
      <c r="M1076" t="e">
        <f>VLOOKUP(A1076,logos!$A$2:$A$10004,1,FALSE)</f>
        <v>#N/A</v>
      </c>
    </row>
    <row r="1077" spans="1:13" hidden="1" x14ac:dyDescent="0.55000000000000004">
      <c r="A1077" t="s">
        <v>2889</v>
      </c>
      <c r="B1077" t="s">
        <v>1663</v>
      </c>
      <c r="C1077" t="s">
        <v>1020</v>
      </c>
      <c r="D1077" t="s">
        <v>1657</v>
      </c>
      <c r="E1077" t="s">
        <v>23</v>
      </c>
      <c r="F1077" t="str">
        <f t="shared" si="16"/>
        <v>"C:\Program Files\VideoLAN\VLC\vlc.exe" "http://philae.shoutca.st:8459/stream"</v>
      </c>
      <c r="M1077" t="e">
        <f>VLOOKUP(A1077,logos!$A$2:$A$10004,1,FALSE)</f>
        <v>#N/A</v>
      </c>
    </row>
    <row r="1078" spans="1:13" hidden="1" x14ac:dyDescent="0.55000000000000004">
      <c r="A1078" t="s">
        <v>2890</v>
      </c>
      <c r="B1078" t="s">
        <v>1663</v>
      </c>
      <c r="C1078" t="s">
        <v>1028</v>
      </c>
      <c r="D1078" t="s">
        <v>1657</v>
      </c>
      <c r="E1078" t="s">
        <v>23</v>
      </c>
      <c r="F1078" t="str">
        <f t="shared" si="16"/>
        <v>"C:\Program Files\VideoLAN\VLC\vlc.exe" "http://streams.radio.co:80/sf2a4d9132/listen"</v>
      </c>
      <c r="M1078" t="e">
        <f>VLOOKUP(A1078,logos!$A$2:$A$10004,1,FALSE)</f>
        <v>#N/A</v>
      </c>
    </row>
    <row r="1079" spans="1:13" hidden="1" x14ac:dyDescent="0.55000000000000004">
      <c r="A1079" t="s">
        <v>2891</v>
      </c>
      <c r="B1079" t="s">
        <v>1663</v>
      </c>
      <c r="C1079" t="s">
        <v>1030</v>
      </c>
      <c r="D1079" t="s">
        <v>1657</v>
      </c>
      <c r="E1079" t="s">
        <v>23</v>
      </c>
      <c r="F1079" t="str">
        <f t="shared" si="16"/>
        <v>"C:\Program Files\VideoLAN\VLC\vlc.exe" "http://s4.radio.co:80/sd9ae042f5/listen"</v>
      </c>
      <c r="M1079" t="e">
        <f>VLOOKUP(A1079,logos!$A$2:$A$10004,1,FALSE)</f>
        <v>#N/A</v>
      </c>
    </row>
    <row r="1080" spans="1:13" hidden="1" x14ac:dyDescent="0.55000000000000004">
      <c r="A1080" t="s">
        <v>1037</v>
      </c>
      <c r="B1080" t="s">
        <v>1663</v>
      </c>
      <c r="C1080" t="s">
        <v>1036</v>
      </c>
      <c r="D1080" t="s">
        <v>1657</v>
      </c>
      <c r="E1080" t="s">
        <v>23</v>
      </c>
      <c r="F1080" t="str">
        <f t="shared" si="16"/>
        <v>"C:\Program Files\VideoLAN\VLC\vlc.exe" "http://edge-audio-02-thn.sharp-stream.com:80/khushkhabri.mp3"</v>
      </c>
      <c r="M1080" t="e">
        <f>VLOOKUP(A1080,logos!$A$2:$A$10004,1,FALSE)</f>
        <v>#N/A</v>
      </c>
    </row>
    <row r="1081" spans="1:13" hidden="1" x14ac:dyDescent="0.55000000000000004">
      <c r="A1081" t="s">
        <v>1044</v>
      </c>
      <c r="B1081" t="s">
        <v>1663</v>
      </c>
      <c r="C1081" t="s">
        <v>1043</v>
      </c>
      <c r="D1081" t="s">
        <v>1657</v>
      </c>
      <c r="E1081" t="s">
        <v>23</v>
      </c>
      <c r="F1081" t="str">
        <f t="shared" si="16"/>
        <v>"C:\Program Files\VideoLAN\VLC\vlc.exe" "http://listen-nation.sharp-stream.com/tcpembrokeshire.mp3?ref=RF"</v>
      </c>
      <c r="M1081" t="e">
        <f>VLOOKUP(A1081,logos!$A$2:$A$10004,1,FALSE)</f>
        <v>#N/A</v>
      </c>
    </row>
    <row r="1082" spans="1:13" hidden="1" x14ac:dyDescent="0.55000000000000004">
      <c r="A1082" t="s">
        <v>1049</v>
      </c>
      <c r="B1082" t="s">
        <v>1663</v>
      </c>
      <c r="C1082" t="s">
        <v>1048</v>
      </c>
      <c r="D1082" t="s">
        <v>1657</v>
      </c>
      <c r="E1082" t="s">
        <v>23</v>
      </c>
      <c r="F1082" t="str">
        <f t="shared" si="16"/>
        <v>"C:\Program Files\VideoLAN\VLC\vlc.exe" "http://comet.shoutca.st:8338/live"</v>
      </c>
      <c r="M1082" t="e">
        <f>VLOOKUP(A1082,logos!$A$2:$A$10004,1,FALSE)</f>
        <v>#N/A</v>
      </c>
    </row>
    <row r="1083" spans="1:13" hidden="1" x14ac:dyDescent="0.55000000000000004">
      <c r="A1083" t="s">
        <v>1051</v>
      </c>
      <c r="B1083" t="s">
        <v>1663</v>
      </c>
      <c r="C1083" t="s">
        <v>1050</v>
      </c>
      <c r="D1083" t="s">
        <v>1657</v>
      </c>
      <c r="E1083" t="s">
        <v>23</v>
      </c>
      <c r="F1083" t="str">
        <f t="shared" si="16"/>
        <v>"C:\Program Files\VideoLAN\VLC\vlc.exe" "http://streaming.broadcastradio.com:11450/radioup"</v>
      </c>
      <c r="M1083" t="e">
        <f>VLOOKUP(A1083,logos!$A$2:$A$10004,1,FALSE)</f>
        <v>#N/A</v>
      </c>
    </row>
    <row r="1084" spans="1:13" hidden="1" x14ac:dyDescent="0.55000000000000004">
      <c r="A1084" t="s">
        <v>2800</v>
      </c>
      <c r="B1084" t="s">
        <v>1663</v>
      </c>
      <c r="C1084" t="s">
        <v>1054</v>
      </c>
      <c r="D1084" t="s">
        <v>1657</v>
      </c>
      <c r="E1084" t="s">
        <v>23</v>
      </c>
      <c r="F1084" t="str">
        <f t="shared" si="16"/>
        <v>"C:\Program Files\VideoLAN\VLC\vlc.exe" "http://icecast.thisisdax.com/RadioXLondonMP3"</v>
      </c>
      <c r="M1084" t="e">
        <f>VLOOKUP(A1084,logos!$A$2:$A$10004,1,FALSE)</f>
        <v>#N/A</v>
      </c>
    </row>
    <row r="1085" spans="1:13" hidden="1" x14ac:dyDescent="0.55000000000000004">
      <c r="A1085" t="s">
        <v>2801</v>
      </c>
      <c r="B1085" t="s">
        <v>1663</v>
      </c>
      <c r="C1085" t="s">
        <v>1056</v>
      </c>
      <c r="D1085" t="s">
        <v>1657</v>
      </c>
      <c r="E1085" t="s">
        <v>23</v>
      </c>
      <c r="F1085" t="str">
        <f t="shared" si="16"/>
        <v>"C:\Program Files\VideoLAN\VLC\vlc.exe" "http://icecast.thisisdax.com/RadioXManchesterMP3"</v>
      </c>
      <c r="M1085" t="e">
        <f>VLOOKUP(A1085,logos!$A$2:$A$10004,1,FALSE)</f>
        <v>#N/A</v>
      </c>
    </row>
    <row r="1086" spans="1:13" hidden="1" x14ac:dyDescent="0.55000000000000004">
      <c r="A1086" t="s">
        <v>2802</v>
      </c>
      <c r="B1086" t="s">
        <v>1663</v>
      </c>
      <c r="C1086" t="s">
        <v>1058</v>
      </c>
      <c r="D1086" t="s">
        <v>1657</v>
      </c>
      <c r="E1086" t="s">
        <v>23</v>
      </c>
      <c r="F1086" t="str">
        <f t="shared" si="16"/>
        <v>"C:\Program Files\VideoLAN\VLC\vlc.exe" "http://icecast.thisisdax.com/RadioXUKMP3"</v>
      </c>
      <c r="M1086" t="str">
        <f>VLOOKUP(A1086,logos!$A$2:$A$10004,1,FALSE)</f>
        <v>Radio X (UK)</v>
      </c>
    </row>
    <row r="1087" spans="1:13" hidden="1" x14ac:dyDescent="0.55000000000000004">
      <c r="A1087" t="s">
        <v>1063</v>
      </c>
      <c r="B1087" t="s">
        <v>1663</v>
      </c>
      <c r="C1087" t="s">
        <v>1062</v>
      </c>
      <c r="D1087" t="s">
        <v>1657</v>
      </c>
      <c r="E1087" t="s">
        <v>23</v>
      </c>
      <c r="F1087" t="str">
        <f t="shared" si="16"/>
        <v>"C:\Program Files\VideoLAN\VLC\vlc.exe" "http://pollux.shoutca.st:8874/stream"</v>
      </c>
      <c r="M1087" t="e">
        <f>VLOOKUP(A1087,logos!$A$2:$A$10004,1,FALSE)</f>
        <v>#N/A</v>
      </c>
    </row>
    <row r="1088" spans="1:13" hidden="1" x14ac:dyDescent="0.55000000000000004">
      <c r="A1088" t="s">
        <v>2892</v>
      </c>
      <c r="B1088" t="s">
        <v>1663</v>
      </c>
      <c r="C1088" t="s">
        <v>2329</v>
      </c>
      <c r="D1088" t="s">
        <v>1657</v>
      </c>
      <c r="E1088" t="s">
        <v>23</v>
      </c>
      <c r="F1088" t="str">
        <f t="shared" si="16"/>
        <v>"C:\Program Files\VideoLAN\VLC\vlc.exe" "http://listen.radioking.com/radio/416320/stream/469264?ref=RF"</v>
      </c>
      <c r="M1088" t="e">
        <f>VLOOKUP(A1088,logos!$A$2:$A$10004,1,FALSE)</f>
        <v>#N/A</v>
      </c>
    </row>
    <row r="1089" spans="1:13" hidden="1" x14ac:dyDescent="0.55000000000000004">
      <c r="A1089" t="s">
        <v>1074</v>
      </c>
      <c r="B1089" t="s">
        <v>1663</v>
      </c>
      <c r="C1089" t="s">
        <v>1073</v>
      </c>
      <c r="D1089" t="s">
        <v>1657</v>
      </c>
      <c r="E1089" t="s">
        <v>23</v>
      </c>
      <c r="F1089" t="str">
        <f t="shared" si="16"/>
        <v>"C:\Program Files\VideoLAN\VLC\vlc.exe" "http://s4.radio.co:80/s2eaa194f6/listen"</v>
      </c>
      <c r="M1089" t="e">
        <f>VLOOKUP(A1089,logos!$A$2:$A$10004,1,FALSE)</f>
        <v>#N/A</v>
      </c>
    </row>
    <row r="1090" spans="1:13" hidden="1" x14ac:dyDescent="0.55000000000000004">
      <c r="A1090" t="s">
        <v>2893</v>
      </c>
      <c r="B1090" t="s">
        <v>1663</v>
      </c>
      <c r="C1090" t="s">
        <v>1075</v>
      </c>
      <c r="D1090" t="s">
        <v>1657</v>
      </c>
      <c r="E1090" t="s">
        <v>23</v>
      </c>
      <c r="F1090" t="str">
        <f t="shared" si="16"/>
        <v>"C:\Program Files\VideoLAN\VLC\vlc.exe" "http://stream2.hippynet.co.uk:8010/live"</v>
      </c>
      <c r="M1090" t="e">
        <f>VLOOKUP(A1090,logos!$A$2:$A$10004,1,FALSE)</f>
        <v>#N/A</v>
      </c>
    </row>
    <row r="1091" spans="1:13" hidden="1" x14ac:dyDescent="0.55000000000000004">
      <c r="A1091" t="s">
        <v>1080</v>
      </c>
      <c r="B1091" t="s">
        <v>1663</v>
      </c>
      <c r="C1091" t="s">
        <v>1079</v>
      </c>
      <c r="D1091" t="s">
        <v>1657</v>
      </c>
      <c r="E1091" t="s">
        <v>23</v>
      </c>
      <c r="F1091" t="str">
        <f t="shared" ref="F1091:F1154" si="17">"""C:\Program Files\VideoLAN\VLC\vlc.exe"" """&amp;C1091&amp;""""</f>
        <v>"C:\Program Files\VideoLAN\VLC\vlc.exe" "http://radio.riversideradio.com:8216/stream"</v>
      </c>
      <c r="M1091" t="e">
        <f>VLOOKUP(A1091,logos!$A$2:$A$10004,1,FALSE)</f>
        <v>#N/A</v>
      </c>
    </row>
    <row r="1092" spans="1:13" hidden="1" x14ac:dyDescent="0.55000000000000004">
      <c r="A1092" t="s">
        <v>1087</v>
      </c>
      <c r="B1092" t="s">
        <v>1663</v>
      </c>
      <c r="C1092" t="s">
        <v>1088</v>
      </c>
      <c r="D1092" t="s">
        <v>1657</v>
      </c>
      <c r="E1092" t="s">
        <v>23</v>
      </c>
      <c r="F1092" t="str">
        <f t="shared" si="17"/>
        <v>"C:\Program Files\VideoLAN\VLC\vlc.exe" "http://149.255.59.3:8075/stream"</v>
      </c>
      <c r="M1092" t="str">
        <f>VLOOKUP(A1092,logos!$A$2:$A$10004,1,FALSE)</f>
        <v>Rother Radio</v>
      </c>
    </row>
    <row r="1093" spans="1:13" hidden="1" x14ac:dyDescent="0.55000000000000004">
      <c r="A1093" t="s">
        <v>1090</v>
      </c>
      <c r="B1093" t="s">
        <v>1663</v>
      </c>
      <c r="C1093" t="s">
        <v>1089</v>
      </c>
      <c r="D1093" t="s">
        <v>1657</v>
      </c>
      <c r="E1093" t="s">
        <v>23</v>
      </c>
      <c r="F1093" t="str">
        <f t="shared" si="17"/>
        <v>"C:\Program Files\VideoLAN\VLC\vlc.exe" "http://mp3streaming.planetwideradio.com:9125/ruach"</v>
      </c>
      <c r="M1093" t="e">
        <f>VLOOKUP(A1093,logos!$A$2:$A$10004,1,FALSE)</f>
        <v>#N/A</v>
      </c>
    </row>
    <row r="1094" spans="1:13" hidden="1" x14ac:dyDescent="0.55000000000000004">
      <c r="A1094" t="s">
        <v>1092</v>
      </c>
      <c r="B1094" t="s">
        <v>1663</v>
      </c>
      <c r="C1094" t="s">
        <v>1091</v>
      </c>
      <c r="D1094" t="s">
        <v>1657</v>
      </c>
      <c r="E1094" t="s">
        <v>23</v>
      </c>
      <c r="F1094" t="str">
        <f t="shared" si="17"/>
        <v>"C:\Program Files\VideoLAN\VLC\vlc.exe" "http://stream3.themediasite.co.uk:8036/stream"</v>
      </c>
      <c r="M1094" t="e">
        <f>VLOOKUP(A1094,logos!$A$2:$A$10004,1,FALSE)</f>
        <v>#N/A</v>
      </c>
    </row>
    <row r="1095" spans="1:13" hidden="1" x14ac:dyDescent="0.55000000000000004">
      <c r="A1095" t="s">
        <v>1094</v>
      </c>
      <c r="B1095" t="s">
        <v>1663</v>
      </c>
      <c r="C1095" t="s">
        <v>1093</v>
      </c>
      <c r="D1095" t="s">
        <v>1657</v>
      </c>
      <c r="E1095" t="s">
        <v>23</v>
      </c>
      <c r="F1095" t="str">
        <f t="shared" si="17"/>
        <v>"C:\Program Files\VideoLAN\VLC\vlc.exe" "http://radio.canstream.co.uk:8025/live.mp3"</v>
      </c>
      <c r="M1095" t="e">
        <f>VLOOKUP(A1095,logos!$A$2:$A$10004,1,FALSE)</f>
        <v>#N/A</v>
      </c>
    </row>
    <row r="1096" spans="1:13" hidden="1" x14ac:dyDescent="0.55000000000000004">
      <c r="A1096" t="s">
        <v>1100</v>
      </c>
      <c r="B1096" t="s">
        <v>1663</v>
      </c>
      <c r="C1096" t="s">
        <v>1099</v>
      </c>
      <c r="D1096" t="s">
        <v>1657</v>
      </c>
      <c r="E1096" t="s">
        <v>23</v>
      </c>
      <c r="F1096" t="str">
        <f t="shared" si="17"/>
        <v>"C:\Program Files\VideoLAN\VLC\vlc.exe" "http://playoutonestreaming.com:8038/stream"</v>
      </c>
      <c r="M1096" t="e">
        <f>VLOOKUP(A1096,logos!$A$2:$A$10004,1,FALSE)</f>
        <v>#N/A</v>
      </c>
    </row>
    <row r="1097" spans="1:13" hidden="1" x14ac:dyDescent="0.55000000000000004">
      <c r="A1097" t="s">
        <v>1106</v>
      </c>
      <c r="B1097" t="s">
        <v>1663</v>
      </c>
      <c r="C1097" t="s">
        <v>1105</v>
      </c>
      <c r="D1097" t="s">
        <v>1657</v>
      </c>
      <c r="E1097" t="s">
        <v>23</v>
      </c>
      <c r="F1097" t="str">
        <f t="shared" si="17"/>
        <v>"C:\Program Files\VideoLAN\VLC\vlc.exe" "http://uksouth.streaming.broadcast.radio:16280/scratch"</v>
      </c>
      <c r="M1097" t="e">
        <f>VLOOKUP(A1097,logos!$A$2:$A$10004,1,FALSE)</f>
        <v>#N/A</v>
      </c>
    </row>
    <row r="1098" spans="1:13" hidden="1" x14ac:dyDescent="0.55000000000000004">
      <c r="A1098" t="s">
        <v>1108</v>
      </c>
      <c r="B1098" t="s">
        <v>1663</v>
      </c>
      <c r="C1098" t="s">
        <v>1107</v>
      </c>
      <c r="D1098" t="s">
        <v>1657</v>
      </c>
      <c r="E1098" t="s">
        <v>23</v>
      </c>
      <c r="F1098" t="str">
        <f t="shared" si="17"/>
        <v>"C:\Program Files\VideoLAN\VLC\vlc.exe" "http://s3.radio.co:80/sd4abfe69e/listen"</v>
      </c>
      <c r="M1098" t="e">
        <f>VLOOKUP(A1098,logos!$A$2:$A$10004,1,FALSE)</f>
        <v>#N/A</v>
      </c>
    </row>
    <row r="1099" spans="1:13" hidden="1" x14ac:dyDescent="0.55000000000000004">
      <c r="A1099" t="s">
        <v>1110</v>
      </c>
      <c r="B1099" t="s">
        <v>1663</v>
      </c>
      <c r="C1099" t="s">
        <v>1109</v>
      </c>
      <c r="D1099" t="s">
        <v>1657</v>
      </c>
      <c r="E1099" t="s">
        <v>23</v>
      </c>
      <c r="F1099" t="str">
        <f t="shared" si="17"/>
        <v>"C:\Program Files\VideoLAN\VLC\vlc.exe" "http://tx9.zetcast.net:8100/stream2?ref=RF"</v>
      </c>
      <c r="M1099" t="e">
        <f>VLOOKUP(A1099,logos!$A$2:$A$10004,1,FALSE)</f>
        <v>#N/A</v>
      </c>
    </row>
    <row r="1100" spans="1:13" hidden="1" x14ac:dyDescent="0.55000000000000004">
      <c r="A1100" t="s">
        <v>1115</v>
      </c>
      <c r="B1100" t="s">
        <v>1663</v>
      </c>
      <c r="C1100" t="s">
        <v>2334</v>
      </c>
      <c r="D1100" t="s">
        <v>1657</v>
      </c>
      <c r="E1100" t="s">
        <v>23</v>
      </c>
      <c r="F1100" t="str">
        <f t="shared" si="17"/>
        <v>"C:\Program Files\VideoLAN\VLC\vlc.exe" "http://edge-audio-02-thn.sharp-stream.com:80/tcsilk.mp3"</v>
      </c>
      <c r="M1100" t="e">
        <f>VLOOKUP(A1100,logos!$A$2:$A$10004,1,FALSE)</f>
        <v>#N/A</v>
      </c>
    </row>
    <row r="1101" spans="1:13" hidden="1" x14ac:dyDescent="0.55000000000000004">
      <c r="A1101" t="s">
        <v>1122</v>
      </c>
      <c r="B1101" t="s">
        <v>1663</v>
      </c>
      <c r="C1101" t="s">
        <v>1121</v>
      </c>
      <c r="D1101" t="s">
        <v>1657</v>
      </c>
      <c r="E1101" t="s">
        <v>23</v>
      </c>
      <c r="F1101" t="str">
        <f t="shared" si="17"/>
        <v>"C:\Program Files\VideoLAN\VLC\vlc.exe" "http://icecast.thisisdax.com/SmoothChillMP3"</v>
      </c>
      <c r="M1101" t="str">
        <f>VLOOKUP(A1101,logos!$A$2:$A$10004,1,FALSE)</f>
        <v>Smooth Chill</v>
      </c>
    </row>
    <row r="1102" spans="1:13" hidden="1" x14ac:dyDescent="0.55000000000000004">
      <c r="A1102" t="s">
        <v>1125</v>
      </c>
      <c r="B1102" t="s">
        <v>1663</v>
      </c>
      <c r="C1102" t="s">
        <v>1124</v>
      </c>
      <c r="D1102" t="s">
        <v>1657</v>
      </c>
      <c r="E1102" t="s">
        <v>23</v>
      </c>
      <c r="F1102" t="str">
        <f t="shared" si="17"/>
        <v>"C:\Program Files\VideoLAN\VLC\vlc.exe" "http://icecast.thisisdax.com/SmoothCountryMP3"</v>
      </c>
      <c r="M1102" t="str">
        <f>VLOOKUP(A1102,logos!$A$2:$A$10004,1,FALSE)</f>
        <v>Smooth Country</v>
      </c>
    </row>
    <row r="1103" spans="1:13" hidden="1" x14ac:dyDescent="0.55000000000000004">
      <c r="A1103" t="s">
        <v>2803</v>
      </c>
      <c r="B1103" t="s">
        <v>1663</v>
      </c>
      <c r="C1103" t="s">
        <v>1126</v>
      </c>
      <c r="D1103" t="s">
        <v>1657</v>
      </c>
      <c r="E1103" t="s">
        <v>23</v>
      </c>
      <c r="F1103" t="str">
        <f t="shared" si="17"/>
        <v>"C:\Program Files\VideoLAN\VLC\vlc.exe" "http://icecast.thisisdax.com/SmoothBristolMP3"</v>
      </c>
      <c r="M1103" t="str">
        <f>VLOOKUP(A1103,logos!$A$2:$A$10004,1,FALSE)</f>
        <v>Smooth Radio (Bristol &amp; Bath)</v>
      </c>
    </row>
    <row r="1104" spans="1:13" hidden="1" x14ac:dyDescent="0.55000000000000004">
      <c r="A1104" t="s">
        <v>2804</v>
      </c>
      <c r="B1104" t="s">
        <v>1663</v>
      </c>
      <c r="C1104" t="s">
        <v>1128</v>
      </c>
      <c r="D1104" t="s">
        <v>1657</v>
      </c>
      <c r="E1104" t="s">
        <v>23</v>
      </c>
      <c r="F1104" t="str">
        <f t="shared" si="17"/>
        <v>"C:\Program Files\VideoLAN\VLC\vlc.exe" "http://icecast.thisisdax.com/SmoothDorsetMP3"</v>
      </c>
      <c r="M1104" t="str">
        <f>VLOOKUP(A1104,logos!$A$2:$A$10004,1,FALSE)</f>
        <v>Smooth Radio (Dorset)</v>
      </c>
    </row>
    <row r="1105" spans="1:13" hidden="1" x14ac:dyDescent="0.55000000000000004">
      <c r="A1105" t="s">
        <v>2805</v>
      </c>
      <c r="B1105" t="s">
        <v>1663</v>
      </c>
      <c r="C1105" t="s">
        <v>1130</v>
      </c>
      <c r="D1105" t="s">
        <v>1657</v>
      </c>
      <c r="E1105" t="s">
        <v>23</v>
      </c>
      <c r="F1105" t="str">
        <f t="shared" si="17"/>
        <v>"C:\Program Files\VideoLAN\VLC\vlc.exe" "http://icecast.thisisdax.com/SmoothDerbyMP3"</v>
      </c>
      <c r="M1105" t="str">
        <f>VLOOKUP(A1105,logos!$A$2:$A$10004,1,FALSE)</f>
        <v>Smooth Radio (East Midlands) (Derbyshire)</v>
      </c>
    </row>
    <row r="1106" spans="1:13" hidden="1" x14ac:dyDescent="0.55000000000000004">
      <c r="A1106" t="s">
        <v>2806</v>
      </c>
      <c r="B1106" t="s">
        <v>1663</v>
      </c>
      <c r="C1106" t="s">
        <v>1132</v>
      </c>
      <c r="D1106" t="s">
        <v>1657</v>
      </c>
      <c r="E1106" t="s">
        <v>23</v>
      </c>
      <c r="F1106" t="str">
        <f t="shared" si="17"/>
        <v>"C:\Program Files\VideoLAN\VLC\vlc.exe" "http://icecast.thisisdax.com/SmoothEastMidsMP3"</v>
      </c>
      <c r="M1106" t="str">
        <f>VLOOKUP(A1106,logos!$A$2:$A$10004,1,FALSE)</f>
        <v>Smooth Radio (East Midlands) (East Midlands)</v>
      </c>
    </row>
    <row r="1107" spans="1:13" hidden="1" x14ac:dyDescent="0.55000000000000004">
      <c r="A1107" t="s">
        <v>2807</v>
      </c>
      <c r="B1107" t="s">
        <v>1663</v>
      </c>
      <c r="C1107" t="s">
        <v>1134</v>
      </c>
      <c r="D1107" t="s">
        <v>1657</v>
      </c>
      <c r="E1107" t="s">
        <v>23</v>
      </c>
      <c r="F1107" t="str">
        <f t="shared" si="17"/>
        <v>"C:\Program Files\VideoLAN\VLC\vlc.exe" "http://icecast.thisisdax.com/SmoothNorthantsMP3"</v>
      </c>
      <c r="M1107" t="str">
        <f>VLOOKUP(A1107,logos!$A$2:$A$10004,1,FALSE)</f>
        <v>Smooth Radio (East Midlands) (Northamptonshire &amp; Peterborough)</v>
      </c>
    </row>
    <row r="1108" spans="1:13" hidden="1" x14ac:dyDescent="0.55000000000000004">
      <c r="A1108" t="s">
        <v>2808</v>
      </c>
      <c r="B1108" t="s">
        <v>1663</v>
      </c>
      <c r="C1108" t="s">
        <v>1136</v>
      </c>
      <c r="D1108" t="s">
        <v>1657</v>
      </c>
      <c r="E1108" t="s">
        <v>23</v>
      </c>
      <c r="F1108" t="str">
        <f t="shared" si="17"/>
        <v>"C:\Program Files\VideoLAN\VLC\vlc.exe" "http://icecast.thisisdax.com/SmoothEssexMP3"</v>
      </c>
      <c r="M1108" t="str">
        <f>VLOOKUP(A1108,logos!$A$2:$A$10004,1,FALSE)</f>
        <v>Smooth Radio (Essex)</v>
      </c>
    </row>
    <row r="1109" spans="1:13" hidden="1" x14ac:dyDescent="0.55000000000000004">
      <c r="A1109" t="s">
        <v>2809</v>
      </c>
      <c r="B1109" t="s">
        <v>1663</v>
      </c>
      <c r="C1109" t="s">
        <v>1138</v>
      </c>
      <c r="D1109" t="s">
        <v>1657</v>
      </c>
      <c r="E1109" t="s">
        <v>23</v>
      </c>
      <c r="F1109" t="str">
        <f t="shared" si="17"/>
        <v>"C:\Program Files\VideoLAN\VLC\vlc.exe" "http://icecast.thisisdax.com/SmoothGloucesterMP3"</v>
      </c>
      <c r="M1109" t="str">
        <f>VLOOKUP(A1109,logos!$A$2:$A$10004,1,FALSE)</f>
        <v>Smooth Radio (Gloucestershire)</v>
      </c>
    </row>
    <row r="1110" spans="1:13" hidden="1" x14ac:dyDescent="0.55000000000000004">
      <c r="A1110" t="s">
        <v>2810</v>
      </c>
      <c r="B1110" t="s">
        <v>1663</v>
      </c>
      <c r="C1110" t="s">
        <v>1140</v>
      </c>
      <c r="D1110" t="s">
        <v>1657</v>
      </c>
      <c r="E1110" t="s">
        <v>23</v>
      </c>
      <c r="F1110" t="str">
        <f t="shared" si="17"/>
        <v>"C:\Program Files\VideoLAN\VLC\vlc.exe" "http://icecast.thisisdax.com/SmoothHampshireMP3"</v>
      </c>
      <c r="M1110" t="str">
        <f>VLOOKUP(A1110,logos!$A$2:$A$10004,1,FALSE)</f>
        <v>Smooth Radio (Hampshire &amp; West Sussex)</v>
      </c>
    </row>
    <row r="1111" spans="1:13" hidden="1" x14ac:dyDescent="0.55000000000000004">
      <c r="A1111" t="s">
        <v>2811</v>
      </c>
      <c r="B1111" t="s">
        <v>1663</v>
      </c>
      <c r="C1111" t="s">
        <v>1142</v>
      </c>
      <c r="D1111" t="s">
        <v>1657</v>
      </c>
      <c r="E1111" t="s">
        <v>23</v>
      </c>
      <c r="F1111" t="str">
        <f t="shared" si="17"/>
        <v>"C:\Program Files\VideoLAN\VLC\vlc.exe" "http://icecast.thisisdax.com/SmoothHertsMP3"</v>
      </c>
      <c r="M1111" t="str">
        <f>VLOOKUP(A1111,logos!$A$2:$A$10004,1,FALSE)</f>
        <v>Smooth Radio (Herts, Beds &amp; Bucks)</v>
      </c>
    </row>
    <row r="1112" spans="1:13" hidden="1" x14ac:dyDescent="0.55000000000000004">
      <c r="A1112" t="s">
        <v>2812</v>
      </c>
      <c r="B1112" t="s">
        <v>1663</v>
      </c>
      <c r="C1112" t="s">
        <v>1144</v>
      </c>
      <c r="D1112" t="s">
        <v>1657</v>
      </c>
      <c r="E1112" t="s">
        <v>23</v>
      </c>
      <c r="F1112" t="str">
        <f t="shared" si="17"/>
        <v>"C:\Program Files\VideoLAN\VLC\vlc.exe" "http://icecast.thisisdax.com/SmoothKentMP3"</v>
      </c>
      <c r="M1112" t="str">
        <f>VLOOKUP(A1112,logos!$A$2:$A$10004,1,FALSE)</f>
        <v>Smooth Radio (Kent)</v>
      </c>
    </row>
    <row r="1113" spans="1:13" x14ac:dyDescent="0.55000000000000004">
      <c r="A1113" t="s">
        <v>2813</v>
      </c>
      <c r="B1113" t="s">
        <v>1663</v>
      </c>
      <c r="C1113" t="s">
        <v>1146</v>
      </c>
      <c r="D1113" t="s">
        <v>1657</v>
      </c>
      <c r="E1113" t="s">
        <v>23</v>
      </c>
      <c r="F1113" t="str">
        <f t="shared" si="17"/>
        <v>"C:\Program Files\VideoLAN\VLC\vlc.exe" "http://icecast.thisisdax.com/SmoothLakeDistrictMP3"</v>
      </c>
      <c r="M1113" t="str">
        <f>VLOOKUP(A1113,logos!$A$2:$A$10004,1,FALSE)</f>
        <v>Smooth Radio (Lake District)</v>
      </c>
    </row>
    <row r="1114" spans="1:13" hidden="1" x14ac:dyDescent="0.55000000000000004">
      <c r="A1114" t="s">
        <v>2814</v>
      </c>
      <c r="B1114" t="s">
        <v>1663</v>
      </c>
      <c r="C1114" t="s">
        <v>1148</v>
      </c>
      <c r="D1114" t="s">
        <v>1657</v>
      </c>
      <c r="E1114" t="s">
        <v>23</v>
      </c>
      <c r="F1114" t="str">
        <f t="shared" si="17"/>
        <v>"C:\Program Files\VideoLAN\VLC\vlc.exe" "http://icecast.thisisdax.com/SmoothLondonMP3"</v>
      </c>
      <c r="M1114" t="str">
        <f>VLOOKUP(A1114,logos!$A$2:$A$10004,1,FALSE)</f>
        <v>Smooth Radio (London)</v>
      </c>
    </row>
    <row r="1115" spans="1:13" hidden="1" x14ac:dyDescent="0.55000000000000004">
      <c r="A1115" t="s">
        <v>2815</v>
      </c>
      <c r="B1115" t="s">
        <v>1663</v>
      </c>
      <c r="C1115" t="s">
        <v>1150</v>
      </c>
      <c r="D1115" t="s">
        <v>1657</v>
      </c>
      <c r="E1115" t="s">
        <v>23</v>
      </c>
      <c r="F1115" t="str">
        <f t="shared" si="17"/>
        <v>"C:\Program Files\VideoLAN\VLC\vlc.exe" "http://icecast.thisisdax.com/SmoothNorfolkMP3"</v>
      </c>
      <c r="M1115" t="str">
        <f>VLOOKUP(A1115,logos!$A$2:$A$10004,1,FALSE)</f>
        <v>Smooth Radio (Norfolk &amp; North Suffolk)</v>
      </c>
    </row>
    <row r="1116" spans="1:13" hidden="1" x14ac:dyDescent="0.55000000000000004">
      <c r="A1116" t="s">
        <v>2816</v>
      </c>
      <c r="B1116" t="s">
        <v>1663</v>
      </c>
      <c r="C1116" t="s">
        <v>1152</v>
      </c>
      <c r="D1116" t="s">
        <v>1657</v>
      </c>
      <c r="E1116" t="s">
        <v>23</v>
      </c>
      <c r="F1116" t="str">
        <f t="shared" si="17"/>
        <v>"C:\Program Files\VideoLAN\VLC\vlc.exe" "http://icecast.thisisdax.com/SmoothNorthEastSMP3"</v>
      </c>
      <c r="M1116" t="str">
        <f>VLOOKUP(A1116,logos!$A$2:$A$10004,1,FALSE)</f>
        <v>Smooth Radio (North East England) (Teesside)</v>
      </c>
    </row>
    <row r="1117" spans="1:13" hidden="1" x14ac:dyDescent="0.55000000000000004">
      <c r="A1117" t="s">
        <v>2817</v>
      </c>
      <c r="B1117" t="s">
        <v>1663</v>
      </c>
      <c r="C1117" t="s">
        <v>1154</v>
      </c>
      <c r="D1117" t="s">
        <v>1657</v>
      </c>
      <c r="E1117" t="s">
        <v>23</v>
      </c>
      <c r="F1117" t="str">
        <f t="shared" si="17"/>
        <v>"C:\Program Files\VideoLAN\VLC\vlc.exe" "http://icecast.thisisdax.com/SmoothNorthEastNMP3"</v>
      </c>
      <c r="M1117" t="str">
        <f>VLOOKUP(A1117,logos!$A$2:$A$10004,1,FALSE)</f>
        <v>Smooth Radio (North East England) (Tyne &amp; Wear)</v>
      </c>
    </row>
    <row r="1118" spans="1:13" hidden="1" x14ac:dyDescent="0.55000000000000004">
      <c r="A1118" t="s">
        <v>2818</v>
      </c>
      <c r="B1118" t="s">
        <v>1663</v>
      </c>
      <c r="C1118" t="s">
        <v>1156</v>
      </c>
      <c r="D1118" t="s">
        <v>1657</v>
      </c>
      <c r="E1118" t="s">
        <v>23</v>
      </c>
      <c r="F1118" t="str">
        <f t="shared" si="17"/>
        <v>"C:\Program Files\VideoLAN\VLC\vlc.exe" "http://icecast.thisisdax.com/SmoothNorthWalesMP3"</v>
      </c>
      <c r="M1118" t="str">
        <f>VLOOKUP(A1118,logos!$A$2:$A$10004,1,FALSE)</f>
        <v>Smooth Radio (North Wales &amp; Cheshire)</v>
      </c>
    </row>
    <row r="1119" spans="1:13" hidden="1" x14ac:dyDescent="0.55000000000000004">
      <c r="A1119" t="s">
        <v>2819</v>
      </c>
      <c r="B1119" t="s">
        <v>1663</v>
      </c>
      <c r="C1119" t="s">
        <v>1158</v>
      </c>
      <c r="D1119" t="s">
        <v>1657</v>
      </c>
      <c r="E1119" t="s">
        <v>23</v>
      </c>
      <c r="F1119" t="str">
        <f t="shared" si="17"/>
        <v>"C:\Program Files\VideoLAN\VLC\vlc.exe" "http://icecast.thisisdax.com/SmoothNorthWestMP3"</v>
      </c>
      <c r="M1119" t="str">
        <f>VLOOKUP(A1119,logos!$A$2:$A$10004,1,FALSE)</f>
        <v>Smooth Radio (North West England)</v>
      </c>
    </row>
    <row r="1120" spans="1:13" hidden="1" x14ac:dyDescent="0.55000000000000004">
      <c r="A1120" t="s">
        <v>2820</v>
      </c>
      <c r="B1120" t="s">
        <v>1663</v>
      </c>
      <c r="C1120" t="s">
        <v>1160</v>
      </c>
      <c r="D1120" t="s">
        <v>1657</v>
      </c>
      <c r="E1120" t="s">
        <v>23</v>
      </c>
      <c r="F1120" t="str">
        <f t="shared" si="17"/>
        <v>"C:\Program Files\VideoLAN\VLC\vlc.exe" "http://icecast.thisisdax.com/SmoothPlymouthMP3"</v>
      </c>
      <c r="M1120" t="str">
        <f>VLOOKUP(A1120,logos!$A$2:$A$10004,1,FALSE)</f>
        <v>Smooth Radio (Plymouth)</v>
      </c>
    </row>
    <row r="1121" spans="1:13" hidden="1" x14ac:dyDescent="0.55000000000000004">
      <c r="A1121" t="s">
        <v>2821</v>
      </c>
      <c r="B1121" t="s">
        <v>1663</v>
      </c>
      <c r="C1121" t="s">
        <v>1162</v>
      </c>
      <c r="D1121" t="s">
        <v>1657</v>
      </c>
      <c r="E1121" t="s">
        <v>23</v>
      </c>
      <c r="F1121" t="str">
        <f t="shared" si="17"/>
        <v>"C:\Program Files\VideoLAN\VLC\vlc.exe" "http://icecast.thisisdax.com/SmoothScotlandMP3"</v>
      </c>
      <c r="M1121" t="str">
        <f>VLOOKUP(A1121,logos!$A$2:$A$10004,1,FALSE)</f>
        <v>Smooth Radio (Scotland)</v>
      </c>
    </row>
    <row r="1122" spans="1:13" hidden="1" x14ac:dyDescent="0.55000000000000004">
      <c r="A1122" t="s">
        <v>2822</v>
      </c>
      <c r="B1122" t="s">
        <v>1663</v>
      </c>
      <c r="C1122" t="s">
        <v>1164</v>
      </c>
      <c r="D1122" t="s">
        <v>1657</v>
      </c>
      <c r="E1122" t="s">
        <v>23</v>
      </c>
      <c r="F1122" t="str">
        <f t="shared" si="17"/>
        <v>"C:\Program Files\VideoLAN\VLC\vlc.exe" "http://icecast.thisisdax.com/SmoothSouthWalesMP3"</v>
      </c>
      <c r="M1122" t="str">
        <f>VLOOKUP(A1122,logos!$A$2:$A$10004,1,FALSE)</f>
        <v>Smooth Radio (South Wales)</v>
      </c>
    </row>
    <row r="1123" spans="1:13" hidden="1" x14ac:dyDescent="0.55000000000000004">
      <c r="A1123" t="s">
        <v>2823</v>
      </c>
      <c r="B1123" t="s">
        <v>1663</v>
      </c>
      <c r="C1123" t="s">
        <v>1166</v>
      </c>
      <c r="D1123" t="s">
        <v>1657</v>
      </c>
      <c r="E1123" t="s">
        <v>23</v>
      </c>
      <c r="F1123" t="str">
        <f t="shared" si="17"/>
        <v>"C:\Program Files\VideoLAN\VLC\vlc.exe" "http://icecast.thisisdax.com/SmoothSuffolkMP3"</v>
      </c>
      <c r="M1123" t="str">
        <f>VLOOKUP(A1123,logos!$A$2:$A$10004,1,FALSE)</f>
        <v>Smooth Radio (Suffolk)</v>
      </c>
    </row>
    <row r="1124" spans="1:13" hidden="1" x14ac:dyDescent="0.55000000000000004">
      <c r="A1124" t="s">
        <v>2824</v>
      </c>
      <c r="B1124" t="s">
        <v>1663</v>
      </c>
      <c r="C1124" t="s">
        <v>1168</v>
      </c>
      <c r="D1124" t="s">
        <v>1657</v>
      </c>
      <c r="E1124" t="s">
        <v>23</v>
      </c>
      <c r="F1124" t="str">
        <f t="shared" si="17"/>
        <v>"C:\Program Files\VideoLAN\VLC\vlc.exe" "http://icecast.thisisdax.com/SmoothSussexMP3"</v>
      </c>
      <c r="M1124" t="str">
        <f>VLOOKUP(A1124,logos!$A$2:$A$10004,1,FALSE)</f>
        <v>Smooth Radio (Sussex)</v>
      </c>
    </row>
    <row r="1125" spans="1:13" hidden="1" x14ac:dyDescent="0.55000000000000004">
      <c r="A1125" t="s">
        <v>2825</v>
      </c>
      <c r="B1125" t="s">
        <v>1663</v>
      </c>
      <c r="C1125" t="s">
        <v>1170</v>
      </c>
      <c r="D1125" t="s">
        <v>1657</v>
      </c>
      <c r="E1125" t="s">
        <v>23</v>
      </c>
      <c r="F1125" t="str">
        <f t="shared" si="17"/>
        <v>"C:\Program Files\VideoLAN\VLC\vlc.exe" "http://icecast.thisisdax.com/SmoothBerkshireMP3"</v>
      </c>
      <c r="M1125" t="str">
        <f>VLOOKUP(A1125,logos!$A$2:$A$10004,1,FALSE)</f>
        <v>Smooth Radio (Thames Valley)</v>
      </c>
    </row>
    <row r="1126" spans="1:13" hidden="1" x14ac:dyDescent="0.55000000000000004">
      <c r="A1126" t="s">
        <v>2826</v>
      </c>
      <c r="B1126" t="s">
        <v>1663</v>
      </c>
      <c r="C1126" t="s">
        <v>1172</v>
      </c>
      <c r="D1126" t="s">
        <v>1657</v>
      </c>
      <c r="E1126" t="s">
        <v>23</v>
      </c>
      <c r="F1126" t="str">
        <f t="shared" si="17"/>
        <v>"C:\Program Files\VideoLAN\VLC\vlc.exe" "http://icecast.thisisdax.com/SmoothUKMP3"</v>
      </c>
      <c r="M1126" t="str">
        <f>VLOOKUP(A1126,logos!$A$2:$A$10004,1,FALSE)</f>
        <v>Smooth Radio (UK)</v>
      </c>
    </row>
    <row r="1127" spans="1:13" hidden="1" x14ac:dyDescent="0.55000000000000004">
      <c r="A1127" t="s">
        <v>2827</v>
      </c>
      <c r="B1127" t="s">
        <v>1663</v>
      </c>
      <c r="C1127" t="s">
        <v>1174</v>
      </c>
      <c r="D1127" t="s">
        <v>1657</v>
      </c>
      <c r="E1127" t="s">
        <v>23</v>
      </c>
      <c r="F1127" t="str">
        <f t="shared" si="17"/>
        <v>"C:\Program Files\VideoLAN\VLC\vlc.exe" "http://icecast.thisisdax.com/SmoothWestMidsMP3"</v>
      </c>
      <c r="M1127" t="str">
        <f>VLOOKUP(A1127,logos!$A$2:$A$10004,1,FALSE)</f>
        <v>Smooth Radio (West Midlands)</v>
      </c>
    </row>
    <row r="1128" spans="1:13" hidden="1" x14ac:dyDescent="0.55000000000000004">
      <c r="A1128" t="s">
        <v>2828</v>
      </c>
      <c r="B1128" t="s">
        <v>1663</v>
      </c>
      <c r="C1128" t="s">
        <v>1176</v>
      </c>
      <c r="D1128" t="s">
        <v>1657</v>
      </c>
      <c r="E1128" t="s">
        <v>23</v>
      </c>
      <c r="F1128" t="str">
        <f t="shared" si="17"/>
        <v>"C:\Program Files\VideoLAN\VLC\vlc.exe" "http://icecast.thisisdax.com/SmoothWiltshireMP3"</v>
      </c>
      <c r="M1128" t="str">
        <f>VLOOKUP(A1128,logos!$A$2:$A$10004,1,FALSE)</f>
        <v>Smooth Radio (Wiltshire)</v>
      </c>
    </row>
    <row r="1129" spans="1:13" hidden="1" x14ac:dyDescent="0.55000000000000004">
      <c r="A1129" t="s">
        <v>2895</v>
      </c>
      <c r="B1129" t="s">
        <v>1663</v>
      </c>
      <c r="C1129" t="s">
        <v>1178</v>
      </c>
      <c r="D1129" t="s">
        <v>1657</v>
      </c>
      <c r="E1129" t="s">
        <v>23</v>
      </c>
      <c r="F1129" t="str">
        <f t="shared" si="17"/>
        <v>"C:\Program Files\VideoLAN\VLC\vlc.exe" "http://playoutonestreaming.com:8175/mp3"</v>
      </c>
      <c r="M1129" t="e">
        <f>VLOOKUP(A1129,logos!$A$2:$A$10004,1,FALSE)</f>
        <v>#N/A</v>
      </c>
    </row>
    <row r="1130" spans="1:13" hidden="1" x14ac:dyDescent="0.55000000000000004">
      <c r="A1130" t="s">
        <v>1181</v>
      </c>
      <c r="B1130" t="s">
        <v>1663</v>
      </c>
      <c r="C1130" t="s">
        <v>1180</v>
      </c>
      <c r="D1130" t="s">
        <v>1657</v>
      </c>
      <c r="E1130" t="s">
        <v>23</v>
      </c>
      <c r="F1130" t="str">
        <f t="shared" si="17"/>
        <v>"C:\Program Files\VideoLAN\VLC\vlc.exe" "http://svr1.msmn2.co:8324/stream"</v>
      </c>
      <c r="M1130" t="e">
        <f>VLOOKUP(A1130,logos!$A$2:$A$10004,1,FALSE)</f>
        <v>#N/A</v>
      </c>
    </row>
    <row r="1131" spans="1:13" hidden="1" x14ac:dyDescent="0.55000000000000004">
      <c r="A1131" t="s">
        <v>1185</v>
      </c>
      <c r="B1131" t="s">
        <v>1663</v>
      </c>
      <c r="C1131" t="s">
        <v>2181</v>
      </c>
      <c r="D1131" t="s">
        <v>1657</v>
      </c>
      <c r="E1131" t="s">
        <v>23</v>
      </c>
      <c r="F1131" t="str">
        <f t="shared" si="17"/>
        <v>"C:\Program Files\VideoLAN\VLC\vlc.exe" "http://n02a-eu.rcs.revma.com:80/e7c2n0nc508uv"</v>
      </c>
      <c r="M1131" t="str">
        <f>VLOOKUP(A1131,logos!$A$2:$A$10004,1,FALSE)</f>
        <v>Soleil Radio</v>
      </c>
    </row>
    <row r="1132" spans="1:13" hidden="1" x14ac:dyDescent="0.55000000000000004">
      <c r="A1132" t="s">
        <v>1191</v>
      </c>
      <c r="B1132" t="s">
        <v>1663</v>
      </c>
      <c r="C1132" t="s">
        <v>2336</v>
      </c>
      <c r="D1132" t="s">
        <v>1657</v>
      </c>
      <c r="E1132" t="s">
        <v>23</v>
      </c>
      <c r="F1132" t="str">
        <f t="shared" si="17"/>
        <v>"C:\Program Files\VideoLAN\VLC\vlc.exe" "http://edge-audio-02-thn.sharp-stream.com:80/spectrum4.mp3"</v>
      </c>
      <c r="M1132" t="e">
        <f>VLOOKUP(A1132,logos!$A$2:$A$10004,1,FALSE)</f>
        <v>#N/A</v>
      </c>
    </row>
    <row r="1133" spans="1:13" hidden="1" x14ac:dyDescent="0.55000000000000004">
      <c r="A1133" t="s">
        <v>1193</v>
      </c>
      <c r="B1133" t="s">
        <v>1663</v>
      </c>
      <c r="C1133" t="s">
        <v>1192</v>
      </c>
      <c r="D1133" t="s">
        <v>1657</v>
      </c>
      <c r="E1133" t="s">
        <v>23</v>
      </c>
      <c r="F1133" t="str">
        <f t="shared" si="17"/>
        <v>"C:\Program Files\VideoLAN\VLC\vlc.exe" "http://s3.radio.co:80/s59218e461/listen"</v>
      </c>
      <c r="M1133" t="e">
        <f>VLOOKUP(A1133,logos!$A$2:$A$10004,1,FALSE)</f>
        <v>#N/A</v>
      </c>
    </row>
    <row r="1134" spans="1:13" hidden="1" x14ac:dyDescent="0.55000000000000004">
      <c r="A1134" t="s">
        <v>2829</v>
      </c>
      <c r="B1134" t="s">
        <v>1663</v>
      </c>
      <c r="C1134" t="s">
        <v>2183</v>
      </c>
      <c r="D1134" t="s">
        <v>1657</v>
      </c>
      <c r="E1134" t="s">
        <v>23</v>
      </c>
      <c r="F1134" t="str">
        <f t="shared" si="17"/>
        <v>"C:\Program Files\VideoLAN\VLC\vlc.exe" "http://n02a-eu.rcs.revma.com:80/4bxr9kkgewzuv"</v>
      </c>
      <c r="M1134" t="e">
        <f>VLOOKUP(A1134,logos!$A$2:$A$10004,1,FALSE)</f>
        <v>#N/A</v>
      </c>
    </row>
    <row r="1135" spans="1:13" hidden="1" x14ac:dyDescent="0.55000000000000004">
      <c r="A1135" t="s">
        <v>1202</v>
      </c>
      <c r="B1135" t="s">
        <v>1663</v>
      </c>
      <c r="C1135" t="s">
        <v>1201</v>
      </c>
      <c r="D1135" t="s">
        <v>1657</v>
      </c>
      <c r="E1135" t="s">
        <v>23</v>
      </c>
      <c r="F1135" t="str">
        <f t="shared" si="17"/>
        <v>"C:\Program Files\VideoLAN\VLC\vlc.exe" "http://azura.shoutca.st:8220/radio.mop3?ref=rf"</v>
      </c>
      <c r="M1135" t="e">
        <f>VLOOKUP(A1135,logos!$A$2:$A$10004,1,FALSE)</f>
        <v>#N/A</v>
      </c>
    </row>
    <row r="1136" spans="1:13" hidden="1" x14ac:dyDescent="0.55000000000000004">
      <c r="A1136" t="s">
        <v>1204</v>
      </c>
      <c r="B1136" t="s">
        <v>1663</v>
      </c>
      <c r="C1136" t="s">
        <v>1203</v>
      </c>
      <c r="D1136" t="s">
        <v>1657</v>
      </c>
      <c r="E1136" t="s">
        <v>23</v>
      </c>
      <c r="F1136" t="str">
        <f t="shared" si="17"/>
        <v>"C:\Program Files\VideoLAN\VLC\vlc.exe" "http://playoutonestreaming.com:8070/stream"</v>
      </c>
      <c r="M1136" t="e">
        <f>VLOOKUP(A1136,logos!$A$2:$A$10004,1,FALSE)</f>
        <v>#N/A</v>
      </c>
    </row>
    <row r="1137" spans="1:13" hidden="1" x14ac:dyDescent="0.55000000000000004">
      <c r="A1137" t="s">
        <v>1206</v>
      </c>
      <c r="B1137" t="s">
        <v>1663</v>
      </c>
      <c r="C1137" t="s">
        <v>1207</v>
      </c>
      <c r="D1137" t="s">
        <v>1657</v>
      </c>
      <c r="E1137" t="s">
        <v>23</v>
      </c>
      <c r="F1137" t="str">
        <f t="shared" si="17"/>
        <v>"C:\Program Files\VideoLAN\VLC\vlc.exe" "http://streaming.broadcastradio.com:10520/streetsd"</v>
      </c>
      <c r="M1137" t="e">
        <f>VLOOKUP(A1137,logos!$A$2:$A$10004,1,FALSE)</f>
        <v>#N/A</v>
      </c>
    </row>
    <row r="1138" spans="1:13" hidden="1" x14ac:dyDescent="0.55000000000000004">
      <c r="A1138" t="s">
        <v>1209</v>
      </c>
      <c r="B1138" t="s">
        <v>1663</v>
      </c>
      <c r="C1138" t="s">
        <v>1208</v>
      </c>
      <c r="D1138" t="s">
        <v>1657</v>
      </c>
      <c r="E1138" t="s">
        <v>23</v>
      </c>
      <c r="F1138" t="str">
        <f t="shared" si="17"/>
        <v>"C:\Program Files\VideoLAN\VLC\vlc.exe" "http://styleradio.radioca.st:8405/stream"</v>
      </c>
      <c r="M1138" t="e">
        <f>VLOOKUP(A1138,logos!$A$2:$A$10004,1,FALSE)</f>
        <v>#N/A</v>
      </c>
    </row>
    <row r="1139" spans="1:13" hidden="1" x14ac:dyDescent="0.55000000000000004">
      <c r="A1139" t="s">
        <v>1211</v>
      </c>
      <c r="B1139" t="s">
        <v>1663</v>
      </c>
      <c r="C1139" t="s">
        <v>2337</v>
      </c>
      <c r="D1139" t="s">
        <v>1657</v>
      </c>
      <c r="E1139" t="s">
        <v>23</v>
      </c>
      <c r="F1139" t="str">
        <f t="shared" si="17"/>
        <v>"C:\Program Files\VideoLAN\VLC\vlc.exe" "http://edge-audio-02-thn.sharp-stream.com:80/sukhsagar.mp3"</v>
      </c>
      <c r="M1139" t="e">
        <f>VLOOKUP(A1139,logos!$A$2:$A$10004,1,FALSE)</f>
        <v>#N/A</v>
      </c>
    </row>
    <row r="1140" spans="1:13" hidden="1" x14ac:dyDescent="0.55000000000000004">
      <c r="A1140" t="s">
        <v>1213</v>
      </c>
      <c r="B1140" t="s">
        <v>1663</v>
      </c>
      <c r="C1140" t="s">
        <v>1212</v>
      </c>
      <c r="D1140" t="s">
        <v>1657</v>
      </c>
      <c r="E1140" t="s">
        <v>23</v>
      </c>
      <c r="F1140" t="str">
        <f t="shared" si="17"/>
        <v>"C:\Program Files\VideoLAN\VLC\vlc.exe" "http://listen-nation.sharp-stream.com/sunfm.mp3?ref=RF"</v>
      </c>
      <c r="M1140" t="e">
        <f>VLOOKUP(A1140,logos!$A$2:$A$10004,1,FALSE)</f>
        <v>#N/A</v>
      </c>
    </row>
    <row r="1141" spans="1:13" hidden="1" x14ac:dyDescent="0.55000000000000004">
      <c r="A1141" t="s">
        <v>1216</v>
      </c>
      <c r="B1141" t="s">
        <v>1663</v>
      </c>
      <c r="C1141" t="s">
        <v>1215</v>
      </c>
      <c r="D1141" t="s">
        <v>1657</v>
      </c>
      <c r="E1141" t="s">
        <v>23</v>
      </c>
      <c r="F1141" t="str">
        <f t="shared" si="17"/>
        <v>"C:\Program Files\VideoLAN\VLC\vlc.exe" "http://listen.radioking.com/radio/501550/stream/558844?ref=RF"</v>
      </c>
      <c r="M1141" t="e">
        <f>VLOOKUP(A1141,logos!$A$2:$A$10004,1,FALSE)</f>
        <v>#N/A</v>
      </c>
    </row>
    <row r="1142" spans="1:13" hidden="1" x14ac:dyDescent="0.55000000000000004">
      <c r="A1142" t="s">
        <v>2838</v>
      </c>
      <c r="B1142" t="s">
        <v>1663</v>
      </c>
      <c r="C1142" t="s">
        <v>1226</v>
      </c>
      <c r="D1142" t="s">
        <v>1657</v>
      </c>
      <c r="E1142" t="s">
        <v>23</v>
      </c>
      <c r="F1142" t="str">
        <f t="shared" si="17"/>
        <v>"C:\Program Files\VideoLAN\VLC\vlc.exe" "http://stream1.themediasite.co.uk:8070/mid"</v>
      </c>
      <c r="M1142" t="e">
        <f>VLOOKUP(A1142,logos!$A$2:$A$10004,1,FALSE)</f>
        <v>#N/A</v>
      </c>
    </row>
    <row r="1143" spans="1:13" hidden="1" x14ac:dyDescent="0.55000000000000004">
      <c r="A1143" t="s">
        <v>1229</v>
      </c>
      <c r="B1143" t="s">
        <v>1663</v>
      </c>
      <c r="C1143" t="s">
        <v>1228</v>
      </c>
      <c r="D1143" t="s">
        <v>1657</v>
      </c>
      <c r="E1143" t="s">
        <v>23</v>
      </c>
      <c r="F1143" t="str">
        <f t="shared" si="17"/>
        <v>"C:\Program Files\VideoLAN\VLC\vlc.exe" "http://streaming.radio.co:80/s6a51b5927/listen"</v>
      </c>
      <c r="M1143" t="e">
        <f>VLOOKUP(A1143,logos!$A$2:$A$10004,1,FALSE)</f>
        <v>#N/A</v>
      </c>
    </row>
    <row r="1144" spans="1:13" hidden="1" x14ac:dyDescent="0.55000000000000004">
      <c r="A1144" t="s">
        <v>2898</v>
      </c>
      <c r="B1144" t="s">
        <v>1663</v>
      </c>
      <c r="C1144" t="s">
        <v>1230</v>
      </c>
      <c r="D1144" t="s">
        <v>1657</v>
      </c>
      <c r="E1144" t="s">
        <v>23</v>
      </c>
      <c r="F1144" t="str">
        <f t="shared" si="17"/>
        <v>"C:\Program Files\VideoLAN\VLC\vlc.exe" "http://icecast.easystream.co.uk:8000/herefordFM"</v>
      </c>
      <c r="M1144" t="e">
        <f>VLOOKUP(A1144,logos!$A$2:$A$10004,1,FALSE)</f>
        <v>#N/A</v>
      </c>
    </row>
    <row r="1145" spans="1:13" hidden="1" x14ac:dyDescent="0.55000000000000004">
      <c r="A1145" t="s">
        <v>2899</v>
      </c>
      <c r="B1145" t="s">
        <v>1663</v>
      </c>
      <c r="C1145" t="s">
        <v>1232</v>
      </c>
      <c r="D1145" t="s">
        <v>1657</v>
      </c>
      <c r="E1145" t="s">
        <v>23</v>
      </c>
      <c r="F1145" t="str">
        <f t="shared" si="17"/>
        <v>"C:\Program Files\VideoLAN\VLC\vlc.exe" "http://icecast.easystream.co.uk:8000/monmouth"</v>
      </c>
      <c r="M1145" t="e">
        <f>VLOOKUP(A1145,logos!$A$2:$A$10004,1,FALSE)</f>
        <v>#N/A</v>
      </c>
    </row>
    <row r="1146" spans="1:13" hidden="1" x14ac:dyDescent="0.55000000000000004">
      <c r="A1146" t="s">
        <v>2900</v>
      </c>
      <c r="B1146" t="s">
        <v>1663</v>
      </c>
      <c r="C1146" t="s">
        <v>1234</v>
      </c>
      <c r="D1146" t="s">
        <v>1657</v>
      </c>
      <c r="E1146" t="s">
        <v>23</v>
      </c>
      <c r="F1146" t="str">
        <f t="shared" si="17"/>
        <v>"C:\Program Files\VideoLAN\VLC\vlc.exe" "http://icecast.easystream.co.uk:8000/sunshine855"</v>
      </c>
      <c r="M1146" t="e">
        <f>VLOOKUP(A1146,logos!$A$2:$A$10004,1,FALSE)</f>
        <v>#N/A</v>
      </c>
    </row>
    <row r="1147" spans="1:13" hidden="1" x14ac:dyDescent="0.55000000000000004">
      <c r="A1147" t="s">
        <v>1243</v>
      </c>
      <c r="B1147" t="s">
        <v>1663</v>
      </c>
      <c r="C1147" t="s">
        <v>1242</v>
      </c>
      <c r="D1147" t="s">
        <v>1657</v>
      </c>
      <c r="E1147" t="s">
        <v>23</v>
      </c>
      <c r="F1147" t="str">
        <f t="shared" si="17"/>
        <v>"C:\Program Files\VideoLAN\VLC\vlc.exe" "http://radio.talksport.com/stream2?ref=rf"</v>
      </c>
      <c r="M1147" t="str">
        <f>VLOOKUP(A1147,logos!$A$2:$A$10004,1,FALSE)</f>
        <v>talkSPORT 2</v>
      </c>
    </row>
    <row r="1148" spans="1:13" hidden="1" x14ac:dyDescent="0.55000000000000004">
      <c r="A1148" t="s">
        <v>1255</v>
      </c>
      <c r="B1148" t="s">
        <v>1663</v>
      </c>
      <c r="C1148" t="s">
        <v>1254</v>
      </c>
      <c r="D1148" t="s">
        <v>1657</v>
      </c>
      <c r="E1148" t="s">
        <v>23</v>
      </c>
      <c r="F1148" t="str">
        <f t="shared" si="17"/>
        <v>"C:\Program Files\VideoLAN\VLC\vlc.exe" "http://uk7.internet-radio.com:8352/stream"</v>
      </c>
      <c r="M1148" t="e">
        <f>VLOOKUP(A1148,logos!$A$2:$A$10004,1,FALSE)</f>
        <v>#N/A</v>
      </c>
    </row>
    <row r="1149" spans="1:13" hidden="1" x14ac:dyDescent="0.55000000000000004">
      <c r="A1149" t="s">
        <v>1257</v>
      </c>
      <c r="B1149" t="s">
        <v>1663</v>
      </c>
      <c r="C1149" t="s">
        <v>1258</v>
      </c>
      <c r="D1149" t="s">
        <v>1657</v>
      </c>
      <c r="E1149" t="s">
        <v>23</v>
      </c>
      <c r="F1149" t="str">
        <f t="shared" si="17"/>
        <v>"C:\Program Files\VideoLAN\VLC\vlc.exe" "http://therockservice.servebeer.com:7999/"</v>
      </c>
      <c r="M1149" t="e">
        <f>VLOOKUP(A1149,logos!$A$2:$A$10004,1,FALSE)</f>
        <v>#N/A</v>
      </c>
    </row>
    <row r="1150" spans="1:13" hidden="1" x14ac:dyDescent="0.55000000000000004">
      <c r="A1150" t="s">
        <v>1262</v>
      </c>
      <c r="B1150" t="s">
        <v>1663</v>
      </c>
      <c r="C1150" t="s">
        <v>1261</v>
      </c>
      <c r="D1150" t="s">
        <v>1657</v>
      </c>
      <c r="E1150" t="s">
        <v>23</v>
      </c>
      <c r="F1150" t="str">
        <f t="shared" si="17"/>
        <v>"C:\Program Files\VideoLAN\VLC\vlc.exe" "http://icecast3.rosisystems.com:8000/thevoice.mp3"</v>
      </c>
      <c r="M1150" t="e">
        <f>VLOOKUP(A1150,logos!$A$2:$A$10004,1,FALSE)</f>
        <v>#N/A</v>
      </c>
    </row>
    <row r="1151" spans="1:13" hidden="1" x14ac:dyDescent="0.55000000000000004">
      <c r="A1151" t="s">
        <v>1253</v>
      </c>
      <c r="B1151" t="s">
        <v>1663</v>
      </c>
      <c r="C1151" t="s">
        <v>1252</v>
      </c>
      <c r="D1151" t="s">
        <v>1657</v>
      </c>
      <c r="E1151" t="s">
        <v>23</v>
      </c>
      <c r="F1151" t="str">
        <f t="shared" si="17"/>
        <v>"C:\Program Files\VideoLAN\VLC\vlc.exe" "http://streaming.live365.com/a31231"</v>
      </c>
      <c r="M1151" t="e">
        <f>VLOOKUP(A1151,logos!$A$2:$A$10004,1,FALSE)</f>
        <v>#N/A</v>
      </c>
    </row>
    <row r="1152" spans="1:13" hidden="1" x14ac:dyDescent="0.55000000000000004">
      <c r="A1152" t="s">
        <v>1267</v>
      </c>
      <c r="B1152" t="s">
        <v>1663</v>
      </c>
      <c r="C1152" t="s">
        <v>1266</v>
      </c>
      <c r="D1152" t="s">
        <v>1657</v>
      </c>
      <c r="E1152" t="s">
        <v>23</v>
      </c>
      <c r="F1152" t="str">
        <f t="shared" si="17"/>
        <v>"C:\Program Files\VideoLAN\VLC\vlc.exe" "http://streaming.broadcastradio.com:10760/thisisthecoast"</v>
      </c>
      <c r="M1152" t="str">
        <f>VLOOKUP(A1152,logos!$A$2:$A$10004,1,FALSE)</f>
        <v>This is the Coast</v>
      </c>
    </row>
    <row r="1153" spans="1:13" hidden="1" x14ac:dyDescent="0.55000000000000004">
      <c r="A1153" t="s">
        <v>1271</v>
      </c>
      <c r="B1153" t="s">
        <v>1663</v>
      </c>
      <c r="C1153" t="s">
        <v>1270</v>
      </c>
      <c r="D1153" t="s">
        <v>1657</v>
      </c>
      <c r="E1153" t="s">
        <v>23</v>
      </c>
      <c r="F1153" t="str">
        <f t="shared" si="17"/>
        <v>"C:\Program Files\VideoLAN\VLC\vlc.exe" "http://aries.streaming.zfast.co.uk:8024/stream"</v>
      </c>
      <c r="M1153" t="e">
        <f>VLOOKUP(A1153,logos!$A$2:$A$10004,1,FALSE)</f>
        <v>#N/A</v>
      </c>
    </row>
    <row r="1154" spans="1:13" hidden="1" x14ac:dyDescent="0.55000000000000004">
      <c r="A1154" t="s">
        <v>1273</v>
      </c>
      <c r="B1154" t="s">
        <v>1663</v>
      </c>
      <c r="C1154" t="s">
        <v>1272</v>
      </c>
      <c r="D1154" t="s">
        <v>1657</v>
      </c>
      <c r="E1154" t="s">
        <v>23</v>
      </c>
      <c r="F1154" t="str">
        <f t="shared" si="17"/>
        <v>"C:\Program Files\VideoLAN\VLC\vlc.exe" "http://timesradio.wireless.radio/stream?ref=rf"</v>
      </c>
      <c r="M1154" t="str">
        <f>VLOOKUP(A1154,logos!$A$2:$A$10004,1,FALSE)</f>
        <v>Times Radio</v>
      </c>
    </row>
    <row r="1155" spans="1:13" hidden="1" x14ac:dyDescent="0.55000000000000004">
      <c r="A1155" t="s">
        <v>1277</v>
      </c>
      <c r="B1155" t="s">
        <v>1663</v>
      </c>
      <c r="C1155" t="s">
        <v>1276</v>
      </c>
      <c r="D1155" t="s">
        <v>1657</v>
      </c>
      <c r="E1155" t="s">
        <v>23</v>
      </c>
      <c r="F1155" t="str">
        <f t="shared" ref="F1155:F1218" si="18">"""C:\Program Files\VideoLAN\VLC\vlc.exe"" """&amp;C1155&amp;""""</f>
        <v>"C:\Program Files\VideoLAN\VLC\vlc.exe" "http://s3.voscast.com:9532/"</v>
      </c>
      <c r="M1155" t="e">
        <f>VLOOKUP(A1155,logos!$A$2:$A$10004,1,FALSE)</f>
        <v>#N/A</v>
      </c>
    </row>
    <row r="1156" spans="1:13" hidden="1" x14ac:dyDescent="0.55000000000000004">
      <c r="A1156" t="s">
        <v>1285</v>
      </c>
      <c r="B1156" t="s">
        <v>1663</v>
      </c>
      <c r="C1156" t="s">
        <v>1286</v>
      </c>
      <c r="D1156" t="s">
        <v>1657</v>
      </c>
      <c r="E1156" t="s">
        <v>23</v>
      </c>
      <c r="F1156" t="str">
        <f t="shared" si="18"/>
        <v>"C:\Program Files\VideoLAN\VLC\vlc.exe" "http://wg.cdn.tibus.net/U105?ref=RF"</v>
      </c>
      <c r="M1156" t="e">
        <f>VLOOKUP(A1156,logos!$A$2:$A$10004,1,FALSE)</f>
        <v>#N/A</v>
      </c>
    </row>
    <row r="1157" spans="1:13" hidden="1" x14ac:dyDescent="0.55000000000000004">
      <c r="A1157" t="s">
        <v>1288</v>
      </c>
      <c r="B1157" t="s">
        <v>1663</v>
      </c>
      <c r="C1157" t="s">
        <v>2344</v>
      </c>
      <c r="D1157" t="s">
        <v>1657</v>
      </c>
      <c r="E1157" t="s">
        <v>23</v>
      </c>
      <c r="F1157" t="str">
        <f t="shared" si="18"/>
        <v>"C:\Program Files\VideoLAN\VLC\vlc.exe" "http://edge-audio-02-thn.sharp-stream.com:80/ucbuk.mp3"</v>
      </c>
      <c r="M1157" t="e">
        <f>VLOOKUP(A1157,logos!$A$2:$A$10004,1,FALSE)</f>
        <v>#N/A</v>
      </c>
    </row>
    <row r="1158" spans="1:13" hidden="1" x14ac:dyDescent="0.55000000000000004">
      <c r="A1158" t="s">
        <v>1290</v>
      </c>
      <c r="B1158" t="s">
        <v>1663</v>
      </c>
      <c r="C1158" t="s">
        <v>2345</v>
      </c>
      <c r="D1158" t="s">
        <v>1657</v>
      </c>
      <c r="E1158" t="s">
        <v>23</v>
      </c>
      <c r="F1158" t="str">
        <f t="shared" si="18"/>
        <v>"C:\Program Files\VideoLAN\VLC\vlc.exe" "http://edge-audio-02-thn.sharp-stream.com:80/ucbinspirational.mp3"</v>
      </c>
      <c r="M1158" t="e">
        <f>VLOOKUP(A1158,logos!$A$2:$A$10004,1,FALSE)</f>
        <v>#N/A</v>
      </c>
    </row>
    <row r="1159" spans="1:13" hidden="1" x14ac:dyDescent="0.55000000000000004">
      <c r="A1159" t="s">
        <v>1292</v>
      </c>
      <c r="B1159" t="s">
        <v>1663</v>
      </c>
      <c r="C1159" t="s">
        <v>1291</v>
      </c>
      <c r="D1159" t="s">
        <v>1657</v>
      </c>
      <c r="E1159" t="s">
        <v>23</v>
      </c>
      <c r="F1159" t="str">
        <f t="shared" si="18"/>
        <v>"C:\Program Files\VideoLAN\VLC\vlc.exe" "http://eclipse.galaxywebsolutions.com:7571/live"</v>
      </c>
      <c r="M1159" t="e">
        <f>VLOOKUP(A1159,logos!$A$2:$A$10004,1,FALSE)</f>
        <v>#N/A</v>
      </c>
    </row>
    <row r="1160" spans="1:13" hidden="1" x14ac:dyDescent="0.55000000000000004">
      <c r="A1160" t="s">
        <v>1298</v>
      </c>
      <c r="B1160" t="s">
        <v>1663</v>
      </c>
      <c r="C1160" t="s">
        <v>1297</v>
      </c>
      <c r="D1160" t="s">
        <v>1657</v>
      </c>
      <c r="E1160" t="s">
        <v>23</v>
      </c>
      <c r="F1160" t="str">
        <f t="shared" si="18"/>
        <v>"C:\Program Files\VideoLAN\VLC\vlc.exe" "http://stream.v2radio.co.uk:80/V2RadioHQMP3"</v>
      </c>
      <c r="M1160" t="str">
        <f>VLOOKUP(A1160,logos!$A$2:$A$10004,1,FALSE)</f>
        <v>V2 Radio</v>
      </c>
    </row>
    <row r="1161" spans="1:13" hidden="1" x14ac:dyDescent="0.55000000000000004">
      <c r="A1161" t="s">
        <v>1305</v>
      </c>
      <c r="B1161" t="s">
        <v>1663</v>
      </c>
      <c r="C1161" t="s">
        <v>1304</v>
      </c>
      <c r="D1161" t="s">
        <v>1657</v>
      </c>
      <c r="E1161" t="s">
        <v>23</v>
      </c>
      <c r="F1161" t="str">
        <f t="shared" si="18"/>
        <v>"C:\Program Files\VideoLAN\VLC\vlc.exe" "http://radio.virginradio.co.uk/stream?ref=rf"</v>
      </c>
      <c r="M1161" t="str">
        <f>VLOOKUP(A1161,logos!$A$2:$A$10004,1,FALSE)</f>
        <v>Virgin Radio</v>
      </c>
    </row>
    <row r="1162" spans="1:13" hidden="1" x14ac:dyDescent="0.55000000000000004">
      <c r="A1162" t="s">
        <v>1308</v>
      </c>
      <c r="B1162" t="s">
        <v>1663</v>
      </c>
      <c r="C1162" t="s">
        <v>1307</v>
      </c>
      <c r="D1162" t="s">
        <v>1657</v>
      </c>
      <c r="E1162" t="s">
        <v>23</v>
      </c>
      <c r="F1162" t="str">
        <f t="shared" si="18"/>
        <v>"C:\Program Files\VideoLAN\VLC\vlc.exe" "http://radio.virginradio.co.uk/stream-pride?ref=rf"</v>
      </c>
      <c r="M1162" t="str">
        <f>VLOOKUP(A1162,logos!$A$2:$A$10004,1,FALSE)</f>
        <v>Virgin Radio 80s PLUS</v>
      </c>
    </row>
    <row r="1163" spans="1:13" hidden="1" x14ac:dyDescent="0.55000000000000004">
      <c r="A1163" t="s">
        <v>1310</v>
      </c>
      <c r="B1163" t="s">
        <v>1663</v>
      </c>
      <c r="C1163" t="s">
        <v>1309</v>
      </c>
      <c r="D1163" t="s">
        <v>1657</v>
      </c>
      <c r="E1163" t="s">
        <v>23</v>
      </c>
      <c r="F1163" t="str">
        <f t="shared" si="18"/>
        <v>"C:\Program Files\VideoLAN\VLC\vlc.exe" "http://radio.virginradio.co.uk/stream-anthems?ref=rf"</v>
      </c>
      <c r="M1163" t="str">
        <f>VLOOKUP(A1163,logos!$A$2:$A$10004,1,FALSE)</f>
        <v>Virgin Radio Anthems</v>
      </c>
    </row>
    <row r="1164" spans="1:13" hidden="1" x14ac:dyDescent="0.55000000000000004">
      <c r="A1164" t="s">
        <v>1312</v>
      </c>
      <c r="B1164" t="s">
        <v>1663</v>
      </c>
      <c r="C1164" t="s">
        <v>1311</v>
      </c>
      <c r="D1164" t="s">
        <v>1657</v>
      </c>
      <c r="E1164" t="s">
        <v>23</v>
      </c>
      <c r="F1164" t="str">
        <f t="shared" si="18"/>
        <v>"C:\Program Files\VideoLAN\VLC\vlc.exe" "http://radio.virginradio.co.uk/stream-chilled?ref=rf"</v>
      </c>
      <c r="M1164" t="str">
        <f>VLOOKUP(A1164,logos!$A$2:$A$10004,1,FALSE)</f>
        <v>Virgin Radio Chilled</v>
      </c>
    </row>
    <row r="1165" spans="1:13" hidden="1" x14ac:dyDescent="0.55000000000000004">
      <c r="A1165" t="s">
        <v>1314</v>
      </c>
      <c r="B1165" t="s">
        <v>1663</v>
      </c>
      <c r="C1165" t="s">
        <v>1313</v>
      </c>
      <c r="D1165" t="s">
        <v>1657</v>
      </c>
      <c r="E1165" t="s">
        <v>23</v>
      </c>
      <c r="F1165" t="str">
        <f t="shared" si="18"/>
        <v>"C:\Program Files\VideoLAN\VLC\vlc.exe" "http://s6.voscast.com:9980/stream"</v>
      </c>
      <c r="M1165" t="e">
        <f>VLOOKUP(A1165,logos!$A$2:$A$10004,1,FALSE)</f>
        <v>#N/A</v>
      </c>
    </row>
    <row r="1166" spans="1:13" hidden="1" x14ac:dyDescent="0.55000000000000004">
      <c r="A1166" t="s">
        <v>1318</v>
      </c>
      <c r="B1166" t="s">
        <v>1663</v>
      </c>
      <c r="C1166" t="s">
        <v>2349</v>
      </c>
      <c r="D1166" t="s">
        <v>1657</v>
      </c>
      <c r="E1166" t="s">
        <v>23</v>
      </c>
      <c r="F1166" t="str">
        <f t="shared" si="18"/>
        <v>"C:\Program Files\VideoLAN\VLC\vlc.exe" "http://stream3.radiomonitor.com/WavesRadio?token=Y4iDZ2mLhGhng4eIk8iypISzsZqh"</v>
      </c>
      <c r="M1166" t="e">
        <f>VLOOKUP(A1166,logos!$A$2:$A$10004,1,FALSE)</f>
        <v>#N/A</v>
      </c>
    </row>
    <row r="1167" spans="1:13" hidden="1" x14ac:dyDescent="0.55000000000000004">
      <c r="A1167" t="s">
        <v>2901</v>
      </c>
      <c r="B1167" t="s">
        <v>1663</v>
      </c>
      <c r="C1167" t="s">
        <v>1327</v>
      </c>
      <c r="D1167" t="s">
        <v>1657</v>
      </c>
      <c r="E1167" t="s">
        <v>23</v>
      </c>
      <c r="F1167" t="str">
        <f t="shared" si="18"/>
        <v>"C:\Program Files\VideoLAN\VLC\vlc.exe" "http://uksouth.streaming.broadcast.radio:16190/wowblackpool"</v>
      </c>
      <c r="M1167" t="e">
        <f>VLOOKUP(A1167,logos!$A$2:$A$10004,1,FALSE)</f>
        <v>#N/A</v>
      </c>
    </row>
    <row r="1168" spans="1:13" hidden="1" x14ac:dyDescent="0.55000000000000004">
      <c r="A1168" t="s">
        <v>1334</v>
      </c>
      <c r="B1168" t="s">
        <v>1663</v>
      </c>
      <c r="C1168" t="s">
        <v>2353</v>
      </c>
      <c r="D1168" t="s">
        <v>1657</v>
      </c>
      <c r="E1168" t="s">
        <v>23</v>
      </c>
      <c r="F1168" t="str">
        <f t="shared" si="18"/>
        <v>"C:\Program Files\VideoLAN\VLC\vlc.exe" "http://edge-audio-02-thn.sharp-stream.com:80/xrhythms.mp3"</v>
      </c>
      <c r="M1168" t="e">
        <f>VLOOKUP(A1168,logos!$A$2:$A$10004,1,FALSE)</f>
        <v>#N/A</v>
      </c>
    </row>
    <row r="1169" spans="1:13" hidden="1" x14ac:dyDescent="0.55000000000000004">
      <c r="A1169" t="s">
        <v>1340</v>
      </c>
      <c r="B1169" t="s">
        <v>1663</v>
      </c>
      <c r="C1169" t="s">
        <v>1341</v>
      </c>
      <c r="D1169" t="s">
        <v>1657</v>
      </c>
      <c r="E1169" t="s">
        <v>23</v>
      </c>
      <c r="F1169" t="str">
        <f t="shared" si="18"/>
        <v>"C:\Program Files\VideoLAN\VLC\vlc.exe" "http://stream2.hippynet.co.uk:8020/streamb"</v>
      </c>
      <c r="M1169" t="e">
        <f>VLOOKUP(A1169,logos!$A$2:$A$10004,1,FALSE)</f>
        <v>#N/A</v>
      </c>
    </row>
    <row r="1170" spans="1:13" hidden="1" x14ac:dyDescent="0.55000000000000004">
      <c r="A1170" t="s">
        <v>1344</v>
      </c>
      <c r="B1170" t="s">
        <v>1663</v>
      </c>
      <c r="C1170" t="s">
        <v>1343</v>
      </c>
      <c r="D1170" t="s">
        <v>1657</v>
      </c>
      <c r="E1170" t="s">
        <v>23</v>
      </c>
      <c r="F1170" t="str">
        <f t="shared" si="18"/>
        <v>"C:\Program Files\VideoLAN\VLC\vlc.exe" "http://streaming.broadcastradio.com:11040/yourharrogate"</v>
      </c>
      <c r="M1170" t="e">
        <f>VLOOKUP(A1170,logos!$A$2:$A$10004,1,FALSE)</f>
        <v>#N/A</v>
      </c>
    </row>
    <row r="1171" spans="1:13" hidden="1" x14ac:dyDescent="0.55000000000000004">
      <c r="A1171" t="s">
        <v>1346</v>
      </c>
      <c r="B1171" t="s">
        <v>1663</v>
      </c>
      <c r="C1171" t="s">
        <v>1347</v>
      </c>
      <c r="D1171" t="s">
        <v>1657</v>
      </c>
      <c r="E1171" t="s">
        <v>23</v>
      </c>
      <c r="F1171" t="str">
        <f t="shared" si="18"/>
        <v>"C:\Program Files\VideoLAN\VLC\vlc.exe" "http://vps.zestliverpool.com:8000/3"</v>
      </c>
      <c r="M1171" t="e">
        <f>VLOOKUP(A1171,logos!$A$2:$A$10004,1,FALSE)</f>
        <v>#N/A</v>
      </c>
    </row>
    <row r="1172" spans="1:13" hidden="1" x14ac:dyDescent="0.55000000000000004">
      <c r="A1172" t="s">
        <v>16</v>
      </c>
      <c r="B1172" t="s">
        <v>1689</v>
      </c>
      <c r="C1172" t="s">
        <v>15</v>
      </c>
      <c r="D1172" t="s">
        <v>1657</v>
      </c>
      <c r="E1172" t="s">
        <v>23</v>
      </c>
      <c r="F1172" t="str">
        <f t="shared" si="18"/>
        <v>"C:\Program Files\VideoLAN\VLC\vlc.exe" "http://edge.clrmedia.co.uk:10000/chiptunes"</v>
      </c>
      <c r="M1172" t="e">
        <f>VLOOKUP(A1172,logos!$A$2:$A$10004,1,FALSE)</f>
        <v>#N/A</v>
      </c>
    </row>
    <row r="1173" spans="1:13" hidden="1" x14ac:dyDescent="0.55000000000000004">
      <c r="A1173" t="s">
        <v>2798</v>
      </c>
      <c r="B1173" t="s">
        <v>1689</v>
      </c>
      <c r="C1173" t="s">
        <v>1026</v>
      </c>
      <c r="D1173" t="s">
        <v>1657</v>
      </c>
      <c r="E1173" t="s">
        <v>23</v>
      </c>
      <c r="F1173" t="str">
        <f t="shared" si="18"/>
        <v>"C:\Program Files\VideoLAN\VLC\vlc.exe" "http://playoutonestreaming.com:8012/mp3"</v>
      </c>
      <c r="M1173" t="e">
        <f>VLOOKUP(A1173,logos!$A$2:$A$10004,1,FALSE)</f>
        <v>#N/A</v>
      </c>
    </row>
    <row r="1174" spans="1:13" hidden="1" x14ac:dyDescent="0.55000000000000004">
      <c r="A1174" t="s">
        <v>2829</v>
      </c>
      <c r="B1174" t="s">
        <v>1689</v>
      </c>
      <c r="C1174" t="s">
        <v>2184</v>
      </c>
      <c r="D1174" t="s">
        <v>1657</v>
      </c>
      <c r="E1174" t="s">
        <v>23</v>
      </c>
      <c r="F1174" t="str">
        <f t="shared" si="18"/>
        <v>"C:\Program Files\VideoLAN\VLC\vlc.exe" "http://n02a-eu.rcs.revma.com:80/8rud7kqkdwzuv"</v>
      </c>
      <c r="M1174" t="e">
        <f>VLOOKUP(A1174,logos!$A$2:$A$10004,1,FALSE)</f>
        <v>#N/A</v>
      </c>
    </row>
    <row r="1175" spans="1:13" hidden="1" x14ac:dyDescent="0.55000000000000004">
      <c r="A1175" t="s">
        <v>2840</v>
      </c>
      <c r="B1175" t="s">
        <v>1689</v>
      </c>
      <c r="C1175" t="s">
        <v>1331</v>
      </c>
      <c r="D1175" t="s">
        <v>1657</v>
      </c>
      <c r="E1175" t="s">
        <v>23</v>
      </c>
      <c r="F1175" t="str">
        <f t="shared" si="18"/>
        <v>"C:\Program Files\VideoLAN\VLC\vlc.exe" "http://radio.canstream.co.uk:8039/live.mp3"</v>
      </c>
      <c r="M1175" t="e">
        <f>VLOOKUP(A1175,logos!$A$2:$A$10004,1,FALSE)</f>
        <v>#N/A</v>
      </c>
    </row>
    <row r="1176" spans="1:13" hidden="1" x14ac:dyDescent="0.55000000000000004">
      <c r="A1176" t="s">
        <v>81</v>
      </c>
      <c r="B1176" t="s">
        <v>1669</v>
      </c>
      <c r="C1176" t="s">
        <v>80</v>
      </c>
      <c r="D1176" t="s">
        <v>1657</v>
      </c>
      <c r="E1176" t="s">
        <v>23</v>
      </c>
      <c r="F1176" t="str">
        <f t="shared" si="18"/>
        <v>"C:\Program Files\VideoLAN\VLC\vlc.exe" "http://streaming.radio.co:80/s20224a067/listen"</v>
      </c>
      <c r="M1176" t="e">
        <f>VLOOKUP(A1176,logos!$A$2:$A$10004,1,FALSE)</f>
        <v>#N/A</v>
      </c>
    </row>
    <row r="1177" spans="1:13" hidden="1" x14ac:dyDescent="0.55000000000000004">
      <c r="A1177" t="s">
        <v>84</v>
      </c>
      <c r="B1177" t="s">
        <v>1669</v>
      </c>
      <c r="C1177" t="s">
        <v>83</v>
      </c>
      <c r="D1177" t="s">
        <v>1657</v>
      </c>
      <c r="E1177" t="s">
        <v>23</v>
      </c>
      <c r="F1177" t="str">
        <f t="shared" si="18"/>
        <v>"C:\Program Files\VideoLAN\VLC\vlc.exe" "http://streamer.radio.co:80/s5af29b339/listen"</v>
      </c>
      <c r="M1177" t="e">
        <f>VLOOKUP(A1177,logos!$A$2:$A$10004,1,FALSE)</f>
        <v>#N/A</v>
      </c>
    </row>
    <row r="1178" spans="1:13" hidden="1" x14ac:dyDescent="0.55000000000000004">
      <c r="A1178" t="s">
        <v>223</v>
      </c>
      <c r="B1178" t="s">
        <v>1669</v>
      </c>
      <c r="C1178" t="s">
        <v>224</v>
      </c>
      <c r="D1178" t="s">
        <v>1657</v>
      </c>
      <c r="E1178" t="s">
        <v>23</v>
      </c>
      <c r="F1178" t="str">
        <f t="shared" si="18"/>
        <v>"C:\Program Files\VideoLAN\VLC\vlc.exe" "http://bewaretheradio.out.airtime.pro:8000/bewaretheradio_a"</v>
      </c>
      <c r="M1178" t="e">
        <f>VLOOKUP(A1178,logos!$A$2:$A$10004,1,FALSE)</f>
        <v>#N/A</v>
      </c>
    </row>
    <row r="1179" spans="1:13" hidden="1" x14ac:dyDescent="0.55000000000000004">
      <c r="A1179" t="s">
        <v>253</v>
      </c>
      <c r="B1179" t="s">
        <v>1669</v>
      </c>
      <c r="C1179" t="s">
        <v>252</v>
      </c>
      <c r="D1179" t="s">
        <v>1657</v>
      </c>
      <c r="E1179" t="s">
        <v>23</v>
      </c>
      <c r="F1179" t="str">
        <f t="shared" si="18"/>
        <v>"C:\Program Files\VideoLAN\VLC\vlc.exe" "http://stream4.hippynet.co.uk:8008/stream"</v>
      </c>
      <c r="M1179" t="e">
        <f>VLOOKUP(A1179,logos!$A$2:$A$10004,1,FALSE)</f>
        <v>#N/A</v>
      </c>
    </row>
    <row r="1180" spans="1:13" hidden="1" x14ac:dyDescent="0.55000000000000004">
      <c r="A1180" t="s">
        <v>345</v>
      </c>
      <c r="B1180" t="s">
        <v>1669</v>
      </c>
      <c r="C1180" t="s">
        <v>344</v>
      </c>
      <c r="D1180" t="s">
        <v>1657</v>
      </c>
      <c r="E1180" t="s">
        <v>23</v>
      </c>
      <c r="F1180" t="str">
        <f t="shared" si="18"/>
        <v>"C:\Program Files\VideoLAN\VLC\vlc.exe" "http://s3.citrus3.com:8320/stream"</v>
      </c>
      <c r="M1180" t="e">
        <f>VLOOKUP(A1180,logos!$A$2:$A$10004,1,FALSE)</f>
        <v>#N/A</v>
      </c>
    </row>
    <row r="1181" spans="1:13" hidden="1" x14ac:dyDescent="0.55000000000000004">
      <c r="A1181" t="s">
        <v>372</v>
      </c>
      <c r="B1181" t="s">
        <v>1669</v>
      </c>
      <c r="C1181" t="s">
        <v>374</v>
      </c>
      <c r="D1181" t="s">
        <v>1657</v>
      </c>
      <c r="E1181" t="s">
        <v>23</v>
      </c>
      <c r="F1181" t="str">
        <f t="shared" si="18"/>
        <v>"C:\Program Files\VideoLAN\VLC\vlc.exe" "http://stream.deliteonline.com:48000/live192"</v>
      </c>
      <c r="M1181" t="e">
        <f>VLOOKUP(A1181,logos!$A$2:$A$10004,1,FALSE)</f>
        <v>#N/A</v>
      </c>
    </row>
    <row r="1182" spans="1:13" hidden="1" x14ac:dyDescent="0.55000000000000004">
      <c r="A1182" t="s">
        <v>384</v>
      </c>
      <c r="B1182" t="s">
        <v>1669</v>
      </c>
      <c r="C1182" t="s">
        <v>383</v>
      </c>
      <c r="D1182" t="s">
        <v>1657</v>
      </c>
      <c r="E1182" t="s">
        <v>23</v>
      </c>
      <c r="F1182" t="str">
        <f t="shared" si="18"/>
        <v>"C:\Program Files\VideoLAN\VLC\vlc.exe" "http://fra-ranger01.dedicateware.com:18010/stream"</v>
      </c>
      <c r="M1182" t="e">
        <f>VLOOKUP(A1182,logos!$A$2:$A$10004,1,FALSE)</f>
        <v>#N/A</v>
      </c>
    </row>
    <row r="1183" spans="1:13" hidden="1" x14ac:dyDescent="0.55000000000000004">
      <c r="A1183" t="s">
        <v>386</v>
      </c>
      <c r="B1183" t="s">
        <v>1669</v>
      </c>
      <c r="C1183" t="s">
        <v>385</v>
      </c>
      <c r="D1183" t="s">
        <v>1657</v>
      </c>
      <c r="E1183" t="s">
        <v>23</v>
      </c>
      <c r="F1183" t="str">
        <f t="shared" si="18"/>
        <v>"C:\Program Files\VideoLAN\VLC\vlc.exe" "http://109.169.54.86:8018/live"</v>
      </c>
      <c r="M1183" t="e">
        <f>VLOOKUP(A1183,logos!$A$2:$A$10004,1,FALSE)</f>
        <v>#N/A</v>
      </c>
    </row>
    <row r="1184" spans="1:13" hidden="1" x14ac:dyDescent="0.55000000000000004">
      <c r="A1184" t="s">
        <v>401</v>
      </c>
      <c r="B1184" t="s">
        <v>1669</v>
      </c>
      <c r="C1184" t="s">
        <v>400</v>
      </c>
      <c r="D1184" t="s">
        <v>1657</v>
      </c>
      <c r="E1184" t="s">
        <v>23</v>
      </c>
      <c r="F1184" t="str">
        <f t="shared" si="18"/>
        <v>"C:\Program Files\VideoLAN\VLC\vlc.exe" "http://s5.radio.co:80/s813789af2/listen"</v>
      </c>
      <c r="M1184" t="e">
        <f>VLOOKUP(A1184,logos!$A$2:$A$10004,1,FALSE)</f>
        <v>#N/A</v>
      </c>
    </row>
    <row r="1185" spans="1:13" hidden="1" x14ac:dyDescent="0.55000000000000004">
      <c r="A1185" t="s">
        <v>407</v>
      </c>
      <c r="B1185" t="s">
        <v>1669</v>
      </c>
      <c r="C1185" t="s">
        <v>408</v>
      </c>
      <c r="D1185" t="s">
        <v>1657</v>
      </c>
      <c r="E1185" t="s">
        <v>23</v>
      </c>
      <c r="F1185" t="str">
        <f t="shared" si="18"/>
        <v>"C:\Program Files\VideoLAN\VLC\vlc.exe" "http://aries.streaming.zfast.co.uk:8116/stream"</v>
      </c>
      <c r="M1185" t="e">
        <f>VLOOKUP(A1185,logos!$A$2:$A$10004,1,FALSE)</f>
        <v>#N/A</v>
      </c>
    </row>
    <row r="1186" spans="1:13" hidden="1" x14ac:dyDescent="0.55000000000000004">
      <c r="A1186" t="s">
        <v>2761</v>
      </c>
      <c r="B1186" t="s">
        <v>1669</v>
      </c>
      <c r="C1186" t="s">
        <v>703</v>
      </c>
      <c r="D1186" t="s">
        <v>1657</v>
      </c>
      <c r="E1186" t="s">
        <v>23</v>
      </c>
      <c r="F1186" t="str">
        <f t="shared" si="18"/>
        <v>"C:\Program Files\VideoLAN\VLC\vlc.exe" "http://radio2.hopefm.org.uk:12364/live-stream128"</v>
      </c>
      <c r="M1186" t="e">
        <f>VLOOKUP(A1186,logos!$A$2:$A$10004,1,FALSE)</f>
        <v>#N/A</v>
      </c>
    </row>
    <row r="1187" spans="1:13" hidden="1" x14ac:dyDescent="0.55000000000000004">
      <c r="A1187" t="s">
        <v>2836</v>
      </c>
      <c r="B1187" t="s">
        <v>1669</v>
      </c>
      <c r="C1187" t="s">
        <v>2163</v>
      </c>
      <c r="D1187" t="s">
        <v>1657</v>
      </c>
      <c r="E1187" t="s">
        <v>23</v>
      </c>
      <c r="F1187" t="str">
        <f t="shared" si="18"/>
        <v>"C:\Program Files\VideoLAN\VLC\vlc.exe" "http://streamstwo.anytek.co.uk:8027/stream"</v>
      </c>
      <c r="M1187" t="e">
        <f>VLOOKUP(A1187,logos!$A$2:$A$10004,1,FALSE)</f>
        <v>#N/A</v>
      </c>
    </row>
    <row r="1188" spans="1:13" hidden="1" x14ac:dyDescent="0.55000000000000004">
      <c r="A1188" t="s">
        <v>801</v>
      </c>
      <c r="B1188" t="s">
        <v>1669</v>
      </c>
      <c r="C1188" t="s">
        <v>800</v>
      </c>
      <c r="D1188" t="s">
        <v>1657</v>
      </c>
      <c r="E1188" t="s">
        <v>23</v>
      </c>
      <c r="F1188" t="str">
        <f t="shared" si="18"/>
        <v>"C:\Program Files\VideoLAN\VLC\vlc.exe" "http://listen-lycaradio.sharp-stream.com/1035.mp3?ref=RF"</v>
      </c>
      <c r="M1188" t="e">
        <f>VLOOKUP(A1188,logos!$A$2:$A$10004,1,FALSE)</f>
        <v>#N/A</v>
      </c>
    </row>
    <row r="1189" spans="1:13" hidden="1" x14ac:dyDescent="0.55000000000000004">
      <c r="A1189" t="s">
        <v>920</v>
      </c>
      <c r="B1189" t="s">
        <v>1669</v>
      </c>
      <c r="C1189" t="s">
        <v>921</v>
      </c>
      <c r="D1189" t="s">
        <v>1657</v>
      </c>
      <c r="E1189" t="s">
        <v>23</v>
      </c>
      <c r="F1189" t="str">
        <f t="shared" si="18"/>
        <v>"C:\Program Files\VideoLAN\VLC\vlc.exe" "http://noodsradio.out.airtime.pro:8000/noodsradio_a"</v>
      </c>
      <c r="M1189" t="str">
        <f>VLOOKUP(A1189,logos!$A$2:$A$10004,1,FALSE)</f>
        <v>NOODS Radio</v>
      </c>
    </row>
    <row r="1190" spans="1:13" hidden="1" x14ac:dyDescent="0.55000000000000004">
      <c r="A1190" t="s">
        <v>937</v>
      </c>
      <c r="B1190" t="s">
        <v>1669</v>
      </c>
      <c r="C1190" t="s">
        <v>938</v>
      </c>
      <c r="D1190" t="s">
        <v>1657</v>
      </c>
      <c r="E1190" t="s">
        <v>23</v>
      </c>
      <c r="F1190" t="str">
        <f t="shared" si="18"/>
        <v>"C:\Program Files\VideoLAN\VLC\vlc.exe" "http://playoutonestreaming.com:8075/stream"</v>
      </c>
      <c r="M1190" t="e">
        <f>VLOOKUP(A1190,logos!$A$2:$A$10004,1,FALSE)</f>
        <v>#N/A</v>
      </c>
    </row>
    <row r="1191" spans="1:13" hidden="1" x14ac:dyDescent="0.55000000000000004">
      <c r="A1191" t="s">
        <v>944</v>
      </c>
      <c r="B1191" t="s">
        <v>1669</v>
      </c>
      <c r="C1191" t="s">
        <v>943</v>
      </c>
      <c r="D1191" t="s">
        <v>1657</v>
      </c>
      <c r="E1191" t="s">
        <v>23</v>
      </c>
      <c r="F1191" t="str">
        <f t="shared" si="18"/>
        <v>"C:\Program Files\VideoLAN\VLC\vlc.exe" "http://streams.radio.co:80/sbaa068f97/listen"</v>
      </c>
      <c r="M1191" t="e">
        <f>VLOOKUP(A1191,logos!$A$2:$A$10004,1,FALSE)</f>
        <v>#N/A</v>
      </c>
    </row>
    <row r="1192" spans="1:13" hidden="1" x14ac:dyDescent="0.55000000000000004">
      <c r="A1192" t="s">
        <v>1039</v>
      </c>
      <c r="B1192" t="s">
        <v>1669</v>
      </c>
      <c r="C1192" t="s">
        <v>1038</v>
      </c>
      <c r="D1192" t="s">
        <v>1657</v>
      </c>
      <c r="E1192" t="s">
        <v>23</v>
      </c>
      <c r="F1192" t="str">
        <f t="shared" si="18"/>
        <v>"C:\Program Files\VideoLAN\VLC\vlc.exe" "http://213.159.214.57:8000/matryoshka"</v>
      </c>
      <c r="M1192" t="e">
        <f>VLOOKUP(A1192,logos!$A$2:$A$10004,1,FALSE)</f>
        <v>#N/A</v>
      </c>
    </row>
    <row r="1193" spans="1:13" hidden="1" x14ac:dyDescent="0.55000000000000004">
      <c r="A1193" t="s">
        <v>1053</v>
      </c>
      <c r="B1193" t="s">
        <v>1669</v>
      </c>
      <c r="C1193" t="s">
        <v>1052</v>
      </c>
      <c r="D1193" t="s">
        <v>1657</v>
      </c>
      <c r="E1193" t="s">
        <v>23</v>
      </c>
      <c r="F1193" t="str">
        <f t="shared" si="18"/>
        <v>"C:\Program Files\VideoLAN\VLC\vlc.exe" "http://hyades.shoutca.st:8034/live"</v>
      </c>
      <c r="M1193" t="e">
        <f>VLOOKUP(A1193,logos!$A$2:$A$10004,1,FALSE)</f>
        <v>#N/A</v>
      </c>
    </row>
    <row r="1194" spans="1:13" hidden="1" x14ac:dyDescent="0.55000000000000004">
      <c r="A1194" t="s">
        <v>1067</v>
      </c>
      <c r="B1194" t="s">
        <v>1669</v>
      </c>
      <c r="C1194" t="s">
        <v>1066</v>
      </c>
      <c r="D1194" t="s">
        <v>1657</v>
      </c>
      <c r="E1194" t="s">
        <v>23</v>
      </c>
      <c r="F1194" t="str">
        <f t="shared" si="18"/>
        <v>"C:\Program Files\VideoLAN\VLC\vlc.exe" "http://stream1.themediasite.co.uk:8046/stream"</v>
      </c>
      <c r="M1194" t="e">
        <f>VLOOKUP(A1194,logos!$A$2:$A$10004,1,FALSE)</f>
        <v>#N/A</v>
      </c>
    </row>
    <row r="1195" spans="1:13" hidden="1" x14ac:dyDescent="0.55000000000000004">
      <c r="A1195" t="s">
        <v>1071</v>
      </c>
      <c r="B1195" t="s">
        <v>1669</v>
      </c>
      <c r="C1195" t="s">
        <v>1072</v>
      </c>
      <c r="D1195" t="s">
        <v>1657</v>
      </c>
      <c r="E1195" t="s">
        <v>23</v>
      </c>
      <c r="F1195" t="str">
        <f t="shared" si="18"/>
        <v>"C:\Program Files\VideoLAN\VLC\vlc.exe" "http://stream.resonance.fm:80/resonance-extra"</v>
      </c>
      <c r="M1195" t="e">
        <f>VLOOKUP(A1195,logos!$A$2:$A$10004,1,FALSE)</f>
        <v>#N/A</v>
      </c>
    </row>
    <row r="1196" spans="1:13" hidden="1" x14ac:dyDescent="0.55000000000000004">
      <c r="A1196" t="s">
        <v>2837</v>
      </c>
      <c r="B1196" t="s">
        <v>1669</v>
      </c>
      <c r="C1196" t="s">
        <v>1077</v>
      </c>
      <c r="D1196" t="s">
        <v>1657</v>
      </c>
      <c r="E1196" t="s">
        <v>23</v>
      </c>
      <c r="F1196" t="str">
        <f t="shared" si="18"/>
        <v>"C:\Program Files\VideoLAN\VLC\vlc.exe" "http://listen.radioking.com/radio/376111/stream/426805?ref=rf"</v>
      </c>
      <c r="M1196" t="e">
        <f>VLOOKUP(A1196,logos!$A$2:$A$10004,1,FALSE)</f>
        <v>#N/A</v>
      </c>
    </row>
    <row r="1197" spans="1:13" hidden="1" x14ac:dyDescent="0.55000000000000004">
      <c r="A1197" t="s">
        <v>1096</v>
      </c>
      <c r="B1197" t="s">
        <v>1669</v>
      </c>
      <c r="C1197" t="s">
        <v>1095</v>
      </c>
      <c r="D1197" t="s">
        <v>1657</v>
      </c>
      <c r="E1197" t="s">
        <v>23</v>
      </c>
      <c r="F1197" t="str">
        <f t="shared" si="18"/>
        <v>"C:\Program Files\VideoLAN\VLC\vlc.exe" "http://s4.xrad.io:8086/stream"</v>
      </c>
      <c r="M1197" t="e">
        <f>VLOOKUP(A1197,logos!$A$2:$A$10004,1,FALSE)</f>
        <v>#N/A</v>
      </c>
    </row>
    <row r="1198" spans="1:13" hidden="1" x14ac:dyDescent="0.55000000000000004">
      <c r="A1198" t="s">
        <v>1098</v>
      </c>
      <c r="B1198" t="s">
        <v>1669</v>
      </c>
      <c r="C1198" t="s">
        <v>1097</v>
      </c>
      <c r="D1198" t="s">
        <v>1657</v>
      </c>
      <c r="E1198" t="s">
        <v>23</v>
      </c>
      <c r="F1198" t="str">
        <f t="shared" si="18"/>
        <v>"C:\Program Files\VideoLAN\VLC\vlc.exe" "http://s2.radio.co:80/s0dc6b5c9b/listen"</v>
      </c>
      <c r="M1198" t="e">
        <f>VLOOKUP(A1198,logos!$A$2:$A$10004,1,FALSE)</f>
        <v>#N/A</v>
      </c>
    </row>
    <row r="1199" spans="1:13" hidden="1" x14ac:dyDescent="0.55000000000000004">
      <c r="A1199" t="s">
        <v>1110</v>
      </c>
      <c r="B1199" t="s">
        <v>1669</v>
      </c>
      <c r="C1199" t="s">
        <v>1111</v>
      </c>
      <c r="D1199" t="s">
        <v>1657</v>
      </c>
      <c r="E1199" t="s">
        <v>23</v>
      </c>
      <c r="F1199" t="str">
        <f t="shared" si="18"/>
        <v>"C:\Program Files\VideoLAN\VLC\vlc.exe" "http://tx9.zetcast.net:8100/stream?ref=RF"</v>
      </c>
      <c r="M1199" t="e">
        <f>VLOOKUP(A1199,logos!$A$2:$A$10004,1,FALSE)</f>
        <v>#N/A</v>
      </c>
    </row>
    <row r="1200" spans="1:13" hidden="1" x14ac:dyDescent="0.55000000000000004">
      <c r="A1200" t="s">
        <v>1120</v>
      </c>
      <c r="B1200" t="s">
        <v>1669</v>
      </c>
      <c r="C1200" t="s">
        <v>2335</v>
      </c>
      <c r="D1200" t="s">
        <v>1657</v>
      </c>
      <c r="E1200" t="s">
        <v>23</v>
      </c>
      <c r="F1200" t="str">
        <f t="shared" si="18"/>
        <v>"C:\Program Files\VideoLAN\VLC\vlc.exe" "http://edge-audio-02-thn.sharp-stream.com:80/slackcity.mp3"</v>
      </c>
      <c r="M1200" t="e">
        <f>VLOOKUP(A1200,logos!$A$2:$A$10004,1,FALSE)</f>
        <v>#N/A</v>
      </c>
    </row>
    <row r="1201" spans="1:13" hidden="1" x14ac:dyDescent="0.55000000000000004">
      <c r="A1201" t="s">
        <v>1181</v>
      </c>
      <c r="B1201" t="s">
        <v>1669</v>
      </c>
      <c r="C1201" t="s">
        <v>1182</v>
      </c>
      <c r="D1201" t="s">
        <v>1657</v>
      </c>
      <c r="E1201" t="s">
        <v>23</v>
      </c>
      <c r="F1201" t="str">
        <f t="shared" si="18"/>
        <v>"C:\Program Files\VideoLAN\VLC\vlc.exe" "http://82.163.73.123:8330/stream"</v>
      </c>
      <c r="M1201" t="e">
        <f>VLOOKUP(A1201,logos!$A$2:$A$10004,1,FALSE)</f>
        <v>#N/A</v>
      </c>
    </row>
    <row r="1202" spans="1:13" hidden="1" x14ac:dyDescent="0.55000000000000004">
      <c r="A1202" t="s">
        <v>1199</v>
      </c>
      <c r="B1202" t="s">
        <v>1669</v>
      </c>
      <c r="C1202" t="s">
        <v>1200</v>
      </c>
      <c r="D1202" t="s">
        <v>1657</v>
      </c>
      <c r="E1202" t="s">
        <v>23</v>
      </c>
      <c r="F1202" t="str">
        <f t="shared" si="18"/>
        <v>"C:\Program Files\VideoLAN\VLC\vlc.exe" "http://stream2.hippynet.co.uk:8084/stream.mp3"</v>
      </c>
      <c r="M1202" t="e">
        <f>VLOOKUP(A1202,logos!$A$2:$A$10004,1,FALSE)</f>
        <v>#N/A</v>
      </c>
    </row>
    <row r="1203" spans="1:13" hidden="1" x14ac:dyDescent="0.55000000000000004">
      <c r="A1203" t="s">
        <v>1257</v>
      </c>
      <c r="B1203" t="s">
        <v>1669</v>
      </c>
      <c r="C1203" t="s">
        <v>1259</v>
      </c>
      <c r="D1203" t="s">
        <v>1657</v>
      </c>
      <c r="E1203" t="s">
        <v>23</v>
      </c>
      <c r="F1203" t="str">
        <f t="shared" si="18"/>
        <v>"C:\Program Files\VideoLAN\VLC\vlc.exe" "http://therockservice.servebeer.com:7997/"</v>
      </c>
      <c r="M1203" t="e">
        <f>VLOOKUP(A1203,logos!$A$2:$A$10004,1,FALSE)</f>
        <v>#N/A</v>
      </c>
    </row>
    <row r="1204" spans="1:13" hidden="1" x14ac:dyDescent="0.55000000000000004">
      <c r="A1204" t="s">
        <v>1269</v>
      </c>
      <c r="B1204" t="s">
        <v>1669</v>
      </c>
      <c r="C1204" t="s">
        <v>1268</v>
      </c>
      <c r="D1204" t="s">
        <v>1657</v>
      </c>
      <c r="E1204" t="s">
        <v>23</v>
      </c>
      <c r="F1204" t="str">
        <f t="shared" si="18"/>
        <v>"C:\Program Files\VideoLAN\VLC\vlc.exe" "http://listen-lycaradio.sharp-stream.com/1075.mp3?ref=RF"</v>
      </c>
      <c r="M1204" t="e">
        <f>VLOOKUP(A1204,logos!$A$2:$A$10004,1,FALSE)</f>
        <v>#N/A</v>
      </c>
    </row>
    <row r="1205" spans="1:13" hidden="1" x14ac:dyDescent="0.55000000000000004">
      <c r="A1205" t="s">
        <v>1283</v>
      </c>
      <c r="B1205" t="s">
        <v>1669</v>
      </c>
      <c r="C1205" t="s">
        <v>1282</v>
      </c>
      <c r="D1205" t="s">
        <v>1657</v>
      </c>
      <c r="E1205" t="s">
        <v>23</v>
      </c>
      <c r="F1205" t="str">
        <f t="shared" si="18"/>
        <v>"C:\Program Files\VideoLAN\VLC\vlc.exe" "http://stream1.themediasite.co.uk:8008/stream"</v>
      </c>
      <c r="M1205" t="e">
        <f>VLOOKUP(A1205,logos!$A$2:$A$10004,1,FALSE)</f>
        <v>#N/A</v>
      </c>
    </row>
    <row r="1206" spans="1:13" hidden="1" x14ac:dyDescent="0.55000000000000004">
      <c r="A1206" t="s">
        <v>2839</v>
      </c>
      <c r="B1206" t="s">
        <v>1669</v>
      </c>
      <c r="C1206" t="s">
        <v>2346</v>
      </c>
      <c r="D1206" t="s">
        <v>1657</v>
      </c>
      <c r="E1206" t="s">
        <v>23</v>
      </c>
      <c r="F1206" t="str">
        <f t="shared" si="18"/>
        <v>"C:\Program Files\VideoLAN\VLC\vlc.exe" "http://edge-audio-02-thn.sharp-stream.com:80/urfonline.mp3"</v>
      </c>
      <c r="M1206" t="e">
        <f>VLOOKUP(A1206,logos!$A$2:$A$10004,1,FALSE)</f>
        <v>#N/A</v>
      </c>
    </row>
    <row r="1207" spans="1:13" hidden="1" x14ac:dyDescent="0.55000000000000004">
      <c r="A1207" t="s">
        <v>1691</v>
      </c>
      <c r="B1207" t="s">
        <v>1669</v>
      </c>
      <c r="C1207" t="s">
        <v>1325</v>
      </c>
      <c r="D1207" t="s">
        <v>1657</v>
      </c>
      <c r="E1207" t="s">
        <v>23</v>
      </c>
      <c r="F1207" t="str">
        <f t="shared" si="18"/>
        <v>"C:\Program Files\VideoLAN\VLC\vlc.exe" "http://s2.stationplaylist.com:7012/listen.mp3"</v>
      </c>
      <c r="M1207" t="e">
        <f>VLOOKUP(A1207,logos!$A$2:$A$10004,1,FALSE)</f>
        <v>#N/A</v>
      </c>
    </row>
    <row r="1208" spans="1:13" hidden="1" x14ac:dyDescent="0.55000000000000004">
      <c r="A1208" t="s">
        <v>2841</v>
      </c>
      <c r="B1208" t="s">
        <v>1669</v>
      </c>
      <c r="C1208" t="s">
        <v>1337</v>
      </c>
      <c r="D1208" t="s">
        <v>1657</v>
      </c>
      <c r="E1208" t="s">
        <v>23</v>
      </c>
      <c r="F1208" t="str">
        <f t="shared" si="18"/>
        <v>"C:\Program Files\VideoLAN\VLC\vlc.exe" "http://ec1.yesstreaming.net:1490/stream"</v>
      </c>
      <c r="M1208" t="e">
        <f>VLOOKUP(A1208,logos!$A$2:$A$10004,1,FALSE)</f>
        <v>#N/A</v>
      </c>
    </row>
    <row r="1209" spans="1:13" hidden="1" x14ac:dyDescent="0.55000000000000004">
      <c r="A1209" t="s">
        <v>1016</v>
      </c>
      <c r="B1209" t="s">
        <v>1696</v>
      </c>
      <c r="C1209" t="s">
        <v>1015</v>
      </c>
      <c r="D1209" t="s">
        <v>1657</v>
      </c>
      <c r="E1209" t="s">
        <v>23</v>
      </c>
      <c r="F1209" t="str">
        <f t="shared" si="18"/>
        <v>"C:\Program Files\VideoLAN\VLC\vlc.exe" "http://78.129.202.200:10568/;"</v>
      </c>
      <c r="M1209" t="e">
        <f>VLOOKUP(A1209,logos!$A$2:$A$10004,1,FALSE)</f>
        <v>#N/A</v>
      </c>
    </row>
    <row r="1210" spans="1:13" hidden="1" x14ac:dyDescent="0.55000000000000004">
      <c r="A1210" t="s">
        <v>1016</v>
      </c>
      <c r="B1210" t="s">
        <v>1696</v>
      </c>
      <c r="C1210" t="s">
        <v>1018</v>
      </c>
      <c r="D1210" t="s">
        <v>1657</v>
      </c>
      <c r="E1210" t="s">
        <v>23</v>
      </c>
      <c r="F1210" t="str">
        <f t="shared" si="18"/>
        <v>"C:\Program Files\VideoLAN\VLC\vlc.exe" "http://78.129.202.200:10558/"</v>
      </c>
      <c r="M1210" t="e">
        <f>VLOOKUP(A1210,logos!$A$2:$A$10004,1,FALSE)</f>
        <v>#N/A</v>
      </c>
    </row>
    <row r="1211" spans="1:13" hidden="1" x14ac:dyDescent="0.55000000000000004">
      <c r="A1211" t="s">
        <v>1061</v>
      </c>
      <c r="B1211" t="s">
        <v>1696</v>
      </c>
      <c r="C1211" t="s">
        <v>1060</v>
      </c>
      <c r="D1211" t="s">
        <v>1657</v>
      </c>
      <c r="E1211" t="s">
        <v>23</v>
      </c>
      <c r="F1211" t="str">
        <f t="shared" si="18"/>
        <v>"C:\Program Files\VideoLAN\VLC\vlc.exe" "http://sc18.strictlyhosting.co.uk:8000/"</v>
      </c>
      <c r="M1211" t="e">
        <f>VLOOKUP(A1211,logos!$A$2:$A$10004,1,FALSE)</f>
        <v>#N/A</v>
      </c>
    </row>
    <row r="1212" spans="1:13" hidden="1" x14ac:dyDescent="0.55000000000000004">
      <c r="A1212" t="s">
        <v>56</v>
      </c>
      <c r="B1212" t="s">
        <v>1666</v>
      </c>
      <c r="C1212" t="s">
        <v>55</v>
      </c>
      <c r="D1212" t="s">
        <v>1657</v>
      </c>
      <c r="E1212" t="s">
        <v>23</v>
      </c>
      <c r="F1212" t="str">
        <f t="shared" si="18"/>
        <v>"C:\Program Files\VideoLAN\VLC\vlc.exe" "http://88.208.244.107:8002/stream"</v>
      </c>
      <c r="M1212" t="e">
        <f>VLOOKUP(A1212,logos!$A$2:$A$10004,1,FALSE)</f>
        <v>#N/A</v>
      </c>
    </row>
    <row r="1213" spans="1:13" hidden="1" x14ac:dyDescent="0.55000000000000004">
      <c r="A1213" t="s">
        <v>75</v>
      </c>
      <c r="B1213" t="s">
        <v>1666</v>
      </c>
      <c r="C1213" t="s">
        <v>77</v>
      </c>
      <c r="D1213" t="s">
        <v>1657</v>
      </c>
      <c r="E1213" t="s">
        <v>23</v>
      </c>
      <c r="F1213" t="str">
        <f t="shared" si="18"/>
        <v>"C:\Program Files\VideoLAN\VLC\vlc.exe" "http://s1.voscast.com:9038/"</v>
      </c>
      <c r="M1213" t="e">
        <f>VLOOKUP(A1213,logos!$A$2:$A$10004,1,FALSE)</f>
        <v>#N/A</v>
      </c>
    </row>
    <row r="1214" spans="1:13" hidden="1" x14ac:dyDescent="0.55000000000000004">
      <c r="A1214" t="s">
        <v>88</v>
      </c>
      <c r="B1214" t="s">
        <v>1666</v>
      </c>
      <c r="C1214" t="s">
        <v>87</v>
      </c>
      <c r="D1214" t="s">
        <v>1657</v>
      </c>
      <c r="E1214" t="s">
        <v>23</v>
      </c>
      <c r="F1214" t="str">
        <f t="shared" si="18"/>
        <v>"C:\Program Files\VideoLAN\VLC\vlc.exe" "http://streaming03.zfast.co.uk:8021/stream"</v>
      </c>
      <c r="M1214" t="e">
        <f>VLOOKUP(A1214,logos!$A$2:$A$10004,1,FALSE)</f>
        <v>#N/A</v>
      </c>
    </row>
    <row r="1215" spans="1:13" hidden="1" x14ac:dyDescent="0.55000000000000004">
      <c r="A1215" t="s">
        <v>324</v>
      </c>
      <c r="B1215" t="s">
        <v>1666</v>
      </c>
      <c r="C1215" t="s">
        <v>325</v>
      </c>
      <c r="D1215" t="s">
        <v>1657</v>
      </c>
      <c r="E1215" t="s">
        <v>23</v>
      </c>
      <c r="F1215" t="str">
        <f t="shared" si="18"/>
        <v>"C:\Program Files\VideoLAN\VLC\vlc.exe" "http://msmn7.co:8018/stream"</v>
      </c>
      <c r="M1215" t="e">
        <f>VLOOKUP(A1215,logos!$A$2:$A$10004,1,FALSE)</f>
        <v>#N/A</v>
      </c>
    </row>
    <row r="1216" spans="1:13" hidden="1" x14ac:dyDescent="0.55000000000000004">
      <c r="A1216" t="s">
        <v>405</v>
      </c>
      <c r="B1216" t="s">
        <v>1666</v>
      </c>
      <c r="C1216" t="s">
        <v>404</v>
      </c>
      <c r="D1216" t="s">
        <v>1657</v>
      </c>
      <c r="E1216" t="s">
        <v>23</v>
      </c>
      <c r="F1216" t="str">
        <f t="shared" si="18"/>
        <v>"C:\Program Files\VideoLAN\VLC\vlc.exe" "http://uksouth.streaming.broadcast.radio:15580/energyfm"</v>
      </c>
      <c r="M1216" t="e">
        <f>VLOOKUP(A1216,logos!$A$2:$A$10004,1,FALSE)</f>
        <v>#N/A</v>
      </c>
    </row>
    <row r="1217" spans="1:13" hidden="1" x14ac:dyDescent="0.55000000000000004">
      <c r="A1217" t="s">
        <v>463</v>
      </c>
      <c r="B1217" t="s">
        <v>1666</v>
      </c>
      <c r="C1217" t="s">
        <v>465</v>
      </c>
      <c r="D1217" t="s">
        <v>1657</v>
      </c>
      <c r="E1217" t="s">
        <v>23</v>
      </c>
      <c r="F1217" t="str">
        <f t="shared" si="18"/>
        <v>"C:\Program Files\VideoLAN\VLC\vlc.exe" "http://s6.citrus3.com:8216/stream"</v>
      </c>
      <c r="M1217" t="e">
        <f>VLOOKUP(A1217,logos!$A$2:$A$10004,1,FALSE)</f>
        <v>#N/A</v>
      </c>
    </row>
    <row r="1218" spans="1:13" hidden="1" x14ac:dyDescent="0.55000000000000004">
      <c r="A1218" t="s">
        <v>574</v>
      </c>
      <c r="B1218" t="s">
        <v>1666</v>
      </c>
      <c r="C1218" t="s">
        <v>2161</v>
      </c>
      <c r="D1218" t="s">
        <v>1657</v>
      </c>
      <c r="E1218" t="s">
        <v>23</v>
      </c>
      <c r="F1218" t="str">
        <f t="shared" si="18"/>
        <v>"C:\Program Files\VideoLAN\VLC\vlc.exe" "http://playoutonestreaming.com:8026/dab"</v>
      </c>
      <c r="M1218" t="e">
        <f>VLOOKUP(A1218,logos!$A$2:$A$10004,1,FALSE)</f>
        <v>#N/A</v>
      </c>
    </row>
    <row r="1219" spans="1:13" hidden="1" x14ac:dyDescent="0.55000000000000004">
      <c r="A1219" t="s">
        <v>742</v>
      </c>
      <c r="B1219" t="s">
        <v>1666</v>
      </c>
      <c r="C1219" t="s">
        <v>743</v>
      </c>
      <c r="D1219" t="s">
        <v>1657</v>
      </c>
      <c r="E1219" t="s">
        <v>23</v>
      </c>
      <c r="F1219" t="str">
        <f t="shared" ref="F1219:F1282" si="19">"""C:\Program Files\VideoLAN\VLC\vlc.exe"" """&amp;C1219&amp;""""</f>
        <v>"C:\Program Files\VideoLAN\VLC\vlc.exe" "http://listen-kingdomfm.sharp-stream.com/kingdomdab.mp3?ref=RF"</v>
      </c>
      <c r="M1219" t="str">
        <f>VLOOKUP(A1219,logos!$A$2:$A$10004,1,FALSE)</f>
        <v>Kingdom FM</v>
      </c>
    </row>
    <row r="1220" spans="1:13" hidden="1" x14ac:dyDescent="0.55000000000000004">
      <c r="A1220" t="s">
        <v>914</v>
      </c>
      <c r="B1220" t="s">
        <v>1666</v>
      </c>
      <c r="C1220" t="s">
        <v>915</v>
      </c>
      <c r="D1220" t="s">
        <v>1657</v>
      </c>
      <c r="E1220" t="s">
        <v>23</v>
      </c>
      <c r="F1220" t="str">
        <f t="shared" si="19"/>
        <v>"C:\Program Files\VideoLAN\VLC\vlc.exe" "http://listen-nme.sharp-stream.com/nme1high.mp3?ref=RF"</v>
      </c>
      <c r="M1220" t="e">
        <f>VLOOKUP(A1220,logos!$A$2:$A$10004,1,FALSE)</f>
        <v>#N/A</v>
      </c>
    </row>
    <row r="1221" spans="1:13" hidden="1" x14ac:dyDescent="0.55000000000000004">
      <c r="A1221" t="s">
        <v>917</v>
      </c>
      <c r="B1221" t="s">
        <v>1666</v>
      </c>
      <c r="C1221" t="s">
        <v>918</v>
      </c>
      <c r="D1221" t="s">
        <v>1657</v>
      </c>
      <c r="E1221" t="s">
        <v>23</v>
      </c>
      <c r="F1221" t="str">
        <f t="shared" si="19"/>
        <v>"C:\Program Files\VideoLAN\VLC\vlc.exe" "http://listen-nme.sharp-stream.com/nme2high.mp3?ref=RF"</v>
      </c>
      <c r="M1221" t="e">
        <f>VLOOKUP(A1221,logos!$A$2:$A$10004,1,FALSE)</f>
        <v>#N/A</v>
      </c>
    </row>
    <row r="1222" spans="1:13" hidden="1" x14ac:dyDescent="0.55000000000000004">
      <c r="A1222" t="s">
        <v>1181</v>
      </c>
      <c r="B1222" t="s">
        <v>1666</v>
      </c>
      <c r="C1222" t="s">
        <v>1183</v>
      </c>
      <c r="D1222" t="s">
        <v>1657</v>
      </c>
      <c r="E1222" t="s">
        <v>23</v>
      </c>
      <c r="F1222" t="str">
        <f t="shared" si="19"/>
        <v>"C:\Program Files\VideoLAN\VLC\vlc.exe" "http://88.202.230.61:8330/stream"</v>
      </c>
      <c r="M1222" t="e">
        <f>VLOOKUP(A1222,logos!$A$2:$A$10004,1,FALSE)</f>
        <v>#N/A</v>
      </c>
    </row>
    <row r="1223" spans="1:13" hidden="1" x14ac:dyDescent="0.55000000000000004">
      <c r="A1223" t="s">
        <v>1188</v>
      </c>
      <c r="B1223" t="s">
        <v>1666</v>
      </c>
      <c r="C1223" t="s">
        <v>1189</v>
      </c>
      <c r="D1223" t="s">
        <v>1657</v>
      </c>
      <c r="E1223" t="s">
        <v>23</v>
      </c>
      <c r="F1223" t="str">
        <f t="shared" si="19"/>
        <v>"C:\Program Files\VideoLAN\VLC\vlc.exe" "http://centova.solidradio.co.uk:8000/solidmp3"</v>
      </c>
      <c r="M1223" t="e">
        <f>VLOOKUP(A1223,logos!$A$2:$A$10004,1,FALSE)</f>
        <v>#N/A</v>
      </c>
    </row>
    <row r="1224" spans="1:13" hidden="1" x14ac:dyDescent="0.55000000000000004">
      <c r="A1224" t="s">
        <v>2829</v>
      </c>
      <c r="B1224" t="s">
        <v>1666</v>
      </c>
      <c r="C1224" t="s">
        <v>2185</v>
      </c>
      <c r="D1224" t="s">
        <v>1657</v>
      </c>
      <c r="E1224" t="s">
        <v>23</v>
      </c>
      <c r="F1224" t="str">
        <f t="shared" si="19"/>
        <v>"C:\Program Files\VideoLAN\VLC\vlc.exe" "http://n02a-eu.rcs.revma.com:80/hyyz8327ptzuv"</v>
      </c>
      <c r="M1224" t="e">
        <f>VLOOKUP(A1224,logos!$A$2:$A$10004,1,FALSE)</f>
        <v>#N/A</v>
      </c>
    </row>
    <row r="1225" spans="1:13" hidden="1" x14ac:dyDescent="0.55000000000000004">
      <c r="A1225" t="s">
        <v>1249</v>
      </c>
      <c r="B1225" t="s">
        <v>1666</v>
      </c>
      <c r="C1225" t="s">
        <v>1248</v>
      </c>
      <c r="D1225" t="s">
        <v>1657</v>
      </c>
      <c r="E1225" t="s">
        <v>23</v>
      </c>
      <c r="F1225" t="str">
        <f t="shared" si="19"/>
        <v>"C:\Program Files\VideoLAN\VLC\vlc.exe" "http://uk3.internet-radio.com:8154/live"</v>
      </c>
      <c r="M1225" t="e">
        <f>VLOOKUP(A1225,logos!$A$2:$A$10004,1,FALSE)</f>
        <v>#N/A</v>
      </c>
    </row>
    <row r="1226" spans="1:13" hidden="1" x14ac:dyDescent="0.55000000000000004">
      <c r="A1226" t="s">
        <v>1262</v>
      </c>
      <c r="B1226" t="s">
        <v>1666</v>
      </c>
      <c r="C1226" t="s">
        <v>1263</v>
      </c>
      <c r="D1226" t="s">
        <v>1657</v>
      </c>
      <c r="E1226" t="s">
        <v>23</v>
      </c>
      <c r="F1226" t="str">
        <f t="shared" si="19"/>
        <v>"C:\Program Files\VideoLAN\VLC\vlc.exe" "http://icecast3.rosisystems.com:8000/thevoice_hq"</v>
      </c>
      <c r="M1226" t="e">
        <f>VLOOKUP(A1226,logos!$A$2:$A$10004,1,FALSE)</f>
        <v>#N/A</v>
      </c>
    </row>
    <row r="1227" spans="1:13" hidden="1" x14ac:dyDescent="0.55000000000000004">
      <c r="A1227" t="s">
        <v>1275</v>
      </c>
      <c r="B1227" t="s">
        <v>1666</v>
      </c>
      <c r="C1227" t="s">
        <v>1274</v>
      </c>
      <c r="D1227" t="s">
        <v>1657</v>
      </c>
      <c r="E1227" t="s">
        <v>23</v>
      </c>
      <c r="F1227" t="str">
        <f t="shared" si="19"/>
        <v>"C:\Program Files\VideoLAN\VLC\vlc.exe" "http://s6.citrus3.com:8310/stream"</v>
      </c>
      <c r="M1227" t="e">
        <f>VLOOKUP(A1227,logos!$A$2:$A$10004,1,FALSE)</f>
        <v>#N/A</v>
      </c>
    </row>
    <row r="1228" spans="1:13" hidden="1" x14ac:dyDescent="0.55000000000000004">
      <c r="A1228" t="s">
        <v>1296</v>
      </c>
      <c r="B1228" t="s">
        <v>1666</v>
      </c>
      <c r="C1228" t="s">
        <v>1295</v>
      </c>
      <c r="D1228" t="s">
        <v>1657</v>
      </c>
      <c r="E1228" t="s">
        <v>23</v>
      </c>
      <c r="F1228" t="str">
        <f t="shared" si="19"/>
        <v>"C:\Program Files\VideoLAN\VLC\vlc.exe" "http://live.canstream.co.uk:8000/ucaradio.mp3"</v>
      </c>
      <c r="M1228" t="e">
        <f>VLOOKUP(A1228,logos!$A$2:$A$10004,1,FALSE)</f>
        <v>#N/A</v>
      </c>
    </row>
    <row r="1229" spans="1:13" hidden="1" x14ac:dyDescent="0.55000000000000004">
      <c r="A1229" t="s">
        <v>1298</v>
      </c>
      <c r="B1229" t="s">
        <v>1666</v>
      </c>
      <c r="C1229" t="s">
        <v>1299</v>
      </c>
      <c r="D1229" t="s">
        <v>1657</v>
      </c>
      <c r="E1229" t="s">
        <v>23</v>
      </c>
      <c r="F1229" t="str">
        <f t="shared" si="19"/>
        <v>"C:\Program Files\VideoLAN\VLC\vlc.exe" "http://stream.v2radio.co.uk:80/V2RadioDAB"</v>
      </c>
      <c r="M1229" t="str">
        <f>VLOOKUP(A1229,logos!$A$2:$A$10004,1,FALSE)</f>
        <v>V2 Radio</v>
      </c>
    </row>
    <row r="1230" spans="1:13" hidden="1" x14ac:dyDescent="0.55000000000000004">
      <c r="A1230" t="s">
        <v>1301</v>
      </c>
      <c r="B1230" t="s">
        <v>1666</v>
      </c>
      <c r="C1230" t="s">
        <v>1300</v>
      </c>
      <c r="D1230" t="s">
        <v>1657</v>
      </c>
      <c r="E1230" t="s">
        <v>23</v>
      </c>
      <c r="F1230" t="str">
        <f t="shared" si="19"/>
        <v>"C:\Program Files\VideoLAN\VLC\vlc.exe" "http://playoutonestreaming.com:8133/mp3"</v>
      </c>
      <c r="M1230" t="e">
        <f>VLOOKUP(A1230,logos!$A$2:$A$10004,1,FALSE)</f>
        <v>#N/A</v>
      </c>
    </row>
    <row r="1231" spans="1:13" hidden="1" x14ac:dyDescent="0.55000000000000004">
      <c r="A1231" t="s">
        <v>68</v>
      </c>
      <c r="B1231" t="s">
        <v>1670</v>
      </c>
      <c r="C1231" t="s">
        <v>67</v>
      </c>
      <c r="D1231" t="s">
        <v>1657</v>
      </c>
      <c r="E1231" t="s">
        <v>23</v>
      </c>
      <c r="F1231" t="str">
        <f t="shared" si="19"/>
        <v>"C:\Program Files\VideoLAN\VLC\vlc.exe" "http://live.argyllfm.com/stream?ref=RF"</v>
      </c>
      <c r="M1231" t="e">
        <f>VLOOKUP(A1231,logos!$A$2:$A$10004,1,FALSE)</f>
        <v>#N/A</v>
      </c>
    </row>
    <row r="1232" spans="1:13" hidden="1" x14ac:dyDescent="0.55000000000000004">
      <c r="A1232" t="s">
        <v>2618</v>
      </c>
      <c r="B1232" t="s">
        <v>1670</v>
      </c>
      <c r="C1232" t="s">
        <v>2155</v>
      </c>
      <c r="D1232" t="s">
        <v>1657</v>
      </c>
      <c r="E1232" t="s">
        <v>23</v>
      </c>
      <c r="F1232" t="str">
        <f t="shared" si="19"/>
        <v>"C:\Program Files\VideoLAN\VLC\vlc.exe" "http://edge-audio-05-gos2.sharp-stream.com:80/bridgefmdab.mp3"</v>
      </c>
      <c r="M1232" t="e">
        <f>VLOOKUP(A1232,logos!$A$2:$A$10004,1,FALSE)</f>
        <v>#N/A</v>
      </c>
    </row>
    <row r="1233" spans="1:13" hidden="1" x14ac:dyDescent="0.55000000000000004">
      <c r="A1233" t="s">
        <v>329</v>
      </c>
      <c r="B1233" t="s">
        <v>1670</v>
      </c>
      <c r="C1233" t="s">
        <v>332</v>
      </c>
      <c r="D1233" t="s">
        <v>1657</v>
      </c>
      <c r="E1233" t="s">
        <v>23</v>
      </c>
      <c r="F1233" t="str">
        <f t="shared" si="19"/>
        <v>"C:\Program Files\VideoLAN\VLC\vlc.exe" "http://centreforce.streamgb.com:8830/stream"</v>
      </c>
      <c r="M1233" t="e">
        <f>VLOOKUP(A1233,logos!$A$2:$A$10004,1,FALSE)</f>
        <v>#N/A</v>
      </c>
    </row>
    <row r="1234" spans="1:13" hidden="1" x14ac:dyDescent="0.55000000000000004">
      <c r="A1234" t="s">
        <v>336</v>
      </c>
      <c r="B1234" t="s">
        <v>1670</v>
      </c>
      <c r="C1234" t="s">
        <v>2206</v>
      </c>
      <c r="D1234" t="s">
        <v>1657</v>
      </c>
      <c r="E1234" t="s">
        <v>23</v>
      </c>
      <c r="F1234" t="str">
        <f t="shared" si="19"/>
        <v>"C:\Program Files\VideoLAN\VLC\vlc.exe" "http://n10a-eu.rcs.revma.com:80/1b7wddebanzuv"</v>
      </c>
      <c r="M1234" t="str">
        <f>VLOOKUP(A1234,logos!$A$2:$A$10004,1,FALSE)</f>
        <v>Channel 103</v>
      </c>
    </row>
    <row r="1235" spans="1:13" hidden="1" x14ac:dyDescent="0.55000000000000004">
      <c r="A1235" t="s">
        <v>353</v>
      </c>
      <c r="B1235" t="s">
        <v>1670</v>
      </c>
      <c r="C1235" t="s">
        <v>352</v>
      </c>
      <c r="D1235" t="s">
        <v>1657</v>
      </c>
      <c r="E1235" t="s">
        <v>23</v>
      </c>
      <c r="F1235" t="str">
        <f t="shared" si="19"/>
        <v>"C:\Program Files\VideoLAN\VLC\vlc.exe" "http://streaming.colourfulradio.com:8000/colourful"</v>
      </c>
      <c r="M1235" t="e">
        <f>VLOOKUP(A1235,logos!$A$2:$A$10004,1,FALSE)</f>
        <v>#N/A</v>
      </c>
    </row>
    <row r="1236" spans="1:13" hidden="1" x14ac:dyDescent="0.55000000000000004">
      <c r="A1236" t="s">
        <v>353</v>
      </c>
      <c r="B1236" t="s">
        <v>1670</v>
      </c>
      <c r="C1236" t="s">
        <v>352</v>
      </c>
      <c r="D1236" t="s">
        <v>1657</v>
      </c>
      <c r="E1236" t="s">
        <v>23</v>
      </c>
      <c r="F1236" t="str">
        <f t="shared" si="19"/>
        <v>"C:\Program Files\VideoLAN\VLC\vlc.exe" "http://streaming.colourfulradio.com:8000/colourful"</v>
      </c>
      <c r="M1236" t="e">
        <f>VLOOKUP(A1236,logos!$A$2:$A$10004,1,FALSE)</f>
        <v>#N/A</v>
      </c>
    </row>
    <row r="1237" spans="1:13" hidden="1" x14ac:dyDescent="0.55000000000000004">
      <c r="A1237" t="s">
        <v>2654</v>
      </c>
      <c r="B1237" t="s">
        <v>1670</v>
      </c>
      <c r="C1237" t="s">
        <v>2158</v>
      </c>
      <c r="D1237" t="s">
        <v>1657</v>
      </c>
      <c r="E1237" t="s">
        <v>23</v>
      </c>
      <c r="F1237" t="str">
        <f t="shared" si="19"/>
        <v>"C:\Program Files\VideoLAN\VLC\vlc.exe" "http://edge-audio-05-gos2.sharp-stream.com:80/chriscountrydab.mp3"</v>
      </c>
      <c r="M1237" t="e">
        <f>VLOOKUP(A1237,logos!$A$2:$A$10004,1,FALSE)</f>
        <v>#N/A</v>
      </c>
    </row>
    <row r="1238" spans="1:13" hidden="1" x14ac:dyDescent="0.55000000000000004">
      <c r="A1238" t="s">
        <v>372</v>
      </c>
      <c r="B1238" t="s">
        <v>1670</v>
      </c>
      <c r="C1238" t="s">
        <v>375</v>
      </c>
      <c r="D1238" t="s">
        <v>1657</v>
      </c>
      <c r="E1238" t="s">
        <v>23</v>
      </c>
      <c r="F1238" t="str">
        <f t="shared" si="19"/>
        <v>"C:\Program Files\VideoLAN\VLC\vlc.exe" "http://stream.deliteonline.com:48000/live320"</v>
      </c>
      <c r="M1238" t="e">
        <f>VLOOKUP(A1238,logos!$A$2:$A$10004,1,FALSE)</f>
        <v>#N/A</v>
      </c>
    </row>
    <row r="1239" spans="1:13" hidden="1" x14ac:dyDescent="0.55000000000000004">
      <c r="A1239" t="s">
        <v>381</v>
      </c>
      <c r="B1239" t="s">
        <v>1670</v>
      </c>
      <c r="C1239" t="s">
        <v>2159</v>
      </c>
      <c r="D1239" t="s">
        <v>1657</v>
      </c>
      <c r="E1239" t="s">
        <v>23</v>
      </c>
      <c r="F1239" t="str">
        <f t="shared" si="19"/>
        <v>"C:\Program Files\VideoLAN\VLC\vlc.exe" "http://edge-audio-05-gos2.sharp-stream.com:80/dragonradio-dab.mp3"</v>
      </c>
      <c r="M1239" t="e">
        <f>VLOOKUP(A1239,logos!$A$2:$A$10004,1,FALSE)</f>
        <v>#N/A</v>
      </c>
    </row>
    <row r="1240" spans="1:13" hidden="1" x14ac:dyDescent="0.55000000000000004">
      <c r="A1240" t="s">
        <v>2655</v>
      </c>
      <c r="B1240" t="s">
        <v>1670</v>
      </c>
      <c r="C1240" t="s">
        <v>390</v>
      </c>
      <c r="D1240" t="s">
        <v>1657</v>
      </c>
      <c r="E1240" t="s">
        <v>23</v>
      </c>
      <c r="F1240" t="str">
        <f t="shared" si="19"/>
        <v>"C:\Program Files\VideoLAN\VLC\vlc.exe" "http://listen-nation.sharp-stream.com/nationeasyportsdab.mp3?ref=RF"</v>
      </c>
      <c r="M1240" t="e">
        <f>VLOOKUP(A1240,logos!$A$2:$A$10004,1,FALSE)</f>
        <v>#N/A</v>
      </c>
    </row>
    <row r="1241" spans="1:13" hidden="1" x14ac:dyDescent="0.55000000000000004">
      <c r="A1241" t="s">
        <v>2656</v>
      </c>
      <c r="B1241" t="s">
        <v>1670</v>
      </c>
      <c r="C1241" t="s">
        <v>393</v>
      </c>
      <c r="D1241" t="s">
        <v>1657</v>
      </c>
      <c r="E1241" t="s">
        <v>23</v>
      </c>
      <c r="F1241" t="str">
        <f t="shared" si="19"/>
        <v>"C:\Program Files\VideoLAN\VLC\vlc.exe" "http://listen-nation.sharp-stream.com/nationeasysotondab.mp3?ref=RF"</v>
      </c>
      <c r="M1241" t="e">
        <f>VLOOKUP(A1241,logos!$A$2:$A$10004,1,FALSE)</f>
        <v>#N/A</v>
      </c>
    </row>
    <row r="1242" spans="1:13" hidden="1" x14ac:dyDescent="0.55000000000000004">
      <c r="A1242" t="s">
        <v>2657</v>
      </c>
      <c r="B1242" t="s">
        <v>1670</v>
      </c>
      <c r="C1242" t="s">
        <v>396</v>
      </c>
      <c r="D1242" t="s">
        <v>1657</v>
      </c>
      <c r="E1242" t="s">
        <v>23</v>
      </c>
      <c r="F1242" t="str">
        <f t="shared" si="19"/>
        <v>"C:\Program Files\VideoLAN\VLC\vlc.exe" "http://listen-nation.sharp-stream.com/breezyradioukdab.mp3?ref=RF"</v>
      </c>
      <c r="M1242" t="e">
        <f>VLOOKUP(A1242,logos!$A$2:$A$10004,1,FALSE)</f>
        <v>#N/A</v>
      </c>
    </row>
    <row r="1243" spans="1:13" hidden="1" x14ac:dyDescent="0.55000000000000004">
      <c r="A1243" t="s">
        <v>2658</v>
      </c>
      <c r="B1243" t="s">
        <v>1670</v>
      </c>
      <c r="C1243" t="s">
        <v>2160</v>
      </c>
      <c r="D1243" t="s">
        <v>1657</v>
      </c>
      <c r="E1243" t="s">
        <v>23</v>
      </c>
      <c r="F1243" t="str">
        <f t="shared" si="19"/>
        <v>"C:\Program Files\VideoLAN\VLC\vlc.exe" "http://edge-audio-05-gos2.sharp-stream.com:80/swanseabay.mp3"</v>
      </c>
      <c r="M1243" t="e">
        <f>VLOOKUP(A1243,logos!$A$2:$A$10004,1,FALSE)</f>
        <v>#N/A</v>
      </c>
    </row>
    <row r="1244" spans="1:13" hidden="1" x14ac:dyDescent="0.55000000000000004">
      <c r="A1244" t="s">
        <v>2662</v>
      </c>
      <c r="B1244" t="s">
        <v>1670</v>
      </c>
      <c r="C1244" t="s">
        <v>438</v>
      </c>
      <c r="D1244" t="s">
        <v>1657</v>
      </c>
      <c r="E1244" t="s">
        <v>23</v>
      </c>
      <c r="F1244" t="str">
        <f t="shared" si="19"/>
        <v>"C:\Program Files\VideoLAN\VLC\vlc.exe" "http://listen-gaydio.sharp-stream.com/467_gaydio_birmingham_320_mp3?ref=RF"</v>
      </c>
      <c r="M1244" t="e">
        <f>VLOOKUP(A1244,logos!$A$2:$A$10004,1,FALSE)</f>
        <v>#N/A</v>
      </c>
    </row>
    <row r="1245" spans="1:13" hidden="1" x14ac:dyDescent="0.55000000000000004">
      <c r="A1245" t="s">
        <v>2663</v>
      </c>
      <c r="B1245" t="s">
        <v>1670</v>
      </c>
      <c r="C1245" t="s">
        <v>441</v>
      </c>
      <c r="D1245" t="s">
        <v>1657</v>
      </c>
      <c r="E1245" t="s">
        <v>23</v>
      </c>
      <c r="F1245" t="str">
        <f t="shared" si="19"/>
        <v>"C:\Program Files\VideoLAN\VLC\vlc.exe" "http://listen-gaydio.sharp-stream.com/76_gaydio_scotland_320?ref=RF"</v>
      </c>
      <c r="M1245" t="e">
        <f>VLOOKUP(A1245,logos!$A$2:$A$10004,1,FALSE)</f>
        <v>#N/A</v>
      </c>
    </row>
    <row r="1246" spans="1:13" hidden="1" x14ac:dyDescent="0.55000000000000004">
      <c r="A1246" t="s">
        <v>2664</v>
      </c>
      <c r="B1246" t="s">
        <v>1670</v>
      </c>
      <c r="C1246" t="s">
        <v>444</v>
      </c>
      <c r="D1246" t="s">
        <v>1657</v>
      </c>
      <c r="E1246" t="s">
        <v>23</v>
      </c>
      <c r="F1246" t="str">
        <f t="shared" si="19"/>
        <v>"C:\Program Files\VideoLAN\VLC\vlc.exe" "http://listen-gaydio.sharp-stream.com/472_gaydio_london_320_mp3?ref=RF"</v>
      </c>
      <c r="M1246" t="e">
        <f>VLOOKUP(A1246,logos!$A$2:$A$10004,1,FALSE)</f>
        <v>#N/A</v>
      </c>
    </row>
    <row r="1247" spans="1:13" hidden="1" x14ac:dyDescent="0.55000000000000004">
      <c r="A1247" t="s">
        <v>2665</v>
      </c>
      <c r="B1247" t="s">
        <v>1670</v>
      </c>
      <c r="C1247" t="s">
        <v>447</v>
      </c>
      <c r="D1247" t="s">
        <v>1657</v>
      </c>
      <c r="E1247" t="s">
        <v>23</v>
      </c>
      <c r="F1247" t="str">
        <f t="shared" si="19"/>
        <v>"C:\Program Files\VideoLAN\VLC\vlc.exe" "http://listen-gaydio.sharp-stream.com/gaydioukhq.mp3?ref=RF"</v>
      </c>
      <c r="M1247" t="e">
        <f>VLOOKUP(A1247,logos!$A$2:$A$10004,1,FALSE)</f>
        <v>#N/A</v>
      </c>
    </row>
    <row r="1248" spans="1:13" hidden="1" x14ac:dyDescent="0.55000000000000004">
      <c r="A1248" t="s">
        <v>467</v>
      </c>
      <c r="B1248" t="s">
        <v>1670</v>
      </c>
      <c r="C1248" t="s">
        <v>466</v>
      </c>
      <c r="D1248" t="s">
        <v>1657</v>
      </c>
      <c r="E1248" t="s">
        <v>23</v>
      </c>
      <c r="F1248" t="str">
        <f t="shared" si="19"/>
        <v>"C:\Program Files\VideoLAN\VLC\vlc.exe" "http://my.superstreaming.co.uk:8064/gyronline"</v>
      </c>
      <c r="M1248" t="e">
        <f>VLOOKUP(A1248,logos!$A$2:$A$10004,1,FALSE)</f>
        <v>#N/A</v>
      </c>
    </row>
    <row r="1249" spans="1:13" hidden="1" x14ac:dyDescent="0.55000000000000004">
      <c r="A1249" t="s">
        <v>718</v>
      </c>
      <c r="B1249" t="s">
        <v>1670</v>
      </c>
      <c r="C1249" t="s">
        <v>2284</v>
      </c>
      <c r="D1249" t="s">
        <v>1657</v>
      </c>
      <c r="E1249" t="s">
        <v>23</v>
      </c>
      <c r="F1249" t="str">
        <f t="shared" si="19"/>
        <v>"C:\Program Files\VideoLAN\VLC\vlc.exe" "http://n10a-eu.rcs.revma.com:80/epatpyebanzuv"</v>
      </c>
      <c r="M1249" t="str">
        <f>VLOOKUP(A1249,logos!$A$2:$A$10004,1,FALSE)</f>
        <v>Island FM</v>
      </c>
    </row>
    <row r="1250" spans="1:13" hidden="1" x14ac:dyDescent="0.55000000000000004">
      <c r="A1250" t="s">
        <v>728</v>
      </c>
      <c r="B1250" t="s">
        <v>1670</v>
      </c>
      <c r="C1250" t="s">
        <v>729</v>
      </c>
      <c r="D1250" t="s">
        <v>1657</v>
      </c>
      <c r="E1250" t="s">
        <v>23</v>
      </c>
      <c r="F1250" t="str">
        <f t="shared" si="19"/>
        <v>"C:\Program Files\VideoLAN\VLC\vlc.exe" "http://listen-jackmedia.sharp-stream.com/390_jack_2_320_mp3?ref=RF"</v>
      </c>
      <c r="M1250" t="e">
        <f>VLOOKUP(A1250,logos!$A$2:$A$10004,1,FALSE)</f>
        <v>#N/A</v>
      </c>
    </row>
    <row r="1251" spans="1:13" hidden="1" x14ac:dyDescent="0.55000000000000004">
      <c r="A1251" t="s">
        <v>731</v>
      </c>
      <c r="B1251" t="s">
        <v>1670</v>
      </c>
      <c r="C1251" t="s">
        <v>732</v>
      </c>
      <c r="D1251" t="s">
        <v>1657</v>
      </c>
      <c r="E1251" t="s">
        <v>23</v>
      </c>
      <c r="F1251" t="str">
        <f t="shared" si="19"/>
        <v>"C:\Program Files\VideoLAN\VLC\vlc.exe" "http://listen-jackmedia.sharp-stream.com/390_jack_3_320_mp3?ref=RF"</v>
      </c>
      <c r="M1251" t="e">
        <f>VLOOKUP(A1251,logos!$A$2:$A$10004,1,FALSE)</f>
        <v>#N/A</v>
      </c>
    </row>
    <row r="1252" spans="1:13" hidden="1" x14ac:dyDescent="0.55000000000000004">
      <c r="A1252" t="s">
        <v>724</v>
      </c>
      <c r="B1252" t="s">
        <v>1670</v>
      </c>
      <c r="C1252" t="s">
        <v>726</v>
      </c>
      <c r="D1252" t="s">
        <v>1657</v>
      </c>
      <c r="E1252" t="s">
        <v>23</v>
      </c>
      <c r="F1252" t="str">
        <f t="shared" si="19"/>
        <v>"C:\Program Files\VideoLAN\VLC\vlc.exe" "http://listen-jackmedia.sharp-stream.com/390_jack_fm_320_mp3?ref=RF"</v>
      </c>
      <c r="M1252" t="e">
        <f>VLOOKUP(A1252,logos!$A$2:$A$10004,1,FALSE)</f>
        <v>#N/A</v>
      </c>
    </row>
    <row r="1253" spans="1:13" hidden="1" x14ac:dyDescent="0.55000000000000004">
      <c r="A1253" t="s">
        <v>778</v>
      </c>
      <c r="B1253" t="s">
        <v>1670</v>
      </c>
      <c r="C1253" t="s">
        <v>779</v>
      </c>
      <c r="D1253" t="s">
        <v>1657</v>
      </c>
      <c r="E1253" t="s">
        <v>23</v>
      </c>
      <c r="F1253" t="str">
        <f t="shared" si="19"/>
        <v>"C:\Program Files\VideoLAN\VLC\vlc.exe" "http://centauri.shoutca.st:8290/live"</v>
      </c>
      <c r="M1253" t="e">
        <f>VLOOKUP(A1253,logos!$A$2:$A$10004,1,FALSE)</f>
        <v>#N/A</v>
      </c>
    </row>
    <row r="1254" spans="1:13" hidden="1" x14ac:dyDescent="0.55000000000000004">
      <c r="A1254" t="s">
        <v>831</v>
      </c>
      <c r="B1254" t="s">
        <v>1670</v>
      </c>
      <c r="C1254" t="s">
        <v>832</v>
      </c>
      <c r="D1254" t="s">
        <v>1657</v>
      </c>
      <c r="E1254" t="s">
        <v>23</v>
      </c>
      <c r="F1254" t="str">
        <f t="shared" si="19"/>
        <v>"C:\Program Files\VideoLAN\VLC\vlc.exe" "http://trappist.shoutca.st:8101/stream"</v>
      </c>
      <c r="M1254" t="e">
        <f>VLOOKUP(A1254,logos!$A$2:$A$10004,1,FALSE)</f>
        <v>#N/A</v>
      </c>
    </row>
    <row r="1255" spans="1:13" hidden="1" x14ac:dyDescent="0.55000000000000004">
      <c r="A1255" t="s">
        <v>834</v>
      </c>
      <c r="B1255" t="s">
        <v>1670</v>
      </c>
      <c r="C1255" t="s">
        <v>835</v>
      </c>
      <c r="D1255" t="s">
        <v>1657</v>
      </c>
      <c r="E1255" t="s">
        <v>23</v>
      </c>
      <c r="F1255" t="str">
        <f t="shared" si="19"/>
        <v>"C:\Program Files\VideoLAN\VLC\vlc.exe" "http://listen-misoul.sharp-stream.com/462_mi_soul_320_mp3?ref=RF"</v>
      </c>
      <c r="M1255" t="e">
        <f>VLOOKUP(A1255,logos!$A$2:$A$10004,1,FALSE)</f>
        <v>#N/A</v>
      </c>
    </row>
    <row r="1256" spans="1:13" hidden="1" x14ac:dyDescent="0.55000000000000004">
      <c r="A1256" t="s">
        <v>865</v>
      </c>
      <c r="B1256" t="s">
        <v>1670</v>
      </c>
      <c r="C1256" t="s">
        <v>866</v>
      </c>
      <c r="D1256" t="s">
        <v>1657</v>
      </c>
      <c r="E1256" t="s">
        <v>23</v>
      </c>
      <c r="F1256" t="str">
        <f t="shared" si="19"/>
        <v>"C:\Program Files\VideoLAN\VLC\vlc.exe" "http://listen-nation.sharp-stream.com/nationradio00sdab.mp3?ref=RF"</v>
      </c>
      <c r="M1256" t="e">
        <f>VLOOKUP(A1256,logos!$A$2:$A$10004,1,FALSE)</f>
        <v>#N/A</v>
      </c>
    </row>
    <row r="1257" spans="1:13" hidden="1" x14ac:dyDescent="0.55000000000000004">
      <c r="A1257" t="s">
        <v>853</v>
      </c>
      <c r="B1257" t="s">
        <v>1670</v>
      </c>
      <c r="C1257" t="s">
        <v>2164</v>
      </c>
      <c r="D1257" t="s">
        <v>1657</v>
      </c>
      <c r="E1257" t="s">
        <v>23</v>
      </c>
      <c r="F1257" t="str">
        <f t="shared" si="19"/>
        <v>"C:\Program Files\VideoLAN\VLC\vlc.exe" "http://edge-audio-05-gos2.sharp-stream.com:80/nation60sdab.mp3"</v>
      </c>
      <c r="M1257" t="e">
        <f>VLOOKUP(A1257,logos!$A$2:$A$10004,1,FALSE)</f>
        <v>#N/A</v>
      </c>
    </row>
    <row r="1258" spans="1:13" hidden="1" x14ac:dyDescent="0.55000000000000004">
      <c r="A1258" t="s">
        <v>856</v>
      </c>
      <c r="B1258" t="s">
        <v>1670</v>
      </c>
      <c r="C1258" t="s">
        <v>2165</v>
      </c>
      <c r="D1258" t="s">
        <v>1657</v>
      </c>
      <c r="E1258" t="s">
        <v>23</v>
      </c>
      <c r="F1258" t="str">
        <f t="shared" si="19"/>
        <v>"C:\Program Files\VideoLAN\VLC\vlc.exe" "http://edge-audio-05-gos2.sharp-stream.com:80/nationradio70s-dab.mp3"</v>
      </c>
      <c r="M1258" t="e">
        <f>VLOOKUP(A1258,logos!$A$2:$A$10004,1,FALSE)</f>
        <v>#N/A</v>
      </c>
    </row>
    <row r="1259" spans="1:13" hidden="1" x14ac:dyDescent="0.55000000000000004">
      <c r="A1259" t="s">
        <v>859</v>
      </c>
      <c r="B1259" t="s">
        <v>1670</v>
      </c>
      <c r="C1259" t="s">
        <v>2166</v>
      </c>
      <c r="D1259" t="s">
        <v>1657</v>
      </c>
      <c r="E1259" t="s">
        <v>23</v>
      </c>
      <c r="F1259" t="str">
        <f t="shared" si="19"/>
        <v>"C:\Program Files\VideoLAN\VLC\vlc.exe" "http://edge-audio-05-gos2.sharp-stream.com:80/nationradio80s-dab.mp3"</v>
      </c>
      <c r="M1259" t="e">
        <f>VLOOKUP(A1259,logos!$A$2:$A$10004,1,FALSE)</f>
        <v>#N/A</v>
      </c>
    </row>
    <row r="1260" spans="1:13" hidden="1" x14ac:dyDescent="0.55000000000000004">
      <c r="A1260" t="s">
        <v>862</v>
      </c>
      <c r="B1260" t="s">
        <v>1670</v>
      </c>
      <c r="C1260" t="s">
        <v>2167</v>
      </c>
      <c r="D1260" t="s">
        <v>1657</v>
      </c>
      <c r="E1260" t="s">
        <v>23</v>
      </c>
      <c r="F1260" t="str">
        <f t="shared" si="19"/>
        <v>"C:\Program Files\VideoLAN\VLC\vlc.exe" "http://edge-audio-05-gos2.sharp-stream.com:80/nationradio90s-dab.mp3"</v>
      </c>
      <c r="M1260" t="e">
        <f>VLOOKUP(A1260,logos!$A$2:$A$10004,1,FALSE)</f>
        <v>#N/A</v>
      </c>
    </row>
    <row r="1261" spans="1:13" hidden="1" x14ac:dyDescent="0.55000000000000004">
      <c r="A1261" t="s">
        <v>868</v>
      </c>
      <c r="B1261" t="s">
        <v>1670</v>
      </c>
      <c r="C1261" t="s">
        <v>2168</v>
      </c>
      <c r="D1261" t="s">
        <v>1657</v>
      </c>
      <c r="E1261" t="s">
        <v>23</v>
      </c>
      <c r="F1261" t="str">
        <f t="shared" si="19"/>
        <v>"C:\Program Files\VideoLAN\VLC\vlc.exe" "http://edge-audio-05-gos2.sharp-stream.com:80/clubnationdab.mp3"</v>
      </c>
      <c r="M1261" t="e">
        <f>VLOOKUP(A1261,logos!$A$2:$A$10004,1,FALSE)</f>
        <v>#N/A</v>
      </c>
    </row>
    <row r="1262" spans="1:13" hidden="1" x14ac:dyDescent="0.55000000000000004">
      <c r="A1262" t="s">
        <v>871</v>
      </c>
      <c r="B1262" t="s">
        <v>1670</v>
      </c>
      <c r="C1262" t="s">
        <v>2169</v>
      </c>
      <c r="D1262" t="s">
        <v>1657</v>
      </c>
      <c r="E1262" t="s">
        <v>23</v>
      </c>
      <c r="F1262" t="str">
        <f t="shared" si="19"/>
        <v>"C:\Program Files\VideoLAN\VLC\vlc.exe" "http://edge-audio-05-gos2.sharp-stream.com:80/nationhitsdab.mp3"</v>
      </c>
      <c r="M1262" t="e">
        <f>VLOOKUP(A1262,logos!$A$2:$A$10004,1,FALSE)</f>
        <v>#N/A</v>
      </c>
    </row>
    <row r="1263" spans="1:13" hidden="1" x14ac:dyDescent="0.55000000000000004">
      <c r="A1263" t="s">
        <v>874</v>
      </c>
      <c r="B1263" t="s">
        <v>1670</v>
      </c>
      <c r="C1263" t="s">
        <v>2170</v>
      </c>
      <c r="D1263" t="s">
        <v>1657</v>
      </c>
      <c r="E1263" t="s">
        <v>23</v>
      </c>
      <c r="F1263" t="str">
        <f t="shared" si="19"/>
        <v>"C:\Program Files\VideoLAN\VLC\vlc.exe" "http://edge-audio-05-gos2.sharp-stream.com:80/lovenationdab.mp3"</v>
      </c>
      <c r="M1263" t="e">
        <f>VLOOKUP(A1263,logos!$A$2:$A$10004,1,FALSE)</f>
        <v>#N/A</v>
      </c>
    </row>
    <row r="1264" spans="1:13" hidden="1" x14ac:dyDescent="0.55000000000000004">
      <c r="A1264" t="s">
        <v>877</v>
      </c>
      <c r="B1264" t="s">
        <v>1670</v>
      </c>
      <c r="C1264" t="s">
        <v>878</v>
      </c>
      <c r="D1264" t="s">
        <v>1657</v>
      </c>
      <c r="E1264" t="s">
        <v>23</v>
      </c>
      <c r="F1264" t="str">
        <f t="shared" si="19"/>
        <v>"C:\Program Files\VideoLAN\VLC\vlc.exe" "http://listen-nation.sharp-stream.com/nationpartydab.mp3?ref=RF"</v>
      </c>
      <c r="M1264" t="e">
        <f>VLOOKUP(A1264,logos!$A$2:$A$10004,1,FALSE)</f>
        <v>#N/A</v>
      </c>
    </row>
    <row r="1265" spans="1:13" hidden="1" x14ac:dyDescent="0.55000000000000004">
      <c r="A1265" t="s">
        <v>2783</v>
      </c>
      <c r="B1265" t="s">
        <v>1670</v>
      </c>
      <c r="C1265" t="s">
        <v>2171</v>
      </c>
      <c r="D1265" t="s">
        <v>1657</v>
      </c>
      <c r="E1265" t="s">
        <v>23</v>
      </c>
      <c r="F1265" t="str">
        <f t="shared" si="19"/>
        <v>"C:\Program Files\VideoLAN\VLC\vlc.exe" "http://edge-audio-05-gos2.sharp-stream.com:80/ghrhulldab.mp3"</v>
      </c>
      <c r="M1265" t="e">
        <f>VLOOKUP(A1265,logos!$A$2:$A$10004,1,FALSE)</f>
        <v>#N/A</v>
      </c>
    </row>
    <row r="1266" spans="1:13" hidden="1" x14ac:dyDescent="0.55000000000000004">
      <c r="A1266" t="s">
        <v>2784</v>
      </c>
      <c r="B1266" t="s">
        <v>1670</v>
      </c>
      <c r="C1266" t="s">
        <v>2172</v>
      </c>
      <c r="D1266" t="s">
        <v>1657</v>
      </c>
      <c r="E1266" t="s">
        <v>23</v>
      </c>
      <c r="F1266" t="str">
        <f t="shared" si="19"/>
        <v>"C:\Program Files\VideoLAN\VLC\vlc.exe" "http://edge-audio-05-gos2.sharp-stream.com:80/yourradiodab.mp3"</v>
      </c>
      <c r="M1266" t="e">
        <f>VLOOKUP(A1266,logos!$A$2:$A$10004,1,FALSE)</f>
        <v>#N/A</v>
      </c>
    </row>
    <row r="1267" spans="1:13" hidden="1" x14ac:dyDescent="0.55000000000000004">
      <c r="A1267" t="s">
        <v>2785</v>
      </c>
      <c r="B1267" t="s">
        <v>1670</v>
      </c>
      <c r="C1267" t="s">
        <v>2173</v>
      </c>
      <c r="D1267" t="s">
        <v>1657</v>
      </c>
      <c r="E1267" t="s">
        <v>23</v>
      </c>
      <c r="F1267" t="str">
        <f t="shared" si="19"/>
        <v>"C:\Program Files\VideoLAN\VLC\vlc.exe" "http://edge-audio-05-gos2.sharp-stream.com:80/nationscotlanddab.mp3"</v>
      </c>
      <c r="M1267" t="e">
        <f>VLOOKUP(A1267,logos!$A$2:$A$10004,1,FALSE)</f>
        <v>#N/A</v>
      </c>
    </row>
    <row r="1268" spans="1:13" hidden="1" x14ac:dyDescent="0.55000000000000004">
      <c r="A1268" t="s">
        <v>2786</v>
      </c>
      <c r="B1268" t="s">
        <v>1670</v>
      </c>
      <c r="C1268" t="s">
        <v>890</v>
      </c>
      <c r="D1268" t="s">
        <v>1657</v>
      </c>
      <c r="E1268" t="s">
        <v>23</v>
      </c>
      <c r="F1268" t="str">
        <f t="shared" si="19"/>
        <v>"C:\Program Files\VideoLAN\VLC\vlc.exe" "http://listen-nation.sharp-stream.com/nationdorsetdab.mp3?ref=RF"</v>
      </c>
      <c r="M1268" t="e">
        <f>VLOOKUP(A1268,logos!$A$2:$A$10004,1,FALSE)</f>
        <v>#N/A</v>
      </c>
    </row>
    <row r="1269" spans="1:13" hidden="1" x14ac:dyDescent="0.55000000000000004">
      <c r="A1269" t="s">
        <v>2787</v>
      </c>
      <c r="B1269" t="s">
        <v>1670</v>
      </c>
      <c r="C1269" t="s">
        <v>893</v>
      </c>
      <c r="D1269" t="s">
        <v>1657</v>
      </c>
      <c r="E1269" t="s">
        <v>23</v>
      </c>
      <c r="F1269" t="str">
        <f t="shared" si="19"/>
        <v>"C:\Program Files\VideoLAN\VLC\vlc.exe" "http://listen-nation.sharp-stream.com/nationhampshiredab.mp3?ref=RF"</v>
      </c>
      <c r="M1269" t="e">
        <f>VLOOKUP(A1269,logos!$A$2:$A$10004,1,FALSE)</f>
        <v>#N/A</v>
      </c>
    </row>
    <row r="1270" spans="1:13" hidden="1" x14ac:dyDescent="0.55000000000000004">
      <c r="A1270" t="s">
        <v>2788</v>
      </c>
      <c r="B1270" t="s">
        <v>1670</v>
      </c>
      <c r="C1270" t="s">
        <v>896</v>
      </c>
      <c r="D1270" t="s">
        <v>1657</v>
      </c>
      <c r="E1270" t="s">
        <v>23</v>
      </c>
      <c r="F1270" t="str">
        <f t="shared" si="19"/>
        <v>"C:\Program Files\VideoLAN\VLC\vlc.exe" "http://listen-nation.sharp-stream.com/nationsuffolk-dab.mp3?ref=RF"</v>
      </c>
      <c r="M1270" t="e">
        <f>VLOOKUP(A1270,logos!$A$2:$A$10004,1,FALSE)</f>
        <v>#N/A</v>
      </c>
    </row>
    <row r="1271" spans="1:13" hidden="1" x14ac:dyDescent="0.55000000000000004">
      <c r="A1271" t="s">
        <v>2789</v>
      </c>
      <c r="B1271" t="s">
        <v>1670</v>
      </c>
      <c r="C1271" t="s">
        <v>2174</v>
      </c>
      <c r="D1271" t="s">
        <v>1657</v>
      </c>
      <c r="E1271" t="s">
        <v>23</v>
      </c>
      <c r="F1271" t="str">
        <f t="shared" si="19"/>
        <v>"C:\Program Files\VideoLAN\VLC\vlc.exe" "http://edge-audio-05-gos2.sharp-stream.com:80/nationukdab.mp3"</v>
      </c>
      <c r="M1271" t="e">
        <f>VLOOKUP(A1271,logos!$A$2:$A$10004,1,FALSE)</f>
        <v>#N/A</v>
      </c>
    </row>
    <row r="1272" spans="1:13" hidden="1" x14ac:dyDescent="0.55000000000000004">
      <c r="A1272" t="s">
        <v>2790</v>
      </c>
      <c r="B1272" t="s">
        <v>1670</v>
      </c>
      <c r="C1272" t="s">
        <v>2175</v>
      </c>
      <c r="D1272" t="s">
        <v>1657</v>
      </c>
      <c r="E1272" t="s">
        <v>23</v>
      </c>
      <c r="F1272" t="str">
        <f t="shared" si="19"/>
        <v>"C:\Program Files\VideoLAN\VLC\vlc.exe" "http://edge-audio-05-gos2.sharp-stream.com:80/ceredigiondab.mp3"</v>
      </c>
      <c r="M1272" t="e">
        <f>VLOOKUP(A1272,logos!$A$2:$A$10004,1,FALSE)</f>
        <v>#N/A</v>
      </c>
    </row>
    <row r="1273" spans="1:13" hidden="1" x14ac:dyDescent="0.55000000000000004">
      <c r="A1273" t="s">
        <v>2791</v>
      </c>
      <c r="B1273" t="s">
        <v>1670</v>
      </c>
      <c r="C1273" t="s">
        <v>2176</v>
      </c>
      <c r="D1273" t="s">
        <v>1657</v>
      </c>
      <c r="E1273" t="s">
        <v>23</v>
      </c>
      <c r="F1273" t="str">
        <f t="shared" si="19"/>
        <v>"C:\Program Files\VideoLAN\VLC\vlc.exe" "http://edge-audio-05-gos2.sharp-stream.com:80/nationwalesdab.mp3"</v>
      </c>
      <c r="M1273" t="e">
        <f>VLOOKUP(A1273,logos!$A$2:$A$10004,1,FALSE)</f>
        <v>#N/A</v>
      </c>
    </row>
    <row r="1274" spans="1:13" hidden="1" x14ac:dyDescent="0.55000000000000004">
      <c r="A1274" t="s">
        <v>909</v>
      </c>
      <c r="B1274" t="s">
        <v>1670</v>
      </c>
      <c r="C1274" t="s">
        <v>2177</v>
      </c>
      <c r="D1274" t="s">
        <v>1657</v>
      </c>
      <c r="E1274" t="s">
        <v>23</v>
      </c>
      <c r="F1274" t="str">
        <f t="shared" si="19"/>
        <v>"C:\Program Files\VideoLAN\VLC\vlc.exe" "http://edge-audio-05-gos2.sharp-stream.com:80/nationrocksdab.mp3"</v>
      </c>
      <c r="M1274" t="e">
        <f>VLOOKUP(A1274,logos!$A$2:$A$10004,1,FALSE)</f>
        <v>#N/A</v>
      </c>
    </row>
    <row r="1275" spans="1:13" hidden="1" x14ac:dyDescent="0.55000000000000004">
      <c r="A1275" t="s">
        <v>959</v>
      </c>
      <c r="B1275" t="s">
        <v>1670</v>
      </c>
      <c r="C1275" t="s">
        <v>960</v>
      </c>
      <c r="D1275" t="s">
        <v>1657</v>
      </c>
      <c r="E1275" t="s">
        <v>23</v>
      </c>
      <c r="F1275" t="str">
        <f t="shared" si="19"/>
        <v>"C:\Program Files\VideoLAN\VLC\vlc.exe" "http://pointblankradio.co.uk/stream?ref=rf"</v>
      </c>
      <c r="M1275" t="e">
        <f>VLOOKUP(A1275,logos!$A$2:$A$10004,1,FALSE)</f>
        <v>#N/A</v>
      </c>
    </row>
    <row r="1276" spans="1:13" hidden="1" x14ac:dyDescent="0.55000000000000004">
      <c r="A1276" t="s">
        <v>1013</v>
      </c>
      <c r="B1276" t="s">
        <v>1670</v>
      </c>
      <c r="C1276" t="s">
        <v>1014</v>
      </c>
      <c r="D1276" t="s">
        <v>1657</v>
      </c>
      <c r="E1276" t="s">
        <v>23</v>
      </c>
      <c r="F1276" t="str">
        <f t="shared" si="19"/>
        <v>"C:\Program Files\VideoLAN\VLC\vlc.exe" "http://edge-audio-02-thn.sharp-stream.com:80/nationcarmarthenshiredab.mp3"</v>
      </c>
      <c r="M1276" t="e">
        <f>VLOOKUP(A1276,logos!$A$2:$A$10004,1,FALSE)</f>
        <v>#N/A</v>
      </c>
    </row>
    <row r="1277" spans="1:13" hidden="1" x14ac:dyDescent="0.55000000000000004">
      <c r="A1277" t="s">
        <v>1025</v>
      </c>
      <c r="B1277" t="s">
        <v>1670</v>
      </c>
      <c r="C1277" t="s">
        <v>1024</v>
      </c>
      <c r="D1277" t="s">
        <v>1657</v>
      </c>
      <c r="E1277" t="s">
        <v>23</v>
      </c>
      <c r="F1277" t="str">
        <f t="shared" si="19"/>
        <v>"C:\Program Files\VideoLAN\VLC\vlc.exe" "http://usa19.fastcast4u.com:1120/;"</v>
      </c>
      <c r="M1277" t="e">
        <f>VLOOKUP(A1277,logos!$A$2:$A$10004,1,FALSE)</f>
        <v>#N/A</v>
      </c>
    </row>
    <row r="1278" spans="1:13" hidden="1" x14ac:dyDescent="0.55000000000000004">
      <c r="A1278" t="s">
        <v>1044</v>
      </c>
      <c r="B1278" t="s">
        <v>1670</v>
      </c>
      <c r="C1278" t="s">
        <v>1045</v>
      </c>
      <c r="D1278" t="s">
        <v>1657</v>
      </c>
      <c r="E1278" t="s">
        <v>23</v>
      </c>
      <c r="F1278" t="str">
        <f t="shared" si="19"/>
        <v>"C:\Program Files\VideoLAN\VLC\vlc.exe" "http://edge-audio-02-thn.sharp-stream.com:80/nationpembrokeshiredab.mp3"</v>
      </c>
      <c r="M1278" t="e">
        <f>VLOOKUP(A1278,logos!$A$2:$A$10004,1,FALSE)</f>
        <v>#N/A</v>
      </c>
    </row>
    <row r="1279" spans="1:13" hidden="1" x14ac:dyDescent="0.55000000000000004">
      <c r="A1279" t="s">
        <v>1065</v>
      </c>
      <c r="B1279" t="s">
        <v>1670</v>
      </c>
      <c r="C1279" t="s">
        <v>1064</v>
      </c>
      <c r="D1279" t="s">
        <v>1657</v>
      </c>
      <c r="E1279" t="s">
        <v>23</v>
      </c>
      <c r="F1279" t="str">
        <f t="shared" si="19"/>
        <v>"C:\Program Files\VideoLAN\VLC\vlc.exe" "http://listen.switchradio.co.uk:8000/rajoradio?ref=RF"</v>
      </c>
      <c r="M1279" t="e">
        <f>VLOOKUP(A1279,logos!$A$2:$A$10004,1,FALSE)</f>
        <v>#N/A</v>
      </c>
    </row>
    <row r="1280" spans="1:13" hidden="1" x14ac:dyDescent="0.55000000000000004">
      <c r="A1280" t="s">
        <v>1069</v>
      </c>
      <c r="B1280" t="s">
        <v>1670</v>
      </c>
      <c r="C1280" t="s">
        <v>1068</v>
      </c>
      <c r="D1280" t="s">
        <v>1657</v>
      </c>
      <c r="E1280" t="s">
        <v>23</v>
      </c>
      <c r="F1280" t="str">
        <f t="shared" si="19"/>
        <v>"C:\Program Files\VideoLAN\VLC\vlc.exe" "http://stream.releaseradio.net:80/stream"</v>
      </c>
      <c r="M1280" t="e">
        <f>VLOOKUP(A1280,logos!$A$2:$A$10004,1,FALSE)</f>
        <v>#N/A</v>
      </c>
    </row>
    <row r="1281" spans="1:13" hidden="1" x14ac:dyDescent="0.55000000000000004">
      <c r="A1281" t="s">
        <v>1185</v>
      </c>
      <c r="B1281" t="s">
        <v>1670</v>
      </c>
      <c r="C1281" t="s">
        <v>2182</v>
      </c>
      <c r="D1281" t="s">
        <v>1657</v>
      </c>
      <c r="E1281" t="s">
        <v>23</v>
      </c>
      <c r="F1281" t="str">
        <f t="shared" si="19"/>
        <v>"C:\Program Files\VideoLAN\VLC\vlc.exe" "http://n02a-eu.rcs.revma.com:80/sa3ccwa9yy8uv"</v>
      </c>
      <c r="M1281" t="str">
        <f>VLOOKUP(A1281,logos!$A$2:$A$10004,1,FALSE)</f>
        <v>Soleil Radio</v>
      </c>
    </row>
    <row r="1282" spans="1:13" hidden="1" x14ac:dyDescent="0.55000000000000004">
      <c r="A1282" t="s">
        <v>1213</v>
      </c>
      <c r="B1282" t="s">
        <v>1670</v>
      </c>
      <c r="C1282" t="s">
        <v>2338</v>
      </c>
      <c r="D1282" t="s">
        <v>1657</v>
      </c>
      <c r="E1282" t="s">
        <v>23</v>
      </c>
      <c r="F1282" t="str">
        <f t="shared" si="19"/>
        <v>"C:\Program Files\VideoLAN\VLC\vlc.exe" "http://edge-audio-02-thn.sharp-stream.com:80/sunfmdab.mp3"</v>
      </c>
      <c r="M1282" t="e">
        <f>VLOOKUP(A1282,logos!$A$2:$A$10004,1,FALSE)</f>
        <v>#N/A</v>
      </c>
    </row>
    <row r="1283" spans="1:13" hidden="1" x14ac:dyDescent="0.55000000000000004">
      <c r="A1283" t="s">
        <v>2838</v>
      </c>
      <c r="B1283" t="s">
        <v>1670</v>
      </c>
      <c r="C1283" t="s">
        <v>1227</v>
      </c>
      <c r="D1283" t="s">
        <v>1657</v>
      </c>
      <c r="E1283" t="s">
        <v>23</v>
      </c>
      <c r="F1283" t="str">
        <f t="shared" ref="F1283:F1346" si="20">"""C:\Program Files\VideoLAN\VLC\vlc.exe"" """&amp;C1283&amp;""""</f>
        <v>"C:\Program Files\VideoLAN\VLC\vlc.exe" "http://stream1.themediasite.co.uk:8070/stream"</v>
      </c>
      <c r="M1283" t="e">
        <f>VLOOKUP(A1283,logos!$A$2:$A$10004,1,FALSE)</f>
        <v>#N/A</v>
      </c>
    </row>
    <row r="1284" spans="1:13" hidden="1" x14ac:dyDescent="0.55000000000000004">
      <c r="A1284" t="s">
        <v>1257</v>
      </c>
      <c r="B1284" t="s">
        <v>1670</v>
      </c>
      <c r="C1284" t="s">
        <v>1260</v>
      </c>
      <c r="D1284" t="s">
        <v>1657</v>
      </c>
      <c r="E1284" t="s">
        <v>23</v>
      </c>
      <c r="F1284" t="str">
        <f t="shared" si="20"/>
        <v>"C:\Program Files\VideoLAN\VLC\vlc.exe" "http://therockservice.servebeer.com:7993/"</v>
      </c>
      <c r="M1284" t="e">
        <f>VLOOKUP(A1284,logos!$A$2:$A$10004,1,FALSE)</f>
        <v>#N/A</v>
      </c>
    </row>
    <row r="1285" spans="1:13" hidden="1" x14ac:dyDescent="0.55000000000000004">
      <c r="A1285" t="s">
        <v>1340</v>
      </c>
      <c r="B1285" t="s">
        <v>1670</v>
      </c>
      <c r="C1285" t="s">
        <v>1342</v>
      </c>
      <c r="D1285" t="s">
        <v>1657</v>
      </c>
      <c r="E1285" t="s">
        <v>23</v>
      </c>
      <c r="F1285" t="str">
        <f t="shared" si="20"/>
        <v>"C:\Program Files\VideoLAN\VLC\vlc.exe" "http://stream2.hippynet.co.uk:8021/stream"</v>
      </c>
      <c r="M1285" t="e">
        <f>VLOOKUP(A1285,logos!$A$2:$A$10004,1,FALSE)</f>
        <v>#N/A</v>
      </c>
    </row>
    <row r="1286" spans="1:13" hidden="1" x14ac:dyDescent="0.55000000000000004">
      <c r="A1286" t="s">
        <v>1033</v>
      </c>
      <c r="B1286" t="s">
        <v>1687</v>
      </c>
      <c r="C1286" t="s">
        <v>1032</v>
      </c>
      <c r="D1286" t="s">
        <v>1657</v>
      </c>
      <c r="E1286" t="s">
        <v>23</v>
      </c>
      <c r="F1286" t="str">
        <f t="shared" si="20"/>
        <v>"C:\Program Files\VideoLAN\VLC\vlc.exe" "http://media.radiojackie.com:22614/"</v>
      </c>
      <c r="M1286" t="e">
        <f>VLOOKUP(A1286,logos!$A$2:$A$10004,1,FALSE)</f>
        <v>#N/A</v>
      </c>
    </row>
    <row r="1287" spans="1:13" hidden="1" x14ac:dyDescent="0.55000000000000004">
      <c r="A1287" t="s">
        <v>1340</v>
      </c>
      <c r="B1287" t="s">
        <v>1687</v>
      </c>
      <c r="C1287" t="s">
        <v>1339</v>
      </c>
      <c r="D1287" t="s">
        <v>1657</v>
      </c>
      <c r="E1287" t="s">
        <v>23</v>
      </c>
      <c r="F1287" t="str">
        <f t="shared" si="20"/>
        <v>"C:\Program Files\VideoLAN\VLC\vlc.exe" "http://stream2.hippynet.co.uk:8020/mobile"</v>
      </c>
      <c r="M1287" t="e">
        <f>VLOOKUP(A1287,logos!$A$2:$A$10004,1,FALSE)</f>
        <v>#N/A</v>
      </c>
    </row>
    <row r="1288" spans="1:13" hidden="1" x14ac:dyDescent="0.55000000000000004">
      <c r="A1288" t="s">
        <v>2838</v>
      </c>
      <c r="B1288" t="s">
        <v>1679</v>
      </c>
      <c r="C1288" t="s">
        <v>1222</v>
      </c>
      <c r="D1288" t="s">
        <v>1657</v>
      </c>
      <c r="E1288" t="s">
        <v>23</v>
      </c>
      <c r="F1288" t="str">
        <f t="shared" si="20"/>
        <v>"C:\Program Files\VideoLAN\VLC\vlc.exe" "http://stream1.themediasite.co.uk:8070/low2"</v>
      </c>
      <c r="M1288" t="e">
        <f>VLOOKUP(A1288,logos!$A$2:$A$10004,1,FALSE)</f>
        <v>#N/A</v>
      </c>
    </row>
    <row r="1289" spans="1:13" hidden="1" x14ac:dyDescent="0.55000000000000004">
      <c r="A1289" t="s">
        <v>2842</v>
      </c>
      <c r="B1289" t="s">
        <v>1664</v>
      </c>
      <c r="C1289" t="s">
        <v>60</v>
      </c>
      <c r="D1289" t="s">
        <v>1657</v>
      </c>
      <c r="E1289" t="s">
        <v>23</v>
      </c>
      <c r="F1289" t="str">
        <f t="shared" si="20"/>
        <v>"C:\Program Files\VideoLAN\VLC\vlc.exe" "http://edge.clrmedia.co.uk:10000/angel_lb"</v>
      </c>
      <c r="M1289" t="e">
        <f>VLOOKUP(A1289,logos!$A$2:$A$10004,1,FALSE)</f>
        <v>#N/A</v>
      </c>
    </row>
    <row r="1290" spans="1:13" hidden="1" x14ac:dyDescent="0.55000000000000004">
      <c r="A1290" t="s">
        <v>219</v>
      </c>
      <c r="B1290" t="s">
        <v>1664</v>
      </c>
      <c r="C1290" t="s">
        <v>218</v>
      </c>
      <c r="D1290" t="s">
        <v>1657</v>
      </c>
      <c r="E1290" t="s">
        <v>23</v>
      </c>
      <c r="F1290" t="str">
        <f t="shared" si="20"/>
        <v>"C:\Program Files\VideoLAN\VLC\vlc.exe" "http://stream6.hippynet.co.uk:8001/streamLQ"</v>
      </c>
      <c r="M1290" t="e">
        <f>VLOOKUP(A1290,logos!$A$2:$A$10004,1,FALSE)</f>
        <v>#N/A</v>
      </c>
    </row>
    <row r="1291" spans="1:13" hidden="1" x14ac:dyDescent="0.55000000000000004">
      <c r="A1291" t="s">
        <v>2616</v>
      </c>
      <c r="B1291" t="s">
        <v>1664</v>
      </c>
      <c r="C1291" t="s">
        <v>2197</v>
      </c>
      <c r="D1291" t="s">
        <v>1657</v>
      </c>
      <c r="E1291" t="s">
        <v>23</v>
      </c>
      <c r="F1291" t="str">
        <f t="shared" si="20"/>
        <v>"C:\Program Files\VideoLAN\VLC\vlc.exe" "http://edge-audio-05-gos2.sharp-stream.com:80/ssvcbfbs11.mp3"</v>
      </c>
      <c r="M1291" t="e">
        <f>VLOOKUP(A1291,logos!$A$2:$A$10004,1,FALSE)</f>
        <v>#N/A</v>
      </c>
    </row>
    <row r="1292" spans="1:13" hidden="1" x14ac:dyDescent="0.55000000000000004">
      <c r="A1292" t="s">
        <v>2764</v>
      </c>
      <c r="B1292" t="s">
        <v>1664</v>
      </c>
      <c r="C1292" t="s">
        <v>766</v>
      </c>
      <c r="D1292" t="s">
        <v>1657</v>
      </c>
      <c r="E1292" t="s">
        <v>23</v>
      </c>
      <c r="F1292" t="str">
        <f t="shared" si="20"/>
        <v>"C:\Program Files\VideoLAN\VLC\vlc.exe" "http://icecast.thisisdax.com/LBCLondonMP3Low"</v>
      </c>
      <c r="M1292" t="str">
        <f>VLOOKUP(A1292,logos!$A$2:$A$10004,1,FALSE)</f>
        <v>LBC (London)</v>
      </c>
    </row>
    <row r="1293" spans="1:13" hidden="1" x14ac:dyDescent="0.55000000000000004">
      <c r="A1293" t="s">
        <v>2765</v>
      </c>
      <c r="B1293" t="s">
        <v>1664</v>
      </c>
      <c r="C1293" t="s">
        <v>769</v>
      </c>
      <c r="D1293" t="s">
        <v>1657</v>
      </c>
      <c r="E1293" t="s">
        <v>23</v>
      </c>
      <c r="F1293" t="str">
        <f t="shared" si="20"/>
        <v>"C:\Program Files\VideoLAN\VLC\vlc.exe" "http://icecast.thisisdax.com/LBCUKMP3Low"</v>
      </c>
      <c r="M1293" t="str">
        <f>VLOOKUP(A1293,logos!$A$2:$A$10004,1,FALSE)</f>
        <v>LBC (UK)</v>
      </c>
    </row>
    <row r="1294" spans="1:13" hidden="1" x14ac:dyDescent="0.55000000000000004">
      <c r="A1294" t="s">
        <v>2766</v>
      </c>
      <c r="B1294" t="s">
        <v>1664</v>
      </c>
      <c r="C1294" t="s">
        <v>771</v>
      </c>
      <c r="D1294" t="s">
        <v>1657</v>
      </c>
      <c r="E1294" t="s">
        <v>23</v>
      </c>
      <c r="F1294" t="str">
        <f t="shared" si="20"/>
        <v>"C:\Program Files\VideoLAN\VLC\vlc.exe" "http://icecast.thisisdax.com/LBCNewsLondonMP3"</v>
      </c>
      <c r="M1294" t="str">
        <f>VLOOKUP(A1294,logos!$A$2:$A$10004,1,FALSE)</f>
        <v>LBC News (London)</v>
      </c>
    </row>
    <row r="1295" spans="1:13" hidden="1" x14ac:dyDescent="0.55000000000000004">
      <c r="A1295" t="s">
        <v>1199</v>
      </c>
      <c r="B1295" t="s">
        <v>1664</v>
      </c>
      <c r="C1295" t="s">
        <v>1198</v>
      </c>
      <c r="D1295" t="s">
        <v>1657</v>
      </c>
      <c r="E1295" t="s">
        <v>23</v>
      </c>
      <c r="F1295" t="str">
        <f t="shared" si="20"/>
        <v>"C:\Program Files\VideoLAN\VLC\vlc.exe" "http://stream2.hippynet.co.uk:8086/stream.mp3"</v>
      </c>
      <c r="M1295" t="e">
        <f>VLOOKUP(A1295,logos!$A$2:$A$10004,1,FALSE)</f>
        <v>#N/A</v>
      </c>
    </row>
    <row r="1296" spans="1:13" hidden="1" x14ac:dyDescent="0.55000000000000004">
      <c r="A1296" t="s">
        <v>1285</v>
      </c>
      <c r="B1296" t="s">
        <v>1664</v>
      </c>
      <c r="C1296" t="s">
        <v>1284</v>
      </c>
      <c r="D1296" t="s">
        <v>1657</v>
      </c>
      <c r="E1296" t="s">
        <v>23</v>
      </c>
      <c r="F1296" t="str">
        <f t="shared" si="20"/>
        <v>"C:\Program Files\VideoLAN\VLC\vlc.exe" "http://wg.cdn.tibus.net/U105LQ?ref=RF"</v>
      </c>
      <c r="M1296" t="e">
        <f>VLOOKUP(A1296,logos!$A$2:$A$10004,1,FALSE)</f>
        <v>#N/A</v>
      </c>
    </row>
    <row r="1297" spans="1:13" hidden="1" x14ac:dyDescent="0.55000000000000004">
      <c r="A1297" t="s">
        <v>2654</v>
      </c>
      <c r="B1297" t="s">
        <v>1662</v>
      </c>
      <c r="C1297" t="s">
        <v>360</v>
      </c>
      <c r="D1297" t="s">
        <v>1657</v>
      </c>
      <c r="E1297" t="s">
        <v>23</v>
      </c>
      <c r="F1297" t="str">
        <f t="shared" si="20"/>
        <v>"C:\Program Files\VideoLAN\VLC\vlc.exe" "http://listen-chriscountry.sharp-stream.com/chriscountryi.mp3?ref=RF"</v>
      </c>
      <c r="M1297" t="e">
        <f>VLOOKUP(A1297,logos!$A$2:$A$10004,1,FALSE)</f>
        <v>#N/A</v>
      </c>
    </row>
    <row r="1298" spans="1:13" hidden="1" x14ac:dyDescent="0.55000000000000004">
      <c r="A1298" t="s">
        <v>369</v>
      </c>
      <c r="B1298" t="s">
        <v>1662</v>
      </c>
      <c r="C1298" t="s">
        <v>2210</v>
      </c>
      <c r="D1298" t="s">
        <v>1657</v>
      </c>
      <c r="E1298" t="s">
        <v>23</v>
      </c>
      <c r="F1298" t="str">
        <f t="shared" si="20"/>
        <v>"C:\Program Files\VideoLAN\VLC\vlc.exe" "http://edge-audio-05-gos2.sharp-stream.com:80/tcdeei.mp3"</v>
      </c>
      <c r="M1298" t="e">
        <f>VLOOKUP(A1298,logos!$A$2:$A$10004,1,FALSE)</f>
        <v>#N/A</v>
      </c>
    </row>
    <row r="1299" spans="1:13" hidden="1" x14ac:dyDescent="0.55000000000000004">
      <c r="A1299" t="s">
        <v>778</v>
      </c>
      <c r="B1299" t="s">
        <v>1662</v>
      </c>
      <c r="C1299" t="s">
        <v>777</v>
      </c>
      <c r="D1299" t="s">
        <v>1657</v>
      </c>
      <c r="E1299" t="s">
        <v>23</v>
      </c>
      <c r="F1299" t="str">
        <f t="shared" si="20"/>
        <v>"C:\Program Files\VideoLAN\VLC\vlc.exe" "http://liferadiostream.uk:8062/stream"</v>
      </c>
      <c r="M1299" t="e">
        <f>VLOOKUP(A1299,logos!$A$2:$A$10004,1,FALSE)</f>
        <v>#N/A</v>
      </c>
    </row>
    <row r="1300" spans="1:13" hidden="1" x14ac:dyDescent="0.55000000000000004">
      <c r="A1300" t="s">
        <v>2882</v>
      </c>
      <c r="B1300" t="s">
        <v>1662</v>
      </c>
      <c r="C1300" t="s">
        <v>2313</v>
      </c>
      <c r="D1300" t="s">
        <v>1657</v>
      </c>
      <c r="E1300" t="s">
        <v>23</v>
      </c>
      <c r="F1300" t="str">
        <f t="shared" si="20"/>
        <v>"C:\Program Files\VideoLAN\VLC\vlc.exe" "http://edge-audio-05-gos2.sharp-stream.com:80/qr1070mobile.mp3"</v>
      </c>
      <c r="M1300" t="e">
        <f>VLOOKUP(A1300,logos!$A$2:$A$10004,1,FALSE)</f>
        <v>#N/A</v>
      </c>
    </row>
    <row r="1301" spans="1:13" hidden="1" x14ac:dyDescent="0.55000000000000004">
      <c r="A1301" t="s">
        <v>2883</v>
      </c>
      <c r="B1301" t="s">
        <v>1662</v>
      </c>
      <c r="C1301" t="s">
        <v>2315</v>
      </c>
      <c r="D1301" t="s">
        <v>1657</v>
      </c>
      <c r="E1301" t="s">
        <v>23</v>
      </c>
      <c r="F1301" t="str">
        <f t="shared" si="20"/>
        <v>"C:\Program Files\VideoLAN\VLC\vlc.exe" "http://edge-audio-05-gos2.sharp-stream.com:80/qr967mobile.mp3"</v>
      </c>
      <c r="M1301" t="e">
        <f>VLOOKUP(A1301,logos!$A$2:$A$10004,1,FALSE)</f>
        <v>#N/A</v>
      </c>
    </row>
    <row r="1302" spans="1:13" hidden="1" x14ac:dyDescent="0.55000000000000004">
      <c r="A1302" t="s">
        <v>2884</v>
      </c>
      <c r="B1302" t="s">
        <v>1662</v>
      </c>
      <c r="C1302" t="s">
        <v>2317</v>
      </c>
      <c r="D1302" t="s">
        <v>1657</v>
      </c>
      <c r="E1302" t="s">
        <v>23</v>
      </c>
      <c r="F1302" t="str">
        <f t="shared" si="20"/>
        <v>"C:\Program Files\VideoLAN\VLC\vlc.exe" "http://edge-audio-05-gos2.sharp-stream.com:80/qr972mobile.mp3"</v>
      </c>
      <c r="M1302" t="e">
        <f>VLOOKUP(A1302,logos!$A$2:$A$10004,1,FALSE)</f>
        <v>#N/A</v>
      </c>
    </row>
    <row r="1303" spans="1:13" hidden="1" x14ac:dyDescent="0.55000000000000004">
      <c r="A1303" t="s">
        <v>2885</v>
      </c>
      <c r="B1303" t="s">
        <v>1662</v>
      </c>
      <c r="C1303" t="s">
        <v>2319</v>
      </c>
      <c r="D1303" t="s">
        <v>1657</v>
      </c>
      <c r="E1303" t="s">
        <v>23</v>
      </c>
      <c r="F1303" t="str">
        <f t="shared" si="20"/>
        <v>"C:\Program Files\VideoLAN\VLC\vlc.exe" "http://edge-audio-05-gos2.sharp-stream.com:80/qr1029mobile.mp3"</v>
      </c>
      <c r="M1303" t="e">
        <f>VLOOKUP(A1303,logos!$A$2:$A$10004,1,FALSE)</f>
        <v>#N/A</v>
      </c>
    </row>
    <row r="1304" spans="1:13" hidden="1" x14ac:dyDescent="0.55000000000000004">
      <c r="A1304" t="s">
        <v>2886</v>
      </c>
      <c r="B1304" t="s">
        <v>1662</v>
      </c>
      <c r="C1304" t="s">
        <v>2321</v>
      </c>
      <c r="D1304" t="s">
        <v>1657</v>
      </c>
      <c r="E1304" t="s">
        <v>23</v>
      </c>
      <c r="F1304" t="str">
        <f t="shared" si="20"/>
        <v>"C:\Program Files\VideoLAN\VLC\vlc.exe" "http://edge-audio-05-gos2.sharp-stream.com:80/qr1060mobile.mp3"</v>
      </c>
      <c r="M1304" t="e">
        <f>VLOOKUP(A1304,logos!$A$2:$A$10004,1,FALSE)</f>
        <v>#N/A</v>
      </c>
    </row>
    <row r="1305" spans="1:13" hidden="1" x14ac:dyDescent="0.55000000000000004">
      <c r="A1305" t="s">
        <v>2887</v>
      </c>
      <c r="B1305" t="s">
        <v>1662</v>
      </c>
      <c r="C1305" t="s">
        <v>2323</v>
      </c>
      <c r="D1305" t="s">
        <v>1657</v>
      </c>
      <c r="E1305" t="s">
        <v>23</v>
      </c>
      <c r="F1305" t="str">
        <f t="shared" si="20"/>
        <v>"C:\Program Files\VideoLAN\VLC\vlc.exe" "http://edge-audio-05-gos2.sharp-stream.com:80/qr1005mobile.mp3"</v>
      </c>
      <c r="M1305" t="e">
        <f>VLOOKUP(A1305,logos!$A$2:$A$10004,1,FALSE)</f>
        <v>#N/A</v>
      </c>
    </row>
    <row r="1306" spans="1:13" hidden="1" x14ac:dyDescent="0.55000000000000004">
      <c r="A1306" t="s">
        <v>2888</v>
      </c>
      <c r="B1306" t="s">
        <v>1662</v>
      </c>
      <c r="C1306" t="s">
        <v>2325</v>
      </c>
      <c r="D1306" t="s">
        <v>1657</v>
      </c>
      <c r="E1306" t="s">
        <v>23</v>
      </c>
      <c r="F1306" t="str">
        <f t="shared" si="20"/>
        <v>"C:\Program Files\VideoLAN\VLC\vlc.exe" "http://edge-audio-05-gos2.sharp-stream.com:80/qr1012mobile.mp3"</v>
      </c>
      <c r="M1306" t="e">
        <f>VLOOKUP(A1306,logos!$A$2:$A$10004,1,FALSE)</f>
        <v>#N/A</v>
      </c>
    </row>
    <row r="1307" spans="1:13" hidden="1" x14ac:dyDescent="0.55000000000000004">
      <c r="A1307" t="s">
        <v>1071</v>
      </c>
      <c r="B1307" t="s">
        <v>1662</v>
      </c>
      <c r="C1307" t="s">
        <v>1070</v>
      </c>
      <c r="D1307" t="s">
        <v>1657</v>
      </c>
      <c r="E1307" t="s">
        <v>23</v>
      </c>
      <c r="F1307" t="str">
        <f t="shared" si="20"/>
        <v>"C:\Program Files\VideoLAN\VLC\vlc.exe" "http://stream.resonance.fm:80/resonance-extra-lo"</v>
      </c>
      <c r="M1307" t="e">
        <f>VLOOKUP(A1307,logos!$A$2:$A$10004,1,FALSE)</f>
        <v>#N/A</v>
      </c>
    </row>
    <row r="1308" spans="1:13" hidden="1" x14ac:dyDescent="0.55000000000000004">
      <c r="A1308" t="s">
        <v>1102</v>
      </c>
      <c r="B1308" t="s">
        <v>1662</v>
      </c>
      <c r="C1308" t="s">
        <v>1101</v>
      </c>
      <c r="D1308" t="s">
        <v>1657</v>
      </c>
      <c r="E1308" t="s">
        <v>23</v>
      </c>
      <c r="F1308" t="str">
        <f t="shared" si="20"/>
        <v>"C:\Program Files\VideoLAN\VLC\vlc.exe" "http://radio.canstream.co.uk:8024/live.mp3"</v>
      </c>
      <c r="M1308" t="e">
        <f>VLOOKUP(A1308,logos!$A$2:$A$10004,1,FALSE)</f>
        <v>#N/A</v>
      </c>
    </row>
    <row r="1309" spans="1:13" hidden="1" x14ac:dyDescent="0.55000000000000004">
      <c r="A1309" t="s">
        <v>1115</v>
      </c>
      <c r="B1309" t="s">
        <v>1662</v>
      </c>
      <c r="C1309" t="s">
        <v>2333</v>
      </c>
      <c r="D1309" t="s">
        <v>1657</v>
      </c>
      <c r="E1309" t="s">
        <v>23</v>
      </c>
      <c r="F1309" t="str">
        <f t="shared" si="20"/>
        <v>"C:\Program Files\VideoLAN\VLC\vlc.exe" "http://edge-audio-02-thn.sharp-stream.com:80/tcsilki.mp3"</v>
      </c>
      <c r="M1309" t="e">
        <f>VLOOKUP(A1309,logos!$A$2:$A$10004,1,FALSE)</f>
        <v>#N/A</v>
      </c>
    </row>
    <row r="1310" spans="1:13" hidden="1" x14ac:dyDescent="0.55000000000000004">
      <c r="A1310" t="s">
        <v>1118</v>
      </c>
      <c r="B1310" t="s">
        <v>1662</v>
      </c>
      <c r="C1310" t="s">
        <v>1117</v>
      </c>
      <c r="D1310" t="s">
        <v>1657</v>
      </c>
      <c r="E1310" t="s">
        <v>23</v>
      </c>
      <c r="F1310" t="str">
        <f t="shared" si="20"/>
        <v>"C:\Program Files\VideoLAN\VLC\vlc.exe" "http://85.234.143.182:8036/;"</v>
      </c>
      <c r="M1310" t="e">
        <f>VLOOKUP(A1310,logos!$A$2:$A$10004,1,FALSE)</f>
        <v>#N/A</v>
      </c>
    </row>
    <row r="1311" spans="1:13" hidden="1" x14ac:dyDescent="0.55000000000000004">
      <c r="A1311" t="s">
        <v>1206</v>
      </c>
      <c r="B1311" t="s">
        <v>1662</v>
      </c>
      <c r="C1311" t="s">
        <v>1205</v>
      </c>
      <c r="D1311" t="s">
        <v>1657</v>
      </c>
      <c r="E1311" t="s">
        <v>23</v>
      </c>
      <c r="F1311" t="str">
        <f t="shared" si="20"/>
        <v>"C:\Program Files\VideoLAN\VLC\vlc.exe" "http://streaming.broadcastradio.com:10520/streetsdaac"</v>
      </c>
      <c r="M1311" t="e">
        <f>VLOOKUP(A1311,logos!$A$2:$A$10004,1,FALSE)</f>
        <v>#N/A</v>
      </c>
    </row>
    <row r="1312" spans="1:13" hidden="1" x14ac:dyDescent="0.55000000000000004">
      <c r="A1312" t="s">
        <v>1346</v>
      </c>
      <c r="B1312" t="s">
        <v>1662</v>
      </c>
      <c r="C1312" t="s">
        <v>1345</v>
      </c>
      <c r="D1312" t="s">
        <v>1657</v>
      </c>
      <c r="E1312" t="s">
        <v>23</v>
      </c>
      <c r="F1312" t="str">
        <f t="shared" si="20"/>
        <v>"C:\Program Files\VideoLAN\VLC\vlc.exe" "http://vps.zestliverpool.com:8000/4"</v>
      </c>
      <c r="M1312" t="e">
        <f>VLOOKUP(A1312,logos!$A$2:$A$10004,1,FALSE)</f>
        <v>#N/A</v>
      </c>
    </row>
    <row r="1313" spans="1:13" hidden="1" x14ac:dyDescent="0.55000000000000004">
      <c r="A1313" t="s">
        <v>1041</v>
      </c>
      <c r="B1313" t="s">
        <v>1697</v>
      </c>
      <c r="C1313" t="s">
        <v>1040</v>
      </c>
      <c r="D1313" t="s">
        <v>1657</v>
      </c>
      <c r="E1313" t="s">
        <v>23</v>
      </c>
      <c r="F1313" t="str">
        <f t="shared" si="20"/>
        <v>"C:\Program Files\VideoLAN\VLC\vlc.exe" "http://uk3-vn.webcast-server.net:8192/;"</v>
      </c>
      <c r="M1313" t="e">
        <f>VLOOKUP(A1313,logos!$A$2:$A$10004,1,FALSE)</f>
        <v>#N/A</v>
      </c>
    </row>
    <row r="1314" spans="1:13" hidden="1" x14ac:dyDescent="0.55000000000000004">
      <c r="A1314" t="s">
        <v>216</v>
      </c>
      <c r="B1314" t="s">
        <v>1665</v>
      </c>
      <c r="C1314" t="s">
        <v>215</v>
      </c>
      <c r="D1314" t="s">
        <v>1657</v>
      </c>
      <c r="E1314" t="s">
        <v>23</v>
      </c>
      <c r="F1314" t="str">
        <f t="shared" si="20"/>
        <v>"C:\Program Files\VideoLAN\VLC\vlc.exe" "http://stream.live.vc.bbcmedia.co.uk/bbc_world_service"</v>
      </c>
      <c r="M1314" t="str">
        <f>VLOOKUP(A1314,logos!$A$2:$A$10004,1,FALSE)</f>
        <v>BBC World Service</v>
      </c>
    </row>
    <row r="1315" spans="1:13" hidden="1" x14ac:dyDescent="0.55000000000000004">
      <c r="A1315" t="s">
        <v>2880</v>
      </c>
      <c r="B1315" t="s">
        <v>1690</v>
      </c>
      <c r="C1315" t="s">
        <v>963</v>
      </c>
      <c r="D1315" t="s">
        <v>1657</v>
      </c>
      <c r="E1315" t="s">
        <v>23</v>
      </c>
      <c r="F1315" t="str">
        <f t="shared" si="20"/>
        <v>"C:\Program Files\VideoLAN\VLC\vlc.exe" "http://streams.radiomast.io/69203abc-1923-4c7a-bbd3-1e4d391a8cd9"</v>
      </c>
      <c r="M1315" t="e">
        <f>VLOOKUP(A1315,logos!$A$2:$A$10004,1,FALSE)</f>
        <v>#N/A</v>
      </c>
    </row>
    <row r="1316" spans="1:13" hidden="1" x14ac:dyDescent="0.55000000000000004">
      <c r="A1316" t="s">
        <v>968</v>
      </c>
      <c r="B1316" t="s">
        <v>1690</v>
      </c>
      <c r="C1316" t="s">
        <v>967</v>
      </c>
      <c r="D1316" t="s">
        <v>1657</v>
      </c>
      <c r="E1316" t="s">
        <v>23</v>
      </c>
      <c r="F1316" t="str">
        <f t="shared" si="20"/>
        <v>"C:\Program Files\VideoLAN\VLC\vlc.exe" "http://streams.radiomast.io/31ecbab9-e64f-44a3-8afa-fe58745e82c8"</v>
      </c>
      <c r="M1316" t="e">
        <f>VLOOKUP(A1316,logos!$A$2:$A$10004,1,FALSE)</f>
        <v>#N/A</v>
      </c>
    </row>
    <row r="1317" spans="1:13" hidden="1" x14ac:dyDescent="0.55000000000000004">
      <c r="A1317" t="s">
        <v>971</v>
      </c>
      <c r="B1317" t="s">
        <v>1690</v>
      </c>
      <c r="C1317" t="s">
        <v>970</v>
      </c>
      <c r="D1317" t="s">
        <v>1657</v>
      </c>
      <c r="E1317" t="s">
        <v>23</v>
      </c>
      <c r="F1317" t="str">
        <f t="shared" si="20"/>
        <v>"C:\Program Files\VideoLAN\VLC\vlc.exe" "http://streams.radiomast.io/5c45ff7b-5925-46d7-bd1f-6682bbdf8e44"</v>
      </c>
      <c r="M1317" t="e">
        <f>VLOOKUP(A1317,logos!$A$2:$A$10004,1,FALSE)</f>
        <v>#N/A</v>
      </c>
    </row>
    <row r="1318" spans="1:13" hidden="1" x14ac:dyDescent="0.55000000000000004">
      <c r="A1318" t="s">
        <v>1087</v>
      </c>
      <c r="B1318" t="s">
        <v>1690</v>
      </c>
      <c r="C1318" t="s">
        <v>1086</v>
      </c>
      <c r="D1318" t="s">
        <v>1657</v>
      </c>
      <c r="E1318" t="s">
        <v>23</v>
      </c>
      <c r="F1318" t="str">
        <f t="shared" si="20"/>
        <v>"C:\Program Files\VideoLAN\VLC\vlc.exe" "http://149.255.59.3:8130/stream"</v>
      </c>
      <c r="M1318" t="str">
        <f>VLOOKUP(A1318,logos!$A$2:$A$10004,1,FALSE)</f>
        <v>Rother Radio</v>
      </c>
    </row>
    <row r="1319" spans="1:13" hidden="1" x14ac:dyDescent="0.55000000000000004">
      <c r="A1319" t="s">
        <v>2896</v>
      </c>
      <c r="B1319" t="s">
        <v>1690</v>
      </c>
      <c r="C1319" t="s">
        <v>1217</v>
      </c>
      <c r="D1319" t="s">
        <v>1657</v>
      </c>
      <c r="E1319" t="s">
        <v>23</v>
      </c>
      <c r="F1319" t="str">
        <f t="shared" si="20"/>
        <v>"C:\Program Files\VideoLAN\VLC\vlc.exe" "http://listen-sunriseradio.sharp-stream.com/sunriseradio.mp3?ref=RF"</v>
      </c>
      <c r="M1319" t="e">
        <f>VLOOKUP(A1319,logos!$A$2:$A$10004,1,FALSE)</f>
        <v>#N/A</v>
      </c>
    </row>
    <row r="1320" spans="1:13" hidden="1" x14ac:dyDescent="0.55000000000000004">
      <c r="A1320" t="s">
        <v>2897</v>
      </c>
      <c r="B1320" t="s">
        <v>1690</v>
      </c>
      <c r="C1320" t="s">
        <v>1219</v>
      </c>
      <c r="D1320" t="s">
        <v>1657</v>
      </c>
      <c r="E1320" t="s">
        <v>23</v>
      </c>
      <c r="F1320" t="str">
        <f t="shared" si="20"/>
        <v>"C:\Program Files\VideoLAN\VLC\vlc.exe" "http://listen-sunriseradio.sharp-stream.com/sunriseradionat.mp3?ref=RF"</v>
      </c>
      <c r="M1320" t="e">
        <f>VLOOKUP(A1320,logos!$A$2:$A$10004,1,FALSE)</f>
        <v>#N/A</v>
      </c>
    </row>
    <row r="1321" spans="1:13" hidden="1" x14ac:dyDescent="0.55000000000000004">
      <c r="A1321" t="s">
        <v>1239</v>
      </c>
      <c r="B1321" t="s">
        <v>1690</v>
      </c>
      <c r="C1321" t="s">
        <v>1238</v>
      </c>
      <c r="D1321" t="s">
        <v>1657</v>
      </c>
      <c r="E1321" t="s">
        <v>23</v>
      </c>
      <c r="F1321" t="str">
        <f t="shared" si="20"/>
        <v>"C:\Program Files\VideoLAN\VLC\vlc.exe" "http://radio.talkradio.co.uk/stream?ref=rf"</v>
      </c>
      <c r="M1321" t="str">
        <f>VLOOKUP(A1321,logos!$A$2:$A$10004,1,FALSE)</f>
        <v>TalkRadio</v>
      </c>
    </row>
    <row r="1322" spans="1:13" hidden="1" x14ac:dyDescent="0.55000000000000004">
      <c r="A1322" t="s">
        <v>2830</v>
      </c>
      <c r="B1322" t="s">
        <v>1690</v>
      </c>
      <c r="C1322" t="s">
        <v>1240</v>
      </c>
      <c r="D1322" t="s">
        <v>1657</v>
      </c>
      <c r="E1322" t="s">
        <v>23</v>
      </c>
      <c r="F1322" t="str">
        <f t="shared" si="20"/>
        <v>"C:\Program Files\VideoLAN\VLC\vlc.exe" "http://radio.talksport.com/stream?aisGetOriginalStream=true"</v>
      </c>
      <c r="M1322" t="str">
        <f>VLOOKUP(A1322,logos!$A$2:$A$10004,1,FALSE)</f>
        <v>talkSPORT (UK)</v>
      </c>
    </row>
    <row r="1323" spans="1:13" hidden="1" x14ac:dyDescent="0.55000000000000004">
      <c r="A1323" t="s">
        <v>1257</v>
      </c>
      <c r="B1323" t="s">
        <v>1690</v>
      </c>
      <c r="C1323" t="s">
        <v>1256</v>
      </c>
      <c r="D1323" t="s">
        <v>1657</v>
      </c>
      <c r="E1323" t="s">
        <v>23</v>
      </c>
      <c r="F1323" t="str">
        <f t="shared" si="20"/>
        <v>"C:\Program Files\VideoLAN\VLC\vlc.exe" "http://therockservice.servebeer.com:8001/"</v>
      </c>
      <c r="M1323" t="e">
        <f>VLOOKUP(A1323,logos!$A$2:$A$10004,1,FALSE)</f>
        <v>#N/A</v>
      </c>
    </row>
    <row r="1324" spans="1:13" hidden="1" x14ac:dyDescent="0.55000000000000004">
      <c r="A1324" t="s">
        <v>75</v>
      </c>
      <c r="B1324" t="s">
        <v>1668</v>
      </c>
      <c r="C1324" t="s">
        <v>74</v>
      </c>
      <c r="D1324" t="s">
        <v>1657</v>
      </c>
      <c r="E1324" t="s">
        <v>23</v>
      </c>
      <c r="F1324" t="str">
        <f t="shared" si="20"/>
        <v>"C:\Program Files\VideoLAN\VLC\vlc.exe" "http://38.96.148.140:6150/;"</v>
      </c>
      <c r="M1324" t="e">
        <f>VLOOKUP(A1324,logos!$A$2:$A$10004,1,FALSE)</f>
        <v>#N/A</v>
      </c>
    </row>
    <row r="1325" spans="1:13" hidden="1" x14ac:dyDescent="0.55000000000000004">
      <c r="A1325" t="s">
        <v>336</v>
      </c>
      <c r="B1325" t="s">
        <v>1668</v>
      </c>
      <c r="C1325" t="s">
        <v>2205</v>
      </c>
      <c r="D1325" t="s">
        <v>1657</v>
      </c>
      <c r="E1325" t="s">
        <v>23</v>
      </c>
      <c r="F1325" t="str">
        <f t="shared" si="20"/>
        <v>"C:\Program Files\VideoLAN\VLC\vlc.exe" "http://n10a-eu.rcs.revma.com:80/kbxu5chhqd0uv"</v>
      </c>
      <c r="M1325" t="str">
        <f>VLOOKUP(A1325,logos!$A$2:$A$10004,1,FALSE)</f>
        <v>Channel 103</v>
      </c>
    </row>
    <row r="1326" spans="1:13" hidden="1" x14ac:dyDescent="0.55000000000000004">
      <c r="A1326" t="s">
        <v>463</v>
      </c>
      <c r="B1326" t="s">
        <v>1668</v>
      </c>
      <c r="C1326" t="s">
        <v>462</v>
      </c>
      <c r="D1326" t="s">
        <v>1657</v>
      </c>
      <c r="E1326" t="s">
        <v>23</v>
      </c>
      <c r="F1326" t="str">
        <f t="shared" si="20"/>
        <v>"C:\Program Files\VideoLAN\VLC\vlc.exe" "http://s6.citrus3.com:8008/stream"</v>
      </c>
      <c r="M1326" t="e">
        <f>VLOOKUP(A1326,logos!$A$2:$A$10004,1,FALSE)</f>
        <v>#N/A</v>
      </c>
    </row>
    <row r="1327" spans="1:13" hidden="1" x14ac:dyDescent="0.55000000000000004">
      <c r="A1327" t="s">
        <v>568</v>
      </c>
      <c r="B1327" t="s">
        <v>1668</v>
      </c>
      <c r="C1327" t="s">
        <v>567</v>
      </c>
      <c r="D1327" t="s">
        <v>1657</v>
      </c>
      <c r="E1327" t="s">
        <v>23</v>
      </c>
      <c r="F1327" t="str">
        <f t="shared" si="20"/>
        <v>"C:\Program Files\VideoLAN\VLC\vlc.exe" "http://s43.myradiostream.com:22874/;"</v>
      </c>
      <c r="M1327" t="e">
        <f>VLOOKUP(A1327,logos!$A$2:$A$10004,1,FALSE)</f>
        <v>#N/A</v>
      </c>
    </row>
    <row r="1328" spans="1:13" hidden="1" x14ac:dyDescent="0.55000000000000004">
      <c r="A1328" t="s">
        <v>920</v>
      </c>
      <c r="B1328" t="s">
        <v>1668</v>
      </c>
      <c r="C1328" t="s">
        <v>919</v>
      </c>
      <c r="D1328" t="s">
        <v>1657</v>
      </c>
      <c r="E1328" t="s">
        <v>23</v>
      </c>
      <c r="F1328" t="str">
        <f t="shared" si="20"/>
        <v>"C:\Program Files\VideoLAN\VLC\vlc.exe" "http://noodsradio.out.airtime.pro:8000/noodsradio_b"</v>
      </c>
      <c r="M1328" t="str">
        <f>VLOOKUP(A1328,logos!$A$2:$A$10004,1,FALSE)</f>
        <v>NOODS Radio</v>
      </c>
    </row>
    <row r="1329" spans="1:13" hidden="1" x14ac:dyDescent="0.55000000000000004">
      <c r="A1329" t="s">
        <v>940</v>
      </c>
      <c r="B1329" t="s">
        <v>1668</v>
      </c>
      <c r="C1329" t="s">
        <v>939</v>
      </c>
      <c r="D1329" t="s">
        <v>1657</v>
      </c>
      <c r="E1329" t="s">
        <v>23</v>
      </c>
      <c r="F1329" t="str">
        <f t="shared" si="20"/>
        <v>"C:\Program Files\VideoLAN\VLC\vlc.exe" "http://radio3.citrus3.com:8584/stream"</v>
      </c>
      <c r="M1329" t="e">
        <f>VLOOKUP(A1329,logos!$A$2:$A$10004,1,FALSE)</f>
        <v>#N/A</v>
      </c>
    </row>
    <row r="1330" spans="1:13" hidden="1" x14ac:dyDescent="0.55000000000000004">
      <c r="A1330" t="s">
        <v>1003</v>
      </c>
      <c r="B1330" t="s">
        <v>1668</v>
      </c>
      <c r="C1330" t="s">
        <v>1002</v>
      </c>
      <c r="D1330" t="s">
        <v>1657</v>
      </c>
      <c r="E1330" t="s">
        <v>23</v>
      </c>
      <c r="F1330" t="str">
        <f t="shared" si="20"/>
        <v>"C:\Program Files\VideoLAN\VLC\vlc.exe" "http://quayfm.ci-servers.gg:1071/live"</v>
      </c>
      <c r="M1330" t="e">
        <f>VLOOKUP(A1330,logos!$A$2:$A$10004,1,FALSE)</f>
        <v>#N/A</v>
      </c>
    </row>
    <row r="1331" spans="1:13" hidden="1" x14ac:dyDescent="0.55000000000000004">
      <c r="A1331" t="s">
        <v>1188</v>
      </c>
      <c r="B1331" t="s">
        <v>1668</v>
      </c>
      <c r="C1331" t="s">
        <v>1187</v>
      </c>
      <c r="D1331" t="s">
        <v>1657</v>
      </c>
      <c r="E1331" t="s">
        <v>23</v>
      </c>
      <c r="F1331" t="str">
        <f t="shared" si="20"/>
        <v>"C:\Program Files\VideoLAN\VLC\vlc.exe" "http://centova.solidradio.co.uk:8000/solidlowmp3"</v>
      </c>
      <c r="M1331" t="e">
        <f>VLOOKUP(A1331,logos!$A$2:$A$10004,1,FALSE)</f>
        <v>#N/A</v>
      </c>
    </row>
    <row r="1332" spans="1:13" hidden="1" x14ac:dyDescent="0.55000000000000004">
      <c r="A1332" t="s">
        <v>2838</v>
      </c>
      <c r="B1332" t="s">
        <v>1668</v>
      </c>
      <c r="C1332" t="s">
        <v>1225</v>
      </c>
      <c r="D1332" t="s">
        <v>1657</v>
      </c>
      <c r="E1332" t="s">
        <v>23</v>
      </c>
      <c r="F1332" t="str">
        <f t="shared" si="20"/>
        <v>"C:\Program Files\VideoLAN\VLC\vlc.exe" "http://stream1.themediasite.co.uk:8070/low1"</v>
      </c>
      <c r="M1332" t="e">
        <f>VLOOKUP(A1332,logos!$A$2:$A$10004,1,FALSE)</f>
        <v>#N/A</v>
      </c>
    </row>
    <row r="1333" spans="1:13" hidden="1" x14ac:dyDescent="0.55000000000000004">
      <c r="A1333" t="s">
        <v>2831</v>
      </c>
      <c r="B1333" t="s">
        <v>1668</v>
      </c>
      <c r="C1333" t="s">
        <v>1278</v>
      </c>
      <c r="D1333" t="s">
        <v>1657</v>
      </c>
      <c r="E1333" t="s">
        <v>23</v>
      </c>
      <c r="F1333" t="str">
        <f t="shared" si="20"/>
        <v>"C:\Program Files\VideoLAN\VLC\vlc.exe" "http://streaming02.zfast.co.uk:8020/stream"</v>
      </c>
      <c r="M1333" t="e">
        <f>VLOOKUP(A1333,logos!$A$2:$A$10004,1,FALSE)</f>
        <v>#N/A</v>
      </c>
    </row>
    <row r="1334" spans="1:13" hidden="1" x14ac:dyDescent="0.55000000000000004">
      <c r="A1334" t="s">
        <v>2842</v>
      </c>
      <c r="B1334" t="s">
        <v>1693</v>
      </c>
      <c r="C1334" t="s">
        <v>63</v>
      </c>
      <c r="D1334" t="s">
        <v>1657</v>
      </c>
      <c r="E1334" t="s">
        <v>23</v>
      </c>
      <c r="F1334" t="str">
        <f t="shared" si="20"/>
        <v>"C:\Program Files\VideoLAN\VLC\vlc.exe" "http://edge.clrmedia.co.uk:10000/angel_hb"</v>
      </c>
      <c r="M1334" t="e">
        <f>VLOOKUP(A1334,logos!$A$2:$A$10004,1,FALSE)</f>
        <v>#N/A</v>
      </c>
    </row>
    <row r="1335" spans="1:13" hidden="1" x14ac:dyDescent="0.55000000000000004">
      <c r="A1335" t="s">
        <v>2897</v>
      </c>
      <c r="B1335" t="s">
        <v>1693</v>
      </c>
      <c r="C1335" t="s">
        <v>1221</v>
      </c>
      <c r="D1335" t="s">
        <v>1657</v>
      </c>
      <c r="E1335" t="s">
        <v>23</v>
      </c>
      <c r="F1335" t="str">
        <f t="shared" si="20"/>
        <v>"C:\Program Files\VideoLAN\VLC\vlc.exe" "http://listen-sunriseradio.sharp-stream.com/sunriseradioalexa.mp3?ref=RF"</v>
      </c>
      <c r="M1335" t="e">
        <f>VLOOKUP(A1335,logos!$A$2:$A$10004,1,FALSE)</f>
        <v>#N/A</v>
      </c>
    </row>
    <row r="1336" spans="1:13" hidden="1" x14ac:dyDescent="0.55000000000000004">
      <c r="A1336" t="s">
        <v>1237</v>
      </c>
      <c r="B1336" t="s">
        <v>1693</v>
      </c>
      <c r="C1336" t="s">
        <v>1236</v>
      </c>
      <c r="D1336" t="s">
        <v>1657</v>
      </c>
      <c r="E1336" t="s">
        <v>23</v>
      </c>
      <c r="F1336" t="str">
        <f t="shared" si="20"/>
        <v>"C:\Program Files\VideoLAN\VLC\vlc.exe" "http://s2.xrad.io:8058/stream"</v>
      </c>
      <c r="M1336" t="e">
        <f>VLOOKUP(A1336,logos!$A$2:$A$10004,1,FALSE)</f>
        <v>#N/A</v>
      </c>
    </row>
    <row r="1337" spans="1:13" hidden="1" x14ac:dyDescent="0.55000000000000004">
      <c r="A1337" t="s">
        <v>1330</v>
      </c>
      <c r="B1337" t="s">
        <v>1693</v>
      </c>
      <c r="C1337" t="s">
        <v>1329</v>
      </c>
      <c r="D1337" t="s">
        <v>1657</v>
      </c>
      <c r="E1337" t="s">
        <v>23</v>
      </c>
      <c r="F1337" t="str">
        <f t="shared" si="20"/>
        <v>"C:\Program Files\VideoLAN\VLC\vlc.exe" "http://streaming.edmradio.online:8025/WRN-E"</v>
      </c>
      <c r="M1337" t="e">
        <f>VLOOKUP(A1337,logos!$A$2:$A$10004,1,FALSE)</f>
        <v>#N/A</v>
      </c>
    </row>
    <row r="1338" spans="1:13" hidden="1" x14ac:dyDescent="0.55000000000000004">
      <c r="A1338" t="s">
        <v>329</v>
      </c>
      <c r="B1338" t="s">
        <v>1682</v>
      </c>
      <c r="C1338" t="s">
        <v>328</v>
      </c>
      <c r="D1338" t="s">
        <v>1657</v>
      </c>
      <c r="E1338" t="s">
        <v>23</v>
      </c>
      <c r="F1338" t="str">
        <f t="shared" si="20"/>
        <v>"C:\Program Files\VideoLAN\VLC\vlc.exe" "http://centreforce.streamgb.com:8830/96"</v>
      </c>
      <c r="M1338" t="e">
        <f>VLOOKUP(A1338,logos!$A$2:$A$10004,1,FALSE)</f>
        <v>#N/A</v>
      </c>
    </row>
    <row r="1339" spans="1:13" hidden="1" x14ac:dyDescent="0.55000000000000004">
      <c r="A1339" t="s">
        <v>357</v>
      </c>
      <c r="B1339" t="s">
        <v>1682</v>
      </c>
      <c r="C1339" t="s">
        <v>356</v>
      </c>
      <c r="D1339" t="s">
        <v>1657</v>
      </c>
      <c r="E1339" t="s">
        <v>23</v>
      </c>
      <c r="F1339" t="str">
        <f t="shared" si="20"/>
        <v>"C:\Program Files\VideoLAN\VLC\vlc.exe" "http://8.38.78.173:8264/stream"</v>
      </c>
      <c r="M1339" t="e">
        <f>VLOOKUP(A1339,logos!$A$2:$A$10004,1,FALSE)</f>
        <v>#N/A</v>
      </c>
    </row>
    <row r="1340" spans="1:13" hidden="1" x14ac:dyDescent="0.55000000000000004">
      <c r="A1340" t="s">
        <v>372</v>
      </c>
      <c r="B1340" t="s">
        <v>1682</v>
      </c>
      <c r="C1340" t="s">
        <v>371</v>
      </c>
      <c r="D1340" t="s">
        <v>1657</v>
      </c>
      <c r="E1340" t="s">
        <v>23</v>
      </c>
      <c r="F1340" t="str">
        <f t="shared" si="20"/>
        <v>"C:\Program Files\VideoLAN\VLC\vlc.exe" "http://s4.voscast.com:8642/live"</v>
      </c>
      <c r="M1340" t="e">
        <f>VLOOKUP(A1340,logos!$A$2:$A$10004,1,FALSE)</f>
        <v>#N/A</v>
      </c>
    </row>
    <row r="1341" spans="1:13" hidden="1" x14ac:dyDescent="0.55000000000000004">
      <c r="A1341" t="s">
        <v>568</v>
      </c>
      <c r="B1341" t="s">
        <v>1682</v>
      </c>
      <c r="C1341" t="s">
        <v>571</v>
      </c>
      <c r="D1341" t="s">
        <v>1657</v>
      </c>
      <c r="E1341" t="s">
        <v>23</v>
      </c>
      <c r="F1341" t="str">
        <f t="shared" si="20"/>
        <v>"C:\Program Files\VideoLAN\VLC\vlc.exe" "http://14843.live.streamtheworld.com:80/SAM07AAC214_SC"</v>
      </c>
      <c r="M1341" t="e">
        <f>VLOOKUP(A1341,logos!$A$2:$A$10004,1,FALSE)</f>
        <v>#N/A</v>
      </c>
    </row>
    <row r="1342" spans="1:13" hidden="1" x14ac:dyDescent="0.55000000000000004">
      <c r="A1342" t="s">
        <v>568</v>
      </c>
      <c r="B1342" t="s">
        <v>1682</v>
      </c>
      <c r="C1342" t="s">
        <v>572</v>
      </c>
      <c r="D1342" t="s">
        <v>1657</v>
      </c>
      <c r="E1342" t="s">
        <v>23</v>
      </c>
      <c r="F1342" t="str">
        <f t="shared" si="20"/>
        <v>"C:\Program Files\VideoLAN\VLC\vlc.exe" "http://14843.live.streamtheworld.com:3690/SAM07AAC214_SC"</v>
      </c>
      <c r="M1342" t="e">
        <f>VLOOKUP(A1342,logos!$A$2:$A$10004,1,FALSE)</f>
        <v>#N/A</v>
      </c>
    </row>
    <row r="1343" spans="1:13" hidden="1" x14ac:dyDescent="0.55000000000000004">
      <c r="A1343" t="s">
        <v>568</v>
      </c>
      <c r="B1343" t="s">
        <v>1682</v>
      </c>
      <c r="C1343" t="s">
        <v>569</v>
      </c>
      <c r="D1343" t="s">
        <v>1657</v>
      </c>
      <c r="E1343" t="s">
        <v>23</v>
      </c>
      <c r="F1343" t="str">
        <f t="shared" si="20"/>
        <v>"C:\Program Files\VideoLAN\VLC\vlc.exe" "http://15233.live.streamtheworld.com:80/SAM07AAC214_SC"</v>
      </c>
      <c r="M1343" t="e">
        <f>VLOOKUP(A1343,logos!$A$2:$A$10004,1,FALSE)</f>
        <v>#N/A</v>
      </c>
    </row>
    <row r="1344" spans="1:13" hidden="1" x14ac:dyDescent="0.55000000000000004">
      <c r="A1344" t="s">
        <v>568</v>
      </c>
      <c r="B1344" t="s">
        <v>1682</v>
      </c>
      <c r="C1344" t="s">
        <v>570</v>
      </c>
      <c r="D1344" t="s">
        <v>1657</v>
      </c>
      <c r="E1344" t="s">
        <v>23</v>
      </c>
      <c r="F1344" t="str">
        <f t="shared" si="20"/>
        <v>"C:\Program Files\VideoLAN\VLC\vlc.exe" "http://15233.live.streamtheworld.com:3690/SAM07AAC214_SC"</v>
      </c>
      <c r="M1344" t="e">
        <f>VLOOKUP(A1344,logos!$A$2:$A$10004,1,FALSE)</f>
        <v>#N/A</v>
      </c>
    </row>
    <row r="1345" spans="1:13" hidden="1" x14ac:dyDescent="0.55000000000000004">
      <c r="A1345" t="s">
        <v>952</v>
      </c>
      <c r="B1345" t="s">
        <v>1682</v>
      </c>
      <c r="C1345" t="s">
        <v>951</v>
      </c>
      <c r="D1345" t="s">
        <v>1657</v>
      </c>
      <c r="E1345" t="s">
        <v>23</v>
      </c>
      <c r="F1345" t="str">
        <f t="shared" si="20"/>
        <v>"C:\Program Files\VideoLAN\VLC\vlc.exe" "http://22533.live.streamtheworld.com:80/PODCAST_RADIO_SC"</v>
      </c>
      <c r="M1345" t="e">
        <f>VLOOKUP(A1345,logos!$A$2:$A$10004,1,FALSE)</f>
        <v>#N/A</v>
      </c>
    </row>
    <row r="1346" spans="1:13" hidden="1" x14ac:dyDescent="0.55000000000000004">
      <c r="A1346" t="s">
        <v>952</v>
      </c>
      <c r="B1346" t="s">
        <v>1682</v>
      </c>
      <c r="C1346" t="s">
        <v>953</v>
      </c>
      <c r="D1346" t="s">
        <v>1657</v>
      </c>
      <c r="E1346" t="s">
        <v>23</v>
      </c>
      <c r="F1346" t="str">
        <f t="shared" si="20"/>
        <v>"C:\Program Files\VideoLAN\VLC\vlc.exe" "http://22533.live.streamtheworld.com:3690/PODCAST_RADIO_SC"</v>
      </c>
      <c r="M1346" t="e">
        <f>VLOOKUP(A1346,logos!$A$2:$A$10004,1,FALSE)</f>
        <v>#N/A</v>
      </c>
    </row>
    <row r="1347" spans="1:13" hidden="1" x14ac:dyDescent="0.55000000000000004">
      <c r="A1347" t="s">
        <v>952</v>
      </c>
      <c r="B1347" t="s">
        <v>1682</v>
      </c>
      <c r="C1347" t="s">
        <v>954</v>
      </c>
      <c r="D1347" t="s">
        <v>1657</v>
      </c>
      <c r="E1347" t="s">
        <v>23</v>
      </c>
      <c r="F1347" t="str">
        <f t="shared" ref="F1347:F1410" si="21">"""C:\Program Files\VideoLAN\VLC\vlc.exe"" """&amp;C1347&amp;""""</f>
        <v>"C:\Program Files\VideoLAN\VLC\vlc.exe" "http://20863.live.streamtheworld.com:80/PODCAST_RADIO_SC"</v>
      </c>
      <c r="M1347" t="e">
        <f>VLOOKUP(A1347,logos!$A$2:$A$10004,1,FALSE)</f>
        <v>#N/A</v>
      </c>
    </row>
    <row r="1348" spans="1:13" hidden="1" x14ac:dyDescent="0.55000000000000004">
      <c r="A1348" t="s">
        <v>952</v>
      </c>
      <c r="B1348" t="s">
        <v>1682</v>
      </c>
      <c r="C1348" t="s">
        <v>955</v>
      </c>
      <c r="D1348" t="s">
        <v>1657</v>
      </c>
      <c r="E1348" t="s">
        <v>23</v>
      </c>
      <c r="F1348" t="str">
        <f t="shared" si="21"/>
        <v>"C:\Program Files\VideoLAN\VLC\vlc.exe" "http://20863.live.streamtheworld.com:3690/PODCAST_RADIO_SC"</v>
      </c>
      <c r="M1348" t="e">
        <f>VLOOKUP(A1348,logos!$A$2:$A$10004,1,FALSE)</f>
        <v>#N/A</v>
      </c>
    </row>
    <row r="1349" spans="1:13" hidden="1" x14ac:dyDescent="0.55000000000000004">
      <c r="A1349" t="s">
        <v>952</v>
      </c>
      <c r="B1349" t="s">
        <v>1682</v>
      </c>
      <c r="C1349" t="s">
        <v>956</v>
      </c>
      <c r="D1349" t="s">
        <v>1657</v>
      </c>
      <c r="E1349" t="s">
        <v>23</v>
      </c>
      <c r="F1349" t="str">
        <f t="shared" si="21"/>
        <v>"C:\Program Files\VideoLAN\VLC\vlc.exe" "http://25703.live.streamtheworld.com:80/PODCAST_RADIO_SC"</v>
      </c>
      <c r="M1349" t="e">
        <f>VLOOKUP(A1349,logos!$A$2:$A$10004,1,FALSE)</f>
        <v>#N/A</v>
      </c>
    </row>
    <row r="1350" spans="1:13" hidden="1" x14ac:dyDescent="0.55000000000000004">
      <c r="A1350" t="s">
        <v>952</v>
      </c>
      <c r="B1350" t="s">
        <v>1682</v>
      </c>
      <c r="C1350" t="s">
        <v>957</v>
      </c>
      <c r="D1350" t="s">
        <v>1657</v>
      </c>
      <c r="E1350" t="s">
        <v>23</v>
      </c>
      <c r="F1350" t="str">
        <f t="shared" si="21"/>
        <v>"C:\Program Files\VideoLAN\VLC\vlc.exe" "http://25703.live.streamtheworld.com:3690/PODCAST_RADIO_SC"</v>
      </c>
      <c r="M1350" t="e">
        <f>VLOOKUP(A1350,logos!$A$2:$A$10004,1,FALSE)</f>
        <v>#N/A</v>
      </c>
    </row>
    <row r="1351" spans="1:13" hidden="1" x14ac:dyDescent="0.55000000000000004">
      <c r="A1351" t="s">
        <v>1281</v>
      </c>
      <c r="B1351" t="s">
        <v>1682</v>
      </c>
      <c r="C1351" t="s">
        <v>2343</v>
      </c>
      <c r="D1351" t="s">
        <v>1657</v>
      </c>
      <c r="E1351" t="s">
        <v>23</v>
      </c>
      <c r="F1351" t="str">
        <f t="shared" si="21"/>
        <v>"C:\Program Files\VideoLAN\VLC\vlc.exe" "http://edge-audio-02-thn.sharp-stream.com:80/twruk.mp3"</v>
      </c>
      <c r="M1351" t="e">
        <f>VLOOKUP(A1351,logos!$A$2:$A$10004,1,FALSE)</f>
        <v>#N/A</v>
      </c>
    </row>
    <row r="1352" spans="1:13" hidden="1" x14ac:dyDescent="0.55000000000000004">
      <c r="A1352" t="s">
        <v>1033</v>
      </c>
      <c r="B1352" t="s">
        <v>1663</v>
      </c>
      <c r="C1352" t="s">
        <v>2608</v>
      </c>
      <c r="D1352" t="s">
        <v>1657</v>
      </c>
      <c r="E1352" t="s">
        <v>2611</v>
      </c>
      <c r="F1352" t="str">
        <f t="shared" si="21"/>
        <v>"C:\Program Files\VideoLAN\VLC\vlc.exe" "http://media.radiojackie.com/redirector/livestream.m3u8"</v>
      </c>
      <c r="M1352" t="e">
        <f>VLOOKUP(A1352,logos!$A$2:$A$10004,1,FALSE)</f>
        <v>#N/A</v>
      </c>
    </row>
    <row r="1353" spans="1:13" hidden="1" x14ac:dyDescent="0.55000000000000004">
      <c r="A1353" t="s">
        <v>90</v>
      </c>
      <c r="B1353" t="s">
        <v>1663</v>
      </c>
      <c r="C1353" t="s">
        <v>2356</v>
      </c>
      <c r="D1353" t="s">
        <v>1657</v>
      </c>
      <c r="E1353" t="s">
        <v>2611</v>
      </c>
      <c r="F1353" t="str">
        <f t="shared" si="21"/>
        <v>"C:\Program Files\VideoLAN\VLC\vlc.exe" "http://as-hls-uk-live.akamaized.net/pool_904/live/uk/bbc_asian_network/bbc_asian_network.isml/bbc_asian_network-audio%3d128000.norewind.m3u8"</v>
      </c>
      <c r="M1353" t="str">
        <f>VLOOKUP(A1353,logos!$A$2:$A$10004,1,FALSE)</f>
        <v>BBC Asian Network</v>
      </c>
    </row>
    <row r="1354" spans="1:13" hidden="1" x14ac:dyDescent="0.55000000000000004">
      <c r="A1354" t="s">
        <v>93</v>
      </c>
      <c r="B1354" t="s">
        <v>1663</v>
      </c>
      <c r="C1354" t="s">
        <v>2360</v>
      </c>
      <c r="D1354" t="s">
        <v>1657</v>
      </c>
      <c r="E1354" t="s">
        <v>2611</v>
      </c>
      <c r="F1354" t="str">
        <f t="shared" si="21"/>
        <v>"C:\Program Files\VideoLAN\VLC\vlc.exe" "http://as-hls-uk-live.akamaized.net/pool_904/live/uk/bbc_radio_coventry_warwickshire/bbc_radio_coventry_warwickshire.isml/bbc_radio_coventry_warwickshire-audio%3d128000.norewind.m3u8"</v>
      </c>
      <c r="M1354" t="str">
        <f>VLOOKUP(A1354,logos!$A$2:$A$10004,1,FALSE)</f>
        <v>BBC CWR</v>
      </c>
    </row>
    <row r="1355" spans="1:13" hidden="1" x14ac:dyDescent="0.55000000000000004">
      <c r="A1355" t="s">
        <v>95</v>
      </c>
      <c r="B1355" t="s">
        <v>1663</v>
      </c>
      <c r="C1355" t="s">
        <v>2364</v>
      </c>
      <c r="D1355" t="s">
        <v>1657</v>
      </c>
      <c r="E1355" t="s">
        <v>2611</v>
      </c>
      <c r="F1355" t="str">
        <f t="shared" si="21"/>
        <v>"C:\Program Files\VideoLAN\VLC\vlc.exe" "http://as-hls-uk-live.akamaized.net/pool_904/live/uk/bbc_radio_essex/bbc_radio_essex.isml/bbc_radio_essex-audio%3d128000.norewind.m3u8"</v>
      </c>
      <c r="M1355" t="str">
        <f>VLOOKUP(A1355,logos!$A$2:$A$10004,1,FALSE)</f>
        <v>BBC Essex</v>
      </c>
    </row>
    <row r="1356" spans="1:13" hidden="1" x14ac:dyDescent="0.55000000000000004">
      <c r="A1356" t="s">
        <v>97</v>
      </c>
      <c r="B1356" t="s">
        <v>1663</v>
      </c>
      <c r="C1356" t="s">
        <v>2368</v>
      </c>
      <c r="D1356" t="s">
        <v>1657</v>
      </c>
      <c r="E1356" t="s">
        <v>2611</v>
      </c>
      <c r="F1356" t="str">
        <f t="shared" si="21"/>
        <v>"C:\Program Files\VideoLAN\VLC\vlc.exe" "http://as-hls-uk-live.akamaized.net/pool_904/live/uk/bbc_radio_hereford_worcester/bbc_radio_hereford_worcester.isml/bbc_radio_hereford_worcester-audio%3d128000.norewind.m3u8"</v>
      </c>
      <c r="M1356" t="str">
        <f>VLOOKUP(A1356,logos!$A$2:$A$10004,1,FALSE)</f>
        <v>BBC Hereford &amp; Worcester</v>
      </c>
    </row>
    <row r="1357" spans="1:13" hidden="1" x14ac:dyDescent="0.55000000000000004">
      <c r="A1357" t="s">
        <v>2843</v>
      </c>
      <c r="B1357" t="s">
        <v>1663</v>
      </c>
      <c r="C1357" t="s">
        <v>2372</v>
      </c>
      <c r="D1357" t="s">
        <v>1657</v>
      </c>
      <c r="E1357" t="s">
        <v>2611</v>
      </c>
      <c r="F1357" t="str">
        <f t="shared" si="21"/>
        <v>"C:\Program Files\VideoLAN\VLC\vlc.exe" "http://as-hls-uk-live.akamaized.net/pool_904/live/uk/bbc_radio_one/bbc_radio_one.isml/bbc_radio_one-audio%3d128000.norewind.m3u8"</v>
      </c>
      <c r="M1357" t="str">
        <f>VLOOKUP(A1357,logos!$A$2:$A$10004,1,FALSE)</f>
        <v>BBC Radio 1 (England)</v>
      </c>
    </row>
    <row r="1358" spans="1:13" hidden="1" x14ac:dyDescent="0.55000000000000004">
      <c r="A1358" t="s">
        <v>101</v>
      </c>
      <c r="B1358" t="s">
        <v>1663</v>
      </c>
      <c r="C1358" t="s">
        <v>2376</v>
      </c>
      <c r="D1358" t="s">
        <v>1657</v>
      </c>
      <c r="E1358" t="s">
        <v>2611</v>
      </c>
      <c r="F1358" t="str">
        <f t="shared" si="21"/>
        <v>"C:\Program Files\VideoLAN\VLC\vlc.exe" "http://as-hls-uk-live.akamaized.net/pool_904/live/uk/bbc_1xtra/bbc_1xtra.isml/bbc_1xtra-audio%3d128000.norewind.m3u8"</v>
      </c>
      <c r="M1358" t="str">
        <f>VLOOKUP(A1358,logos!$A$2:$A$10004,1,FALSE)</f>
        <v>BBC Radio 1Xtra</v>
      </c>
    </row>
    <row r="1359" spans="1:13" hidden="1" x14ac:dyDescent="0.55000000000000004">
      <c r="A1359" t="s">
        <v>103</v>
      </c>
      <c r="B1359" t="s">
        <v>1663</v>
      </c>
      <c r="C1359" t="s">
        <v>2380</v>
      </c>
      <c r="D1359" t="s">
        <v>1657</v>
      </c>
      <c r="E1359" t="s">
        <v>2611</v>
      </c>
      <c r="F1359" t="str">
        <f t="shared" si="21"/>
        <v>"C:\Program Files\VideoLAN\VLC\vlc.exe" "http://as-hls-uk-live.akamaized.net/pool_904/live/uk/bbc_radio_two/bbc_radio_two.isml/bbc_radio_two-audio%3d128000.norewind.m3u8"</v>
      </c>
      <c r="M1359" t="str">
        <f>VLOOKUP(A1359,logos!$A$2:$A$10004,1,FALSE)</f>
        <v>BBC Radio 2</v>
      </c>
    </row>
    <row r="1360" spans="1:13" hidden="1" x14ac:dyDescent="0.55000000000000004">
      <c r="A1360" t="s">
        <v>105</v>
      </c>
      <c r="B1360" t="s">
        <v>1663</v>
      </c>
      <c r="C1360" t="s">
        <v>2384</v>
      </c>
      <c r="D1360" t="s">
        <v>1657</v>
      </c>
      <c r="E1360" t="s">
        <v>2611</v>
      </c>
      <c r="F1360" t="str">
        <f t="shared" si="21"/>
        <v>"C:\Program Files\VideoLAN\VLC\vlc.exe" "http://as-hls-uk-live.akamaized.net/pool_904/live/uk/bbc_radio_three/bbc_radio_three.isml/bbc_radio_three-audio%3d128000.norewind.m3u8"</v>
      </c>
      <c r="M1360" t="str">
        <f>VLOOKUP(A1360,logos!$A$2:$A$10004,1,FALSE)</f>
        <v>BBC Radio 3</v>
      </c>
    </row>
    <row r="1361" spans="1:13" hidden="1" x14ac:dyDescent="0.55000000000000004">
      <c r="A1361" t="s">
        <v>2844</v>
      </c>
      <c r="B1361" t="s">
        <v>1663</v>
      </c>
      <c r="C1361" t="s">
        <v>2388</v>
      </c>
      <c r="D1361" t="s">
        <v>1657</v>
      </c>
      <c r="E1361" t="s">
        <v>2611</v>
      </c>
      <c r="F1361" t="str">
        <f t="shared" si="21"/>
        <v>"C:\Program Files\VideoLAN\VLC\vlc.exe" "http://as-hls-uk-live.akamaized.net/pool_904/live/uk/bbc_radio_fourfm/bbc_radio_fourfm.isml/bbc_radio_fourfm-audio%3d128000.norewind.m3u8"</v>
      </c>
      <c r="M1361" t="str">
        <f>VLOOKUP(A1361,logos!$A$2:$A$10004,1,FALSE)</f>
        <v>BBC Radio 4 (DAB)</v>
      </c>
    </row>
    <row r="1362" spans="1:13" hidden="1" x14ac:dyDescent="0.55000000000000004">
      <c r="A1362" t="s">
        <v>2845</v>
      </c>
      <c r="B1362" t="s">
        <v>1663</v>
      </c>
      <c r="C1362" t="s">
        <v>2392</v>
      </c>
      <c r="D1362" t="s">
        <v>1657</v>
      </c>
      <c r="E1362" t="s">
        <v>2611</v>
      </c>
      <c r="F1362" t="str">
        <f t="shared" si="21"/>
        <v>"C:\Program Files\VideoLAN\VLC\vlc.exe" "http://as-hls-uk-live.akamaized.net/pool_904/live/uk/bbc_radio_fourlw/bbc_radio_fourlw.isml/bbc_radio_fourlw-audio%3d128000.norewind.m3u8"</v>
      </c>
      <c r="M1362" t="str">
        <f>VLOOKUP(A1362,logos!$A$2:$A$10004,1,FALSE)</f>
        <v>BBC Radio 4 (LW)</v>
      </c>
    </row>
    <row r="1363" spans="1:13" hidden="1" x14ac:dyDescent="0.55000000000000004">
      <c r="A1363" t="s">
        <v>111</v>
      </c>
      <c r="B1363" t="s">
        <v>1663</v>
      </c>
      <c r="C1363" t="s">
        <v>2396</v>
      </c>
      <c r="D1363" t="s">
        <v>1657</v>
      </c>
      <c r="E1363" t="s">
        <v>2611</v>
      </c>
      <c r="F1363" t="str">
        <f t="shared" si="21"/>
        <v>"C:\Program Files\VideoLAN\VLC\vlc.exe" "http://as-hls-uk-live.akamaized.net/pool_904/live/uk/bbc_radio_four_extra/bbc_radio_four_extra.isml/bbc_radio_four_extra-audio%3d128000.norewind.m3u8"</v>
      </c>
      <c r="M1363" t="str">
        <f>VLOOKUP(A1363,logos!$A$2:$A$10004,1,FALSE)</f>
        <v>BBC Radio 4 Extra</v>
      </c>
    </row>
    <row r="1364" spans="1:13" hidden="1" x14ac:dyDescent="0.55000000000000004">
      <c r="A1364" t="s">
        <v>113</v>
      </c>
      <c r="B1364" t="s">
        <v>1663</v>
      </c>
      <c r="C1364" t="s">
        <v>2400</v>
      </c>
      <c r="D1364" t="s">
        <v>1657</v>
      </c>
      <c r="E1364" t="s">
        <v>2611</v>
      </c>
      <c r="F1364" t="str">
        <f t="shared" si="21"/>
        <v>"C:\Program Files\VideoLAN\VLC\vlc.exe" "http://as-hls-uk-live.akamaized.net/pool_904/live/uk/bbc_radio_five_live/bbc_radio_five_live.isml/bbc_radio_five_live-audio%3d128000.norewind.m3u8"</v>
      </c>
      <c r="M1364" t="str">
        <f>VLOOKUP(A1364,logos!$A$2:$A$10004,1,FALSE)</f>
        <v>BBC Radio 5 Live</v>
      </c>
    </row>
    <row r="1365" spans="1:13" hidden="1" x14ac:dyDescent="0.55000000000000004">
      <c r="A1365" t="s">
        <v>116</v>
      </c>
      <c r="B1365" t="s">
        <v>1663</v>
      </c>
      <c r="C1365" t="s">
        <v>2404</v>
      </c>
      <c r="D1365" t="s">
        <v>1657</v>
      </c>
      <c r="E1365" t="s">
        <v>2611</v>
      </c>
      <c r="F1365" t="str">
        <f t="shared" si="21"/>
        <v>"C:\Program Files\VideoLAN\VLC\vlc.exe" "http://as-hls-uk-live.akamaized.net/pool_904/live/uk/bbc_radio_five_live_sports_extra/bbc_radio_five_live_sports_extra.isml/bbc_radio_five_live_sports_extra-audio%3d128000.norewind.m3u8"</v>
      </c>
      <c r="M1365" t="str">
        <f>VLOOKUP(A1365,logos!$A$2:$A$10004,1,FALSE)</f>
        <v>BBC Radio 5 Sports Extra</v>
      </c>
    </row>
    <row r="1366" spans="1:13" hidden="1" x14ac:dyDescent="0.55000000000000004">
      <c r="A1366" t="s">
        <v>118</v>
      </c>
      <c r="B1366" t="s">
        <v>1663</v>
      </c>
      <c r="C1366" t="s">
        <v>2408</v>
      </c>
      <c r="D1366" t="s">
        <v>1657</v>
      </c>
      <c r="E1366" t="s">
        <v>2611</v>
      </c>
      <c r="F1366" t="str">
        <f t="shared" si="21"/>
        <v>"C:\Program Files\VideoLAN\VLC\vlc.exe" "http://as-hls-uk-live.akamaized.net/pool_904/live/uk/bbc_6music/bbc_6music.isml/bbc_6music-audio%3d128000.norewind.m3u8"</v>
      </c>
      <c r="M1366" t="str">
        <f>VLOOKUP(A1366,logos!$A$2:$A$10004,1,FALSE)</f>
        <v>BBC Radio 6 Music</v>
      </c>
    </row>
    <row r="1367" spans="1:13" hidden="1" x14ac:dyDescent="0.55000000000000004">
      <c r="A1367" t="s">
        <v>120</v>
      </c>
      <c r="B1367" t="s">
        <v>1663</v>
      </c>
      <c r="C1367" t="s">
        <v>2412</v>
      </c>
      <c r="D1367" t="s">
        <v>1657</v>
      </c>
      <c r="E1367" t="s">
        <v>2611</v>
      </c>
      <c r="F1367" t="str">
        <f t="shared" si="21"/>
        <v>"C:\Program Files\VideoLAN\VLC\vlc.exe" "http://as-hls-uk-live.akamaized.net/pool_904/live/uk/bbc_radio_berkshire/bbc_radio_berkshire.isml/bbc_radio_berkshire-audio%3d128000.norewind.m3u8"</v>
      </c>
      <c r="M1367" t="str">
        <f>VLOOKUP(A1367,logos!$A$2:$A$10004,1,FALSE)</f>
        <v>BBC Radio Berkshire</v>
      </c>
    </row>
    <row r="1368" spans="1:13" hidden="1" x14ac:dyDescent="0.55000000000000004">
      <c r="A1368" t="s">
        <v>122</v>
      </c>
      <c r="B1368" t="s">
        <v>1663</v>
      </c>
      <c r="C1368" t="s">
        <v>2416</v>
      </c>
      <c r="D1368" t="s">
        <v>1657</v>
      </c>
      <c r="E1368" t="s">
        <v>2611</v>
      </c>
      <c r="F1368" t="str">
        <f t="shared" si="21"/>
        <v>"C:\Program Files\VideoLAN\VLC\vlc.exe" "http://as-hls-uk-live.akamaized.net/pool_904/live/uk/bbc_radio_bristol/bbc_radio_bristol.isml/bbc_radio_bristol-audio%3d128000.norewind.m3u8"</v>
      </c>
      <c r="M1368" t="str">
        <f>VLOOKUP(A1368,logos!$A$2:$A$10004,1,FALSE)</f>
        <v>BBC Radio Bristol</v>
      </c>
    </row>
    <row r="1369" spans="1:13" hidden="1" x14ac:dyDescent="0.55000000000000004">
      <c r="A1369" t="s">
        <v>2846</v>
      </c>
      <c r="B1369" t="s">
        <v>1663</v>
      </c>
      <c r="C1369" t="s">
        <v>2420</v>
      </c>
      <c r="D1369" t="s">
        <v>1657</v>
      </c>
      <c r="E1369" t="s">
        <v>2611</v>
      </c>
      <c r="F1369" t="str">
        <f t="shared" si="21"/>
        <v>"C:\Program Files\VideoLAN\VLC\vlc.exe" "http://as-hls-uk-live.akamaized.net/pool_904/live/uk/bbc_radio_cambridge/bbc_radio_cambridge.isml/bbc_radio_cambridge-audio%3d128000.norewind.m3u8"</v>
      </c>
      <c r="M1369" t="e">
        <f>VLOOKUP(A1369,logos!$A$2:$A$10004,1,FALSE)</f>
        <v>#N/A</v>
      </c>
    </row>
    <row r="1370" spans="1:13" hidden="1" x14ac:dyDescent="0.55000000000000004">
      <c r="A1370" t="s">
        <v>126</v>
      </c>
      <c r="B1370" t="s">
        <v>1663</v>
      </c>
      <c r="C1370" t="s">
        <v>2424</v>
      </c>
      <c r="D1370" t="s">
        <v>1657</v>
      </c>
      <c r="E1370" t="s">
        <v>2611</v>
      </c>
      <c r="F1370" t="str">
        <f t="shared" si="21"/>
        <v>"C:\Program Files\VideoLAN\VLC\vlc.exe" "http://as-hls-uk-live.akamaized.net/pool_904/live/uk/bbc_radio_cornwall/bbc_radio_cornwall.isml/bbc_radio_cornwall-audio%3d128000.norewind.m3u8"</v>
      </c>
      <c r="M1370" t="str">
        <f>VLOOKUP(A1370,logos!$A$2:$A$10004,1,FALSE)</f>
        <v>BBC Radio Cornwall</v>
      </c>
    </row>
    <row r="1371" spans="1:13" hidden="1" x14ac:dyDescent="0.55000000000000004">
      <c r="A1371" t="s">
        <v>2847</v>
      </c>
      <c r="B1371" t="s">
        <v>1663</v>
      </c>
      <c r="C1371" t="s">
        <v>2428</v>
      </c>
      <c r="D1371" t="s">
        <v>1657</v>
      </c>
      <c r="E1371" t="s">
        <v>2611</v>
      </c>
      <c r="F1371" t="str">
        <f t="shared" si="21"/>
        <v>"C:\Program Files\VideoLAN\VLC\vlc.exe" "http://as-hls-uk-live.akamaized.net/pool_904/live/uk/bbc_radio_cumbria/bbc_radio_cumbria.isml/bbc_radio_cumbria-audio%3d128000.norewind.m3u8"</v>
      </c>
      <c r="M1371" t="str">
        <f>VLOOKUP(A1371,logos!$A$2:$A$10004,1,FALSE)</f>
        <v>BBC Radio Cumbria (FM)</v>
      </c>
    </row>
    <row r="1372" spans="1:13" hidden="1" x14ac:dyDescent="0.55000000000000004">
      <c r="A1372" t="s">
        <v>2848</v>
      </c>
      <c r="B1372" t="s">
        <v>1663</v>
      </c>
      <c r="C1372" t="s">
        <v>2432</v>
      </c>
      <c r="D1372" t="s">
        <v>1657</v>
      </c>
      <c r="E1372" t="s">
        <v>2611</v>
      </c>
      <c r="F1372" t="str">
        <f t="shared" si="21"/>
        <v>"C:\Program Files\VideoLAN\VLC\vlc.exe" "http://as-hls-uk-live.akamaized.net/pool_904/live/uk/bbc_radio_cymru/bbc_radio_cymru.isml/bbc_radio_cymru-audio%3d128000.norewind.m3u8"</v>
      </c>
      <c r="M1372" t="e">
        <f>VLOOKUP(A1372,logos!$A$2:$A$10004,1,FALSE)</f>
        <v>#N/A</v>
      </c>
    </row>
    <row r="1373" spans="1:13" hidden="1" x14ac:dyDescent="0.55000000000000004">
      <c r="A1373" t="s">
        <v>132</v>
      </c>
      <c r="B1373" t="s">
        <v>1663</v>
      </c>
      <c r="C1373" t="s">
        <v>2436</v>
      </c>
      <c r="D1373" t="s">
        <v>1657</v>
      </c>
      <c r="E1373" t="s">
        <v>2611</v>
      </c>
      <c r="F1373" t="str">
        <f t="shared" si="21"/>
        <v>"C:\Program Files\VideoLAN\VLC\vlc.exe" "http://as-hls-uk-live.akamaized.net/pool_904/live/uk/bbc_radio_cymru_2/bbc_radio_cymru_2.isml/bbc_radio_cymru_2-audio%3d128000.norewind.m3u8"</v>
      </c>
      <c r="M1373" t="str">
        <f>VLOOKUP(A1373,logos!$A$2:$A$10004,1,FALSE)</f>
        <v>BBC Radio Cymru 2</v>
      </c>
    </row>
    <row r="1374" spans="1:13" hidden="1" x14ac:dyDescent="0.55000000000000004">
      <c r="A1374" t="s">
        <v>2849</v>
      </c>
      <c r="B1374" t="s">
        <v>1663</v>
      </c>
      <c r="C1374" t="s">
        <v>2440</v>
      </c>
      <c r="D1374" t="s">
        <v>1657</v>
      </c>
      <c r="E1374" t="s">
        <v>2611</v>
      </c>
      <c r="F1374" t="str">
        <f t="shared" si="21"/>
        <v>"C:\Program Files\VideoLAN\VLC\vlc.exe" "http://as-hls-uk-live.akamaized.net/pool_904/live/uk/bbc_radio_derby/bbc_radio_derby.isml/bbc_radio_derby-audio%3d128000.norewind.m3u8"</v>
      </c>
      <c r="M1374" t="e">
        <f>VLOOKUP(A1374,logos!$A$2:$A$10004,1,FALSE)</f>
        <v>#N/A</v>
      </c>
    </row>
    <row r="1375" spans="1:13" hidden="1" x14ac:dyDescent="0.55000000000000004">
      <c r="A1375" t="s">
        <v>2850</v>
      </c>
      <c r="B1375" t="s">
        <v>1663</v>
      </c>
      <c r="C1375" t="s">
        <v>2444</v>
      </c>
      <c r="D1375" t="s">
        <v>1657</v>
      </c>
      <c r="E1375" t="s">
        <v>2611</v>
      </c>
      <c r="F1375" t="str">
        <f t="shared" si="21"/>
        <v>"C:\Program Files\VideoLAN\VLC\vlc.exe" "http://as-hls-uk-live.akamaized.net/pool_904/live/uk/bbc_radio_devon/bbc_radio_devon.isml/bbc_radio_devon-audio%3d128000.norewind.m3u8"</v>
      </c>
      <c r="M1375" t="e">
        <f>VLOOKUP(A1375,logos!$A$2:$A$10004,1,FALSE)</f>
        <v>#N/A</v>
      </c>
    </row>
    <row r="1376" spans="1:13" hidden="1" x14ac:dyDescent="0.55000000000000004">
      <c r="A1376" t="s">
        <v>138</v>
      </c>
      <c r="B1376" t="s">
        <v>1663</v>
      </c>
      <c r="C1376" t="s">
        <v>2448</v>
      </c>
      <c r="D1376" t="s">
        <v>1657</v>
      </c>
      <c r="E1376" t="s">
        <v>2611</v>
      </c>
      <c r="F1376" t="str">
        <f t="shared" si="21"/>
        <v>"C:\Program Files\VideoLAN\VLC\vlc.exe" "http://as-hls-uk-live.akamaized.net/pool_904/live/uk/bbc_radio_foyle/bbc_radio_foyle.isml/bbc_radio_foyle-audio%3d128000.norewind.m3u8"</v>
      </c>
      <c r="M1376" t="str">
        <f>VLOOKUP(A1376,logos!$A$2:$A$10004,1,FALSE)</f>
        <v>BBC Radio Foyle</v>
      </c>
    </row>
    <row r="1377" spans="1:13" hidden="1" x14ac:dyDescent="0.55000000000000004">
      <c r="A1377" t="s">
        <v>140</v>
      </c>
      <c r="B1377" t="s">
        <v>1663</v>
      </c>
      <c r="C1377" t="s">
        <v>2452</v>
      </c>
      <c r="D1377" t="s">
        <v>1657</v>
      </c>
      <c r="E1377" t="s">
        <v>2611</v>
      </c>
      <c r="F1377" t="str">
        <f t="shared" si="21"/>
        <v>"C:\Program Files\VideoLAN\VLC\vlc.exe" "http://as-hls-uk-live.akamaized.net/pool_904/live/uk/bbc_radio_gloucestershire/bbc_radio_gloucestershire.isml/bbc_radio_gloucestershire-audio%3d128000.norewind.m3u8"</v>
      </c>
      <c r="M1377" t="str">
        <f>VLOOKUP(A1377,logos!$A$2:$A$10004,1,FALSE)</f>
        <v>BBC Radio Gloucestershire</v>
      </c>
    </row>
    <row r="1378" spans="1:13" hidden="1" x14ac:dyDescent="0.55000000000000004">
      <c r="A1378" t="s">
        <v>2851</v>
      </c>
      <c r="B1378" t="s">
        <v>1663</v>
      </c>
      <c r="C1378" t="s">
        <v>2456</v>
      </c>
      <c r="D1378" t="s">
        <v>1657</v>
      </c>
      <c r="E1378" t="s">
        <v>2611</v>
      </c>
      <c r="F1378" t="str">
        <f t="shared" si="21"/>
        <v>"C:\Program Files\VideoLAN\VLC\vlc.exe" "http://as-hls-uk-live.akamaized.net/pool_904/live/uk/bbc_radio_guernsey/bbc_radio_guernsey.isml/bbc_radio_guernsey-audio%3d128000.norewind.m3u8"</v>
      </c>
      <c r="M1378" t="e">
        <f>VLOOKUP(A1378,logos!$A$2:$A$10004,1,FALSE)</f>
        <v>#N/A</v>
      </c>
    </row>
    <row r="1379" spans="1:13" hidden="1" x14ac:dyDescent="0.55000000000000004">
      <c r="A1379" t="s">
        <v>2852</v>
      </c>
      <c r="B1379" t="s">
        <v>1663</v>
      </c>
      <c r="C1379" t="s">
        <v>2460</v>
      </c>
      <c r="D1379" t="s">
        <v>1657</v>
      </c>
      <c r="E1379" t="s">
        <v>2611</v>
      </c>
      <c r="F1379" t="str">
        <f t="shared" si="21"/>
        <v>"C:\Program Files\VideoLAN\VLC\vlc.exe" "http://as-hls-uk-live.akamaized.net/pool_904/live/uk/bbc_radio_humberside/bbc_radio_humberside.isml/bbc_radio_humberside-audio%3d128000.norewind.m3u8"</v>
      </c>
      <c r="M1379" t="e">
        <f>VLOOKUP(A1379,logos!$A$2:$A$10004,1,FALSE)</f>
        <v>#N/A</v>
      </c>
    </row>
    <row r="1380" spans="1:13" hidden="1" x14ac:dyDescent="0.55000000000000004">
      <c r="A1380" t="s">
        <v>2853</v>
      </c>
      <c r="B1380" t="s">
        <v>1663</v>
      </c>
      <c r="C1380" t="s">
        <v>2464</v>
      </c>
      <c r="D1380" t="s">
        <v>1657</v>
      </c>
      <c r="E1380" t="s">
        <v>2611</v>
      </c>
      <c r="F1380" t="str">
        <f t="shared" si="21"/>
        <v>"C:\Program Files\VideoLAN\VLC\vlc.exe" "http://as-hls-uk-live.akamaized.net/pool_904/live/uk/bbc_radio_jersey/bbc_radio_jersey.isml/bbc_radio_jersey-audio%3d128000.norewind.m3u8"</v>
      </c>
      <c r="M1380" t="e">
        <f>VLOOKUP(A1380,logos!$A$2:$A$10004,1,FALSE)</f>
        <v>#N/A</v>
      </c>
    </row>
    <row r="1381" spans="1:13" hidden="1" x14ac:dyDescent="0.55000000000000004">
      <c r="A1381" t="s">
        <v>148</v>
      </c>
      <c r="B1381" t="s">
        <v>1663</v>
      </c>
      <c r="C1381" t="s">
        <v>2468</v>
      </c>
      <c r="D1381" t="s">
        <v>1657</v>
      </c>
      <c r="E1381" t="s">
        <v>2611</v>
      </c>
      <c r="F1381" t="str">
        <f t="shared" si="21"/>
        <v>"C:\Program Files\VideoLAN\VLC\vlc.exe" "http://as-hls-uk-live.akamaized.net/pool_904/live/uk/bbc_radio_kent/bbc_radio_kent.isml/bbc_radio_kent-audio%3d128000.norewind.m3u8"</v>
      </c>
      <c r="M1381" t="str">
        <f>VLOOKUP(A1381,logos!$A$2:$A$10004,1,FALSE)</f>
        <v>BBC Radio Kent</v>
      </c>
    </row>
    <row r="1382" spans="1:13" hidden="1" x14ac:dyDescent="0.55000000000000004">
      <c r="A1382" t="s">
        <v>150</v>
      </c>
      <c r="B1382" t="s">
        <v>1663</v>
      </c>
      <c r="C1382" t="s">
        <v>2472</v>
      </c>
      <c r="D1382" t="s">
        <v>1657</v>
      </c>
      <c r="E1382" t="s">
        <v>2611</v>
      </c>
      <c r="F1382" t="str">
        <f t="shared" si="21"/>
        <v>"C:\Program Files\VideoLAN\VLC\vlc.exe" "http://as-hls-uk-live.akamaized.net/pool_904/live/uk/bbc_radio_lancashire/bbc_radio_lancashire.isml/bbc_radio_lancashire-audio%3d128000.norewind.m3u8"</v>
      </c>
      <c r="M1382" t="str">
        <f>VLOOKUP(A1382,logos!$A$2:$A$10004,1,FALSE)</f>
        <v>BBC Radio Lancashire</v>
      </c>
    </row>
    <row r="1383" spans="1:13" hidden="1" x14ac:dyDescent="0.55000000000000004">
      <c r="A1383" t="s">
        <v>152</v>
      </c>
      <c r="B1383" t="s">
        <v>1663</v>
      </c>
      <c r="C1383" t="s">
        <v>2476</v>
      </c>
      <c r="D1383" t="s">
        <v>1657</v>
      </c>
      <c r="E1383" t="s">
        <v>2611</v>
      </c>
      <c r="F1383" t="str">
        <f t="shared" si="21"/>
        <v>"C:\Program Files\VideoLAN\VLC\vlc.exe" "http://as-hls-uk-live.akamaized.net/pool_904/live/uk/bbc_radio_leeds/bbc_radio_leeds.isml/bbc_radio_leeds-audio%3d128000.norewind.m3u8"</v>
      </c>
      <c r="M1383" t="str">
        <f>VLOOKUP(A1383,logos!$A$2:$A$10004,1,FALSE)</f>
        <v>BBC Radio Leeds</v>
      </c>
    </row>
    <row r="1384" spans="1:13" hidden="1" x14ac:dyDescent="0.55000000000000004">
      <c r="A1384" t="s">
        <v>154</v>
      </c>
      <c r="B1384" t="s">
        <v>1663</v>
      </c>
      <c r="C1384" t="s">
        <v>2480</v>
      </c>
      <c r="D1384" t="s">
        <v>1657</v>
      </c>
      <c r="E1384" t="s">
        <v>2611</v>
      </c>
      <c r="F1384" t="str">
        <f t="shared" si="21"/>
        <v>"C:\Program Files\VideoLAN\VLC\vlc.exe" "http://as-hls-uk-live.akamaized.net/pool_904/live/uk/bbc_radio_leicester/bbc_radio_leicester.isml/bbc_radio_leicester-audio%3d128000.norewind.m3u8"</v>
      </c>
      <c r="M1384" t="str">
        <f>VLOOKUP(A1384,logos!$A$2:$A$10004,1,FALSE)</f>
        <v>BBC Radio Leicester</v>
      </c>
    </row>
    <row r="1385" spans="1:13" hidden="1" x14ac:dyDescent="0.55000000000000004">
      <c r="A1385" t="s">
        <v>156</v>
      </c>
      <c r="B1385" t="s">
        <v>1663</v>
      </c>
      <c r="C1385" t="s">
        <v>2484</v>
      </c>
      <c r="D1385" t="s">
        <v>1657</v>
      </c>
      <c r="E1385" t="s">
        <v>2611</v>
      </c>
      <c r="F1385" t="str">
        <f t="shared" si="21"/>
        <v>"C:\Program Files\VideoLAN\VLC\vlc.exe" "http://as-hls-uk-live.akamaized.net/pool_904/live/uk/bbc_radio_lincolnshire/bbc_radio_lincolnshire.isml/bbc_radio_lincolnshire-audio%3d128000.norewind.m3u8"</v>
      </c>
      <c r="M1385" t="str">
        <f>VLOOKUP(A1385,logos!$A$2:$A$10004,1,FALSE)</f>
        <v>BBC Radio Lincolnshire</v>
      </c>
    </row>
    <row r="1386" spans="1:13" hidden="1" x14ac:dyDescent="0.55000000000000004">
      <c r="A1386" t="s">
        <v>2854</v>
      </c>
      <c r="B1386" t="s">
        <v>1663</v>
      </c>
      <c r="C1386" t="s">
        <v>2488</v>
      </c>
      <c r="D1386" t="s">
        <v>1657</v>
      </c>
      <c r="E1386" t="s">
        <v>2611</v>
      </c>
      <c r="F1386" t="str">
        <f t="shared" si="21"/>
        <v>"C:\Program Files\VideoLAN\VLC\vlc.exe" "http://as-hls-uk-live.akamaized.net/pool_904/live/uk/bbc_london/bbc_london.isml/bbc_london-audio%3d128000.norewind.m3u8"</v>
      </c>
      <c r="M1386" t="str">
        <f>VLOOKUP(A1386,logos!$A$2:$A$10004,1,FALSE)</f>
        <v>BBC Radio London (FM)</v>
      </c>
    </row>
    <row r="1387" spans="1:13" hidden="1" x14ac:dyDescent="0.55000000000000004">
      <c r="A1387" t="s">
        <v>2855</v>
      </c>
      <c r="B1387" t="s">
        <v>1663</v>
      </c>
      <c r="C1387" t="s">
        <v>2492</v>
      </c>
      <c r="D1387" t="s">
        <v>1657</v>
      </c>
      <c r="E1387" t="s">
        <v>2611</v>
      </c>
      <c r="F1387" t="str">
        <f t="shared" si="21"/>
        <v>"C:\Program Files\VideoLAN\VLC\vlc.exe" "http://as-hls-uk-live.akamaized.net/pool_904/live/uk/bbc_radio_manchester/bbc_radio_manchester.isml/bbc_radio_manchester-audio%3d128000.norewind.m3u8"</v>
      </c>
      <c r="M1387" t="str">
        <f>VLOOKUP(A1387,logos!$A$2:$A$10004,1,FALSE)</f>
        <v>BBC Radio Manchester (DAB)</v>
      </c>
    </row>
    <row r="1388" spans="1:13" hidden="1" x14ac:dyDescent="0.55000000000000004">
      <c r="A1388" t="s">
        <v>162</v>
      </c>
      <c r="B1388" t="s">
        <v>1663</v>
      </c>
      <c r="C1388" t="s">
        <v>2496</v>
      </c>
      <c r="D1388" t="s">
        <v>1657</v>
      </c>
      <c r="E1388" t="s">
        <v>2611</v>
      </c>
      <c r="F1388" t="str">
        <f t="shared" si="21"/>
        <v>"C:\Program Files\VideoLAN\VLC\vlc.exe" "http://as-hls-uk-live.akamaized.net/pool_904/live/uk/bbc_radio_merseyside/bbc_radio_merseyside.isml/bbc_radio_merseyside-audio%3d128000.norewind.m3u8"</v>
      </c>
      <c r="M1388" t="str">
        <f>VLOOKUP(A1388,logos!$A$2:$A$10004,1,FALSE)</f>
        <v>BBC Radio Merseyside</v>
      </c>
    </row>
    <row r="1389" spans="1:13" hidden="1" x14ac:dyDescent="0.55000000000000004">
      <c r="A1389" t="s">
        <v>1694</v>
      </c>
      <c r="B1389" t="s">
        <v>1663</v>
      </c>
      <c r="C1389" t="s">
        <v>2500</v>
      </c>
      <c r="D1389" t="s">
        <v>1657</v>
      </c>
      <c r="E1389" t="s">
        <v>2611</v>
      </c>
      <c r="F1389" t="str">
        <f t="shared" si="21"/>
        <v>"C:\Program Files\VideoLAN\VLC\vlc.exe" "http://as-hls-uk-live.akamaized.net/pool_904/live/uk/bbc_radio_nan_gaidheal/bbc_radio_nan_gaidheal.isml/bbc_radio_nan_gaidheal-audio%3d128000.norewind.m3u8"</v>
      </c>
      <c r="M1389" t="e">
        <f>VLOOKUP(A1389,logos!$A$2:$A$10004,1,FALSE)</f>
        <v>#N/A</v>
      </c>
    </row>
    <row r="1390" spans="1:13" hidden="1" x14ac:dyDescent="0.55000000000000004">
      <c r="A1390" t="s">
        <v>166</v>
      </c>
      <c r="B1390" t="s">
        <v>1663</v>
      </c>
      <c r="C1390" t="s">
        <v>2504</v>
      </c>
      <c r="D1390" t="s">
        <v>1657</v>
      </c>
      <c r="E1390" t="s">
        <v>2611</v>
      </c>
      <c r="F1390" t="str">
        <f t="shared" si="21"/>
        <v>"C:\Program Files\VideoLAN\VLC\vlc.exe" "http://as-hls-uk-live.akamaized.net/pool_904/live/uk/bbc_radio_newcastle/bbc_radio_newcastle.isml/bbc_radio_newcastle-audio%3d128000.norewind.m3u8"</v>
      </c>
      <c r="M1390" t="str">
        <f>VLOOKUP(A1390,logos!$A$2:$A$10004,1,FALSE)</f>
        <v>BBC Radio Newcastle</v>
      </c>
    </row>
    <row r="1391" spans="1:13" hidden="1" x14ac:dyDescent="0.55000000000000004">
      <c r="A1391" t="s">
        <v>168</v>
      </c>
      <c r="B1391" t="s">
        <v>1663</v>
      </c>
      <c r="C1391" t="s">
        <v>2508</v>
      </c>
      <c r="D1391" t="s">
        <v>1657</v>
      </c>
      <c r="E1391" t="s">
        <v>2611</v>
      </c>
      <c r="F1391" t="str">
        <f t="shared" si="21"/>
        <v>"C:\Program Files\VideoLAN\VLC\vlc.exe" "http://as-hls-uk-live.akamaized.net/pool_904/live/uk/bbc_radio_norfolk/bbc_radio_norfolk.isml/bbc_radio_norfolk-audio%3d128000.norewind.m3u8"</v>
      </c>
      <c r="M1391" t="str">
        <f>VLOOKUP(A1391,logos!$A$2:$A$10004,1,FALSE)</f>
        <v>BBC Radio Norfolk</v>
      </c>
    </row>
    <row r="1392" spans="1:13" hidden="1" x14ac:dyDescent="0.55000000000000004">
      <c r="A1392" t="s">
        <v>170</v>
      </c>
      <c r="B1392" t="s">
        <v>1663</v>
      </c>
      <c r="C1392" t="s">
        <v>2512</v>
      </c>
      <c r="D1392" t="s">
        <v>1657</v>
      </c>
      <c r="E1392" t="s">
        <v>2611</v>
      </c>
      <c r="F1392" t="str">
        <f t="shared" si="21"/>
        <v>"C:\Program Files\VideoLAN\VLC\vlc.exe" "http://as-hls-uk-live.akamaized.net/pool_904/live/uk/bbc_radio_northampton/bbc_radio_northampton.isml/bbc_radio_northampton-audio%3d128000.norewind.m3u8"</v>
      </c>
      <c r="M1392" t="str">
        <f>VLOOKUP(A1392,logos!$A$2:$A$10004,1,FALSE)</f>
        <v>BBC Radio Northampton</v>
      </c>
    </row>
    <row r="1393" spans="1:13" hidden="1" x14ac:dyDescent="0.55000000000000004">
      <c r="A1393" t="s">
        <v>172</v>
      </c>
      <c r="B1393" t="s">
        <v>1663</v>
      </c>
      <c r="C1393" t="s">
        <v>2516</v>
      </c>
      <c r="D1393" t="s">
        <v>1657</v>
      </c>
      <c r="E1393" t="s">
        <v>2611</v>
      </c>
      <c r="F1393" t="str">
        <f t="shared" si="21"/>
        <v>"C:\Program Files\VideoLAN\VLC\vlc.exe" "http://as-hls-uk-live.akamaized.net/pool_904/live/uk/bbc_radio_nottingham/bbc_radio_nottingham.isml/bbc_radio_nottingham-audio%3d128000.norewind.m3u8"</v>
      </c>
      <c r="M1393" t="str">
        <f>VLOOKUP(A1393,logos!$A$2:$A$10004,1,FALSE)</f>
        <v>BBC Radio Nottingham</v>
      </c>
    </row>
    <row r="1394" spans="1:13" hidden="1" x14ac:dyDescent="0.55000000000000004">
      <c r="A1394" t="s">
        <v>174</v>
      </c>
      <c r="B1394" t="s">
        <v>1663</v>
      </c>
      <c r="C1394" t="s">
        <v>2520</v>
      </c>
      <c r="D1394" t="s">
        <v>1657</v>
      </c>
      <c r="E1394" t="s">
        <v>2611</v>
      </c>
      <c r="F1394" t="str">
        <f t="shared" si="21"/>
        <v>"C:\Program Files\VideoLAN\VLC\vlc.exe" "http://as-hls-uk-live.akamaized.net/pool_904/live/uk/bbc_radio_orkney/bbc_radio_orkney.isml/bbc_radio_orkney-audio%3d128000.norewind.m3u8"</v>
      </c>
      <c r="M1394" t="str">
        <f>VLOOKUP(A1394,logos!$A$2:$A$10004,1,FALSE)</f>
        <v>BBC Radio Orkney</v>
      </c>
    </row>
    <row r="1395" spans="1:13" hidden="1" x14ac:dyDescent="0.55000000000000004">
      <c r="A1395" t="s">
        <v>176</v>
      </c>
      <c r="B1395" t="s">
        <v>1663</v>
      </c>
      <c r="C1395" t="s">
        <v>2524</v>
      </c>
      <c r="D1395" t="s">
        <v>1657</v>
      </c>
      <c r="E1395" t="s">
        <v>2611</v>
      </c>
      <c r="F1395" t="str">
        <f t="shared" si="21"/>
        <v>"C:\Program Files\VideoLAN\VLC\vlc.exe" "http://as-hls-uk-live.akamaized.net/pool_904/live/uk/bbc_radio_oxford/bbc_radio_oxford.isml/bbc_radio_oxford-audio%3d128000.norewind.m3u8"</v>
      </c>
      <c r="M1395" t="str">
        <f>VLOOKUP(A1395,logos!$A$2:$A$10004,1,FALSE)</f>
        <v>BBC Radio Oxford</v>
      </c>
    </row>
    <row r="1396" spans="1:13" hidden="1" x14ac:dyDescent="0.55000000000000004">
      <c r="A1396" t="s">
        <v>2857</v>
      </c>
      <c r="B1396" t="s">
        <v>1663</v>
      </c>
      <c r="C1396" t="s">
        <v>2532</v>
      </c>
      <c r="D1396" t="s">
        <v>1657</v>
      </c>
      <c r="E1396" t="s">
        <v>2611</v>
      </c>
      <c r="F1396" t="str">
        <f t="shared" si="21"/>
        <v>"C:\Program Files\VideoLAN\VLC\vlc.exe" "http://as-hls-uk-live.akamaized.net/pool_904/live/uk/bbc_radio_scotland_mw/bbc_radio_scotland_mw.isml/bbc_radio_scotland_mw-audio%3d128000.norewind.m3u8"</v>
      </c>
      <c r="M1396" t="e">
        <f>VLOOKUP(A1396,logos!$A$2:$A$10004,1,FALSE)</f>
        <v>#N/A</v>
      </c>
    </row>
    <row r="1397" spans="1:13" hidden="1" x14ac:dyDescent="0.55000000000000004">
      <c r="A1397" t="s">
        <v>2856</v>
      </c>
      <c r="B1397" t="s">
        <v>1663</v>
      </c>
      <c r="C1397" t="s">
        <v>2528</v>
      </c>
      <c r="D1397" t="s">
        <v>1657</v>
      </c>
      <c r="E1397" t="s">
        <v>2611</v>
      </c>
      <c r="F1397" t="str">
        <f t="shared" si="21"/>
        <v>"C:\Program Files\VideoLAN\VLC\vlc.exe" "http://as-hls-uk-live.akamaized.net/pool_904/live/uk/bbc_radio_scotland_fm/bbc_radio_scotland_fm.isml/bbc_radio_scotland_fm-audio%3d128000.norewind.m3u8"</v>
      </c>
      <c r="M1397" t="e">
        <f>VLOOKUP(A1397,logos!$A$2:$A$10004,1,FALSE)</f>
        <v>#N/A</v>
      </c>
    </row>
    <row r="1398" spans="1:13" hidden="1" x14ac:dyDescent="0.55000000000000004">
      <c r="A1398" t="s">
        <v>182</v>
      </c>
      <c r="B1398" t="s">
        <v>1663</v>
      </c>
      <c r="C1398" t="s">
        <v>2536</v>
      </c>
      <c r="D1398" t="s">
        <v>1657</v>
      </c>
      <c r="E1398" t="s">
        <v>2611</v>
      </c>
      <c r="F1398" t="str">
        <f t="shared" si="21"/>
        <v>"C:\Program Files\VideoLAN\VLC\vlc.exe" "http://as-hls-uk-live.akamaized.net/pool_904/live/uk/bbc_radio_sheffield/bbc_radio_sheffield.isml/bbc_radio_sheffield-audio%3d128000.norewind.m3u8"</v>
      </c>
      <c r="M1398" t="str">
        <f>VLOOKUP(A1398,logos!$A$2:$A$10004,1,FALSE)</f>
        <v>BBC Radio Sheffield</v>
      </c>
    </row>
    <row r="1399" spans="1:13" hidden="1" x14ac:dyDescent="0.55000000000000004">
      <c r="A1399" t="s">
        <v>184</v>
      </c>
      <c r="B1399" t="s">
        <v>1663</v>
      </c>
      <c r="C1399" t="s">
        <v>2540</v>
      </c>
      <c r="D1399" t="s">
        <v>1657</v>
      </c>
      <c r="E1399" t="s">
        <v>2611</v>
      </c>
      <c r="F1399" t="str">
        <f t="shared" si="21"/>
        <v>"C:\Program Files\VideoLAN\VLC\vlc.exe" "http://as-hls-uk-live.akamaized.net/pool_904/live/uk/bbc_radio_shetland/bbc_radio_shetland.isml/bbc_radio_shetland-audio%3d128000.norewind.m3u8"</v>
      </c>
      <c r="M1399" t="str">
        <f>VLOOKUP(A1399,logos!$A$2:$A$10004,1,FALSE)</f>
        <v>BBC Radio Shetland</v>
      </c>
    </row>
    <row r="1400" spans="1:13" hidden="1" x14ac:dyDescent="0.55000000000000004">
      <c r="A1400" t="s">
        <v>186</v>
      </c>
      <c r="B1400" t="s">
        <v>1663</v>
      </c>
      <c r="C1400" t="s">
        <v>2544</v>
      </c>
      <c r="D1400" t="s">
        <v>1657</v>
      </c>
      <c r="E1400" t="s">
        <v>2611</v>
      </c>
      <c r="F1400" t="str">
        <f t="shared" si="21"/>
        <v>"C:\Program Files\VideoLAN\VLC\vlc.exe" "http://as-hls-uk-live.akamaized.net/pool_904/live/uk/bbc_radio_shropshire/bbc_radio_shropshire.isml/bbc_radio_shropshire-audio%3d128000.norewind.m3u8"</v>
      </c>
      <c r="M1400" t="str">
        <f>VLOOKUP(A1400,logos!$A$2:$A$10004,1,FALSE)</f>
        <v>BBC Radio Shropshire</v>
      </c>
    </row>
    <row r="1401" spans="1:13" hidden="1" x14ac:dyDescent="0.55000000000000004">
      <c r="A1401" t="s">
        <v>2858</v>
      </c>
      <c r="B1401" t="s">
        <v>1663</v>
      </c>
      <c r="C1401" t="s">
        <v>2548</v>
      </c>
      <c r="D1401" t="s">
        <v>1657</v>
      </c>
      <c r="E1401" t="s">
        <v>2611</v>
      </c>
      <c r="F1401" t="str">
        <f t="shared" si="21"/>
        <v>"C:\Program Files\VideoLAN\VLC\vlc.exe" "http://as-hls-uk-live.akamaized.net/pool_904/live/uk/bbc_radio_solent/bbc_radio_solent.isml/bbc_radio_solent-audio%3d128000.norewind.m3u8"</v>
      </c>
      <c r="M1401" t="e">
        <f>VLOOKUP(A1401,logos!$A$2:$A$10004,1,FALSE)</f>
        <v>#N/A</v>
      </c>
    </row>
    <row r="1402" spans="1:13" hidden="1" x14ac:dyDescent="0.55000000000000004">
      <c r="A1402" t="s">
        <v>2859</v>
      </c>
      <c r="B1402" t="s">
        <v>1663</v>
      </c>
      <c r="C1402" t="s">
        <v>2552</v>
      </c>
      <c r="D1402" t="s">
        <v>1657</v>
      </c>
      <c r="E1402" t="s">
        <v>2611</v>
      </c>
      <c r="F1402" t="str">
        <f t="shared" si="21"/>
        <v>"C:\Program Files\VideoLAN\VLC\vlc.exe" "http://as-hls-uk-live.akamaized.net/pool_904/live/uk/bbc_radio_solent_west_dorset/bbc_radio_solent_west_dorset.isml/bbc_radio_solent_west_dorset-audio%3d128000.norewind.m3u8"</v>
      </c>
      <c r="M1402" t="e">
        <f>VLOOKUP(A1402,logos!$A$2:$A$10004,1,FALSE)</f>
        <v>#N/A</v>
      </c>
    </row>
    <row r="1403" spans="1:13" hidden="1" x14ac:dyDescent="0.55000000000000004">
      <c r="A1403" t="s">
        <v>192</v>
      </c>
      <c r="B1403" t="s">
        <v>1663</v>
      </c>
      <c r="C1403" t="s">
        <v>2556</v>
      </c>
      <c r="D1403" t="s">
        <v>1657</v>
      </c>
      <c r="E1403" t="s">
        <v>2611</v>
      </c>
      <c r="F1403" t="str">
        <f t="shared" si="21"/>
        <v>"C:\Program Files\VideoLAN\VLC\vlc.exe" "http://as-hls-uk-live.akamaized.net/pool_904/live/uk/bbc_radio_somerset_sound/bbc_radio_somerset_sound.isml/bbc_radio_somerset_sound-audio%3d128000.norewind.m3u8"</v>
      </c>
      <c r="M1403" t="str">
        <f>VLOOKUP(A1403,logos!$A$2:$A$10004,1,FALSE)</f>
        <v>BBC Radio Somerset</v>
      </c>
    </row>
    <row r="1404" spans="1:13" hidden="1" x14ac:dyDescent="0.55000000000000004">
      <c r="A1404" t="s">
        <v>194</v>
      </c>
      <c r="B1404" t="s">
        <v>1663</v>
      </c>
      <c r="C1404" t="s">
        <v>2560</v>
      </c>
      <c r="D1404" t="s">
        <v>1657</v>
      </c>
      <c r="E1404" t="s">
        <v>2611</v>
      </c>
      <c r="F1404" t="str">
        <f t="shared" si="21"/>
        <v>"C:\Program Files\VideoLAN\VLC\vlc.exe" "http://as-hls-uk-live.akamaized.net/pool_904/live/uk/bbc_radio_stoke/bbc_radio_stoke.isml/bbc_radio_stoke-audio%3d128000.norewind.m3u8"</v>
      </c>
      <c r="M1404" t="str">
        <f>VLOOKUP(A1404,logos!$A$2:$A$10004,1,FALSE)</f>
        <v>BBC Radio Stoke</v>
      </c>
    </row>
    <row r="1405" spans="1:13" hidden="1" x14ac:dyDescent="0.55000000000000004">
      <c r="A1405" t="s">
        <v>196</v>
      </c>
      <c r="B1405" t="s">
        <v>1663</v>
      </c>
      <c r="C1405" t="s">
        <v>2564</v>
      </c>
      <c r="D1405" t="s">
        <v>1657</v>
      </c>
      <c r="E1405" t="s">
        <v>2611</v>
      </c>
      <c r="F1405" t="str">
        <f t="shared" si="21"/>
        <v>"C:\Program Files\VideoLAN\VLC\vlc.exe" "http://as-hls-uk-live.akamaized.net/pool_904/live/uk/bbc_radio_suffolk/bbc_radio_suffolk.isml/bbc_radio_suffolk-audio%3d128000.norewind.m3u8"</v>
      </c>
      <c r="M1405" t="str">
        <f>VLOOKUP(A1405,logos!$A$2:$A$10004,1,FALSE)</f>
        <v>BBC Radio Suffolk</v>
      </c>
    </row>
    <row r="1406" spans="1:13" hidden="1" x14ac:dyDescent="0.55000000000000004">
      <c r="A1406" t="s">
        <v>198</v>
      </c>
      <c r="B1406" t="s">
        <v>1663</v>
      </c>
      <c r="C1406" t="s">
        <v>2568</v>
      </c>
      <c r="D1406" t="s">
        <v>1657</v>
      </c>
      <c r="E1406" t="s">
        <v>2611</v>
      </c>
      <c r="F1406" t="str">
        <f t="shared" si="21"/>
        <v>"C:\Program Files\VideoLAN\VLC\vlc.exe" "http://as-hls-uk-live.akamaized.net/pool_904/live/uk/bbc_radio_surrey/bbc_radio_surrey.isml/bbc_radio_surrey-audio%3d128000.norewind.m3u8"</v>
      </c>
      <c r="M1406" t="str">
        <f>VLOOKUP(A1406,logos!$A$2:$A$10004,1,FALSE)</f>
        <v>BBC Radio Surrey</v>
      </c>
    </row>
    <row r="1407" spans="1:13" hidden="1" x14ac:dyDescent="0.55000000000000004">
      <c r="A1407" t="s">
        <v>200</v>
      </c>
      <c r="B1407" t="s">
        <v>1663</v>
      </c>
      <c r="C1407" t="s">
        <v>2572</v>
      </c>
      <c r="D1407" t="s">
        <v>1657</v>
      </c>
      <c r="E1407" t="s">
        <v>2611</v>
      </c>
      <c r="F1407" t="str">
        <f t="shared" si="21"/>
        <v>"C:\Program Files\VideoLAN\VLC\vlc.exe" "http://as-hls-uk-live.akamaized.net/pool_904/live/uk/bbc_radio_sussex/bbc_radio_sussex.isml/bbc_radio_sussex-audio%3d128000.norewind.m3u8"</v>
      </c>
      <c r="M1407" t="str">
        <f>VLOOKUP(A1407,logos!$A$2:$A$10004,1,FALSE)</f>
        <v>BBC Radio Sussex</v>
      </c>
    </row>
    <row r="1408" spans="1:13" hidden="1" x14ac:dyDescent="0.55000000000000004">
      <c r="A1408" t="s">
        <v>202</v>
      </c>
      <c r="B1408" t="s">
        <v>1663</v>
      </c>
      <c r="C1408" t="s">
        <v>2576</v>
      </c>
      <c r="D1408" t="s">
        <v>1657</v>
      </c>
      <c r="E1408" t="s">
        <v>2611</v>
      </c>
      <c r="F1408" t="str">
        <f t="shared" si="21"/>
        <v>"C:\Program Files\VideoLAN\VLC\vlc.exe" "http://as-hls-uk-live.akamaized.net/pool_904/live/uk/bbc_tees/bbc_tees.isml/bbc_tees-audio%3d128000.norewind.m3u8"</v>
      </c>
      <c r="M1408" t="str">
        <f>VLOOKUP(A1408,logos!$A$2:$A$10004,1,FALSE)</f>
        <v>BBC Radio Tees</v>
      </c>
    </row>
    <row r="1409" spans="1:13" hidden="1" x14ac:dyDescent="0.55000000000000004">
      <c r="A1409" t="s">
        <v>204</v>
      </c>
      <c r="B1409" t="s">
        <v>1663</v>
      </c>
      <c r="C1409" t="s">
        <v>2580</v>
      </c>
      <c r="D1409" t="s">
        <v>1657</v>
      </c>
      <c r="E1409" t="s">
        <v>2611</v>
      </c>
      <c r="F1409" t="str">
        <f t="shared" si="21"/>
        <v>"C:\Program Files\VideoLAN\VLC\vlc.exe" "http://as-hls-uk-live.akamaized.net/pool_904/live/uk/bbc_radio_ulster/bbc_radio_ulster.isml/bbc_radio_ulster-audio%3d128000.norewind.m3u8"</v>
      </c>
      <c r="M1409" t="str">
        <f>VLOOKUP(A1409,logos!$A$2:$A$10004,1,FALSE)</f>
        <v>BBC Radio Ulster</v>
      </c>
    </row>
    <row r="1410" spans="1:13" hidden="1" x14ac:dyDescent="0.55000000000000004">
      <c r="A1410" t="s">
        <v>2902</v>
      </c>
      <c r="B1410" t="s">
        <v>1663</v>
      </c>
      <c r="C1410" t="s">
        <v>2588</v>
      </c>
      <c r="D1410" t="s">
        <v>1657</v>
      </c>
      <c r="E1410" t="s">
        <v>2611</v>
      </c>
      <c r="F1410" t="str">
        <f t="shared" si="21"/>
        <v>"C:\Program Files\VideoLAN\VLC\vlc.exe" "http://as-hls-uk-live.akamaized.net/pool_904/live/uk/bbc_radio_wales_am/bbc_radio_wales_am.isml/bbc_radio_wales_am-audio%3d128000.norewind.m3u8"</v>
      </c>
      <c r="M1410" t="e">
        <f>VLOOKUP(A1410,logos!$A$2:$A$10004,1,FALSE)</f>
        <v>#N/A</v>
      </c>
    </row>
    <row r="1411" spans="1:13" hidden="1" x14ac:dyDescent="0.55000000000000004">
      <c r="A1411" t="s">
        <v>2860</v>
      </c>
      <c r="B1411" t="s">
        <v>1663</v>
      </c>
      <c r="C1411" t="s">
        <v>2584</v>
      </c>
      <c r="D1411" t="s">
        <v>1657</v>
      </c>
      <c r="E1411" t="s">
        <v>2611</v>
      </c>
      <c r="F1411" t="str">
        <f t="shared" ref="F1411:F1474" si="22">"""C:\Program Files\VideoLAN\VLC\vlc.exe"" """&amp;C1411&amp;""""</f>
        <v>"C:\Program Files\VideoLAN\VLC\vlc.exe" "http://as-hls-uk-live.akamaized.net/pool_904/live/uk/bbc_radio_wales_fm/bbc_radio_wales_fm.isml/bbc_radio_wales_fm-audio%3d128000.norewind.m3u8"</v>
      </c>
      <c r="M1411" t="e">
        <f>VLOOKUP(A1411,logos!$A$2:$A$10004,1,FALSE)</f>
        <v>#N/A</v>
      </c>
    </row>
    <row r="1412" spans="1:13" hidden="1" x14ac:dyDescent="0.55000000000000004">
      <c r="A1412" t="s">
        <v>2861</v>
      </c>
      <c r="B1412" t="s">
        <v>1663</v>
      </c>
      <c r="C1412" t="s">
        <v>2592</v>
      </c>
      <c r="D1412" t="s">
        <v>1657</v>
      </c>
      <c r="E1412" t="s">
        <v>2611</v>
      </c>
      <c r="F1412" t="str">
        <f t="shared" si="22"/>
        <v>"C:\Program Files\VideoLAN\VLC\vlc.exe" "http://as-hls-uk-live.akamaized.net/pool_904/live/uk/bbc_radio_wiltshire/bbc_radio_wiltshire.isml/bbc_radio_wiltshire-audio%3d128000.norewind.m3u8"</v>
      </c>
      <c r="M1412" t="e">
        <f>VLOOKUP(A1412,logos!$A$2:$A$10004,1,FALSE)</f>
        <v>#N/A</v>
      </c>
    </row>
    <row r="1413" spans="1:13" hidden="1" x14ac:dyDescent="0.55000000000000004">
      <c r="A1413" t="s">
        <v>210</v>
      </c>
      <c r="B1413" t="s">
        <v>1663</v>
      </c>
      <c r="C1413" t="s">
        <v>2596</v>
      </c>
      <c r="D1413" t="s">
        <v>1657</v>
      </c>
      <c r="E1413" t="s">
        <v>2611</v>
      </c>
      <c r="F1413" t="str">
        <f t="shared" si="22"/>
        <v>"C:\Program Files\VideoLAN\VLC\vlc.exe" "http://as-hls-uk-live.akamaized.net/pool_904/live/uk/bbc_wm/bbc_wm.isml/bbc_wm-audio%3d128000.norewind.m3u8"</v>
      </c>
      <c r="M1413" t="str">
        <f>VLOOKUP(A1413,logos!$A$2:$A$10004,1,FALSE)</f>
        <v>BBC Radio WM</v>
      </c>
    </row>
    <row r="1414" spans="1:13" hidden="1" x14ac:dyDescent="0.55000000000000004">
      <c r="A1414" t="s">
        <v>2862</v>
      </c>
      <c r="B1414" t="s">
        <v>1663</v>
      </c>
      <c r="C1414" t="s">
        <v>2600</v>
      </c>
      <c r="D1414" t="s">
        <v>1657</v>
      </c>
      <c r="E1414" t="s">
        <v>2611</v>
      </c>
      <c r="F1414" t="str">
        <f t="shared" si="22"/>
        <v>"C:\Program Files\VideoLAN\VLC\vlc.exe" "http://as-hls-uk-live.akamaized.net/pool_904/live/uk/bbc_radio_york/bbc_radio_york.isml/bbc_radio_york-audio%3d128000.norewind.m3u8"</v>
      </c>
      <c r="M1414" t="e">
        <f>VLOOKUP(A1414,logos!$A$2:$A$10004,1,FALSE)</f>
        <v>#N/A</v>
      </c>
    </row>
    <row r="1415" spans="1:13" hidden="1" x14ac:dyDescent="0.55000000000000004">
      <c r="A1415" t="s">
        <v>214</v>
      </c>
      <c r="B1415" t="s">
        <v>1663</v>
      </c>
      <c r="C1415" t="s">
        <v>2604</v>
      </c>
      <c r="D1415" t="s">
        <v>1657</v>
      </c>
      <c r="E1415" t="s">
        <v>2611</v>
      </c>
      <c r="F1415" t="str">
        <f t="shared" si="22"/>
        <v>"C:\Program Files\VideoLAN\VLC\vlc.exe" "http://as-hls-uk-live.akamaized.net/pool_904/live/uk/bbc_three_counties_radio/bbc_three_counties_radio.isml/bbc_three_counties_radio-audio%3d128000.norewind.m3u8"</v>
      </c>
      <c r="M1415" t="str">
        <f>VLOOKUP(A1415,logos!$A$2:$A$10004,1,FALSE)</f>
        <v>BBC Three Counties Radio</v>
      </c>
    </row>
    <row r="1416" spans="1:13" hidden="1" x14ac:dyDescent="0.55000000000000004">
      <c r="A1416" t="s">
        <v>90</v>
      </c>
      <c r="B1416" t="s">
        <v>1670</v>
      </c>
      <c r="C1416" t="s">
        <v>2357</v>
      </c>
      <c r="D1416" t="s">
        <v>1657</v>
      </c>
      <c r="E1416" t="s">
        <v>2611</v>
      </c>
      <c r="F1416" t="str">
        <f t="shared" si="22"/>
        <v>"C:\Program Files\VideoLAN\VLC\vlc.exe" "http://as-hls-uk-live.akamaized.net/pool_904/live/uk/bbc_asian_network/bbc_asian_network.isml/bbc_asian_network-audio%3d320000.norewind.m3u8"</v>
      </c>
      <c r="M1416" t="str">
        <f>VLOOKUP(A1416,logos!$A$2:$A$10004,1,FALSE)</f>
        <v>BBC Asian Network</v>
      </c>
    </row>
    <row r="1417" spans="1:13" hidden="1" x14ac:dyDescent="0.55000000000000004">
      <c r="A1417" t="s">
        <v>93</v>
      </c>
      <c r="B1417" t="s">
        <v>1670</v>
      </c>
      <c r="C1417" t="s">
        <v>2361</v>
      </c>
      <c r="D1417" t="s">
        <v>1657</v>
      </c>
      <c r="E1417" t="s">
        <v>2611</v>
      </c>
      <c r="F1417" t="str">
        <f t="shared" si="22"/>
        <v>"C:\Program Files\VideoLAN\VLC\vlc.exe" "http://as-hls-uk-live.akamaized.net/pool_904/live/uk/bbc_radio_coventry_warwickshire/bbc_radio_coventry_warwickshire.isml/bbc_radio_coventry_warwickshire-audio%3d320000.norewind.m3u8"</v>
      </c>
      <c r="M1417" t="str">
        <f>VLOOKUP(A1417,logos!$A$2:$A$10004,1,FALSE)</f>
        <v>BBC CWR</v>
      </c>
    </row>
    <row r="1418" spans="1:13" hidden="1" x14ac:dyDescent="0.55000000000000004">
      <c r="A1418" t="s">
        <v>95</v>
      </c>
      <c r="B1418" t="s">
        <v>1670</v>
      </c>
      <c r="C1418" t="s">
        <v>2365</v>
      </c>
      <c r="D1418" t="s">
        <v>1657</v>
      </c>
      <c r="E1418" t="s">
        <v>2611</v>
      </c>
      <c r="F1418" t="str">
        <f t="shared" si="22"/>
        <v>"C:\Program Files\VideoLAN\VLC\vlc.exe" "http://as-hls-uk-live.akamaized.net/pool_904/live/uk/bbc_radio_essex/bbc_radio_essex.isml/bbc_radio_essex-audio%3d320000.norewind.m3u8"</v>
      </c>
      <c r="M1418" t="str">
        <f>VLOOKUP(A1418,logos!$A$2:$A$10004,1,FALSE)</f>
        <v>BBC Essex</v>
      </c>
    </row>
    <row r="1419" spans="1:13" hidden="1" x14ac:dyDescent="0.55000000000000004">
      <c r="A1419" t="s">
        <v>97</v>
      </c>
      <c r="B1419" t="s">
        <v>1670</v>
      </c>
      <c r="C1419" t="s">
        <v>2369</v>
      </c>
      <c r="D1419" t="s">
        <v>1657</v>
      </c>
      <c r="E1419" t="s">
        <v>2611</v>
      </c>
      <c r="F1419" t="str">
        <f t="shared" si="22"/>
        <v>"C:\Program Files\VideoLAN\VLC\vlc.exe" "http://as-hls-uk-live.akamaized.net/pool_904/live/uk/bbc_radio_hereford_worcester/bbc_radio_hereford_worcester.isml/bbc_radio_hereford_worcester-audio%3d320000.norewind.m3u8"</v>
      </c>
      <c r="M1419" t="str">
        <f>VLOOKUP(A1419,logos!$A$2:$A$10004,1,FALSE)</f>
        <v>BBC Hereford &amp; Worcester</v>
      </c>
    </row>
    <row r="1420" spans="1:13" hidden="1" x14ac:dyDescent="0.55000000000000004">
      <c r="A1420" t="s">
        <v>2843</v>
      </c>
      <c r="B1420" t="s">
        <v>1670</v>
      </c>
      <c r="C1420" t="s">
        <v>2373</v>
      </c>
      <c r="D1420" t="s">
        <v>1657</v>
      </c>
      <c r="E1420" t="s">
        <v>2611</v>
      </c>
      <c r="F1420" t="str">
        <f t="shared" si="22"/>
        <v>"C:\Program Files\VideoLAN\VLC\vlc.exe" "http://as-hls-uk-live.akamaized.net/pool_904/live/uk/bbc_radio_one/bbc_radio_one.isml/bbc_radio_one-audio%3d320000.norewind.m3u8"</v>
      </c>
      <c r="M1420" t="str">
        <f>VLOOKUP(A1420,logos!$A$2:$A$10004,1,FALSE)</f>
        <v>BBC Radio 1 (England)</v>
      </c>
    </row>
    <row r="1421" spans="1:13" hidden="1" x14ac:dyDescent="0.55000000000000004">
      <c r="A1421" t="s">
        <v>101</v>
      </c>
      <c r="B1421" t="s">
        <v>1670</v>
      </c>
      <c r="C1421" t="s">
        <v>2377</v>
      </c>
      <c r="D1421" t="s">
        <v>1657</v>
      </c>
      <c r="E1421" t="s">
        <v>2611</v>
      </c>
      <c r="F1421" t="str">
        <f t="shared" si="22"/>
        <v>"C:\Program Files\VideoLAN\VLC\vlc.exe" "http://as-hls-uk-live.akamaized.net/pool_904/live/uk/bbc_1xtra/bbc_1xtra.isml/bbc_1xtra-audio%3d320000.norewind.m3u8"</v>
      </c>
      <c r="M1421" t="str">
        <f>VLOOKUP(A1421,logos!$A$2:$A$10004,1,FALSE)</f>
        <v>BBC Radio 1Xtra</v>
      </c>
    </row>
    <row r="1422" spans="1:13" hidden="1" x14ac:dyDescent="0.55000000000000004">
      <c r="A1422" t="s">
        <v>103</v>
      </c>
      <c r="B1422" t="s">
        <v>1670</v>
      </c>
      <c r="C1422" t="s">
        <v>2381</v>
      </c>
      <c r="D1422" t="s">
        <v>1657</v>
      </c>
      <c r="E1422" t="s">
        <v>2611</v>
      </c>
      <c r="F1422" t="str">
        <f t="shared" si="22"/>
        <v>"C:\Program Files\VideoLAN\VLC\vlc.exe" "http://as-hls-uk-live.akamaized.net/pool_904/live/uk/bbc_radio_two/bbc_radio_two.isml/bbc_radio_two-audio%3d320000.norewind.m3u8"</v>
      </c>
      <c r="M1422" t="str">
        <f>VLOOKUP(A1422,logos!$A$2:$A$10004,1,FALSE)</f>
        <v>BBC Radio 2</v>
      </c>
    </row>
    <row r="1423" spans="1:13" hidden="1" x14ac:dyDescent="0.55000000000000004">
      <c r="A1423" t="s">
        <v>105</v>
      </c>
      <c r="B1423" t="s">
        <v>1670</v>
      </c>
      <c r="C1423" t="s">
        <v>2385</v>
      </c>
      <c r="D1423" t="s">
        <v>1657</v>
      </c>
      <c r="E1423" t="s">
        <v>2611</v>
      </c>
      <c r="F1423" t="str">
        <f t="shared" si="22"/>
        <v>"C:\Program Files\VideoLAN\VLC\vlc.exe" "http://as-hls-uk-live.akamaized.net/pool_904/live/uk/bbc_radio_three/bbc_radio_three.isml/bbc_radio_three-audio%3d320000.norewind.m3u8"</v>
      </c>
      <c r="M1423" t="str">
        <f>VLOOKUP(A1423,logos!$A$2:$A$10004,1,FALSE)</f>
        <v>BBC Radio 3</v>
      </c>
    </row>
    <row r="1424" spans="1:13" hidden="1" x14ac:dyDescent="0.55000000000000004">
      <c r="A1424" t="s">
        <v>2844</v>
      </c>
      <c r="B1424" t="s">
        <v>1670</v>
      </c>
      <c r="C1424" t="s">
        <v>2389</v>
      </c>
      <c r="D1424" t="s">
        <v>1657</v>
      </c>
      <c r="E1424" t="s">
        <v>2611</v>
      </c>
      <c r="F1424" t="str">
        <f t="shared" si="22"/>
        <v>"C:\Program Files\VideoLAN\VLC\vlc.exe" "http://as-hls-uk-live.akamaized.net/pool_904/live/uk/bbc_radio_fourfm/bbc_radio_fourfm.isml/bbc_radio_fourfm-audio%3d320000.norewind.m3u8"</v>
      </c>
      <c r="M1424" t="str">
        <f>VLOOKUP(A1424,logos!$A$2:$A$10004,1,FALSE)</f>
        <v>BBC Radio 4 (DAB)</v>
      </c>
    </row>
    <row r="1425" spans="1:13" hidden="1" x14ac:dyDescent="0.55000000000000004">
      <c r="A1425" t="s">
        <v>2845</v>
      </c>
      <c r="B1425" t="s">
        <v>1670</v>
      </c>
      <c r="C1425" t="s">
        <v>2393</v>
      </c>
      <c r="D1425" t="s">
        <v>1657</v>
      </c>
      <c r="E1425" t="s">
        <v>2611</v>
      </c>
      <c r="F1425" t="str">
        <f t="shared" si="22"/>
        <v>"C:\Program Files\VideoLAN\VLC\vlc.exe" "http://as-hls-uk-live.akamaized.net/pool_904/live/uk/bbc_radio_fourlw/bbc_radio_fourlw.isml/bbc_radio_fourlw-audio%3d320000.norewind.m3u8"</v>
      </c>
      <c r="M1425" t="str">
        <f>VLOOKUP(A1425,logos!$A$2:$A$10004,1,FALSE)</f>
        <v>BBC Radio 4 (LW)</v>
      </c>
    </row>
    <row r="1426" spans="1:13" hidden="1" x14ac:dyDescent="0.55000000000000004">
      <c r="A1426" t="s">
        <v>111</v>
      </c>
      <c r="B1426" t="s">
        <v>1670</v>
      </c>
      <c r="C1426" t="s">
        <v>2397</v>
      </c>
      <c r="D1426" t="s">
        <v>1657</v>
      </c>
      <c r="E1426" t="s">
        <v>2611</v>
      </c>
      <c r="F1426" t="str">
        <f t="shared" si="22"/>
        <v>"C:\Program Files\VideoLAN\VLC\vlc.exe" "http://as-hls-uk-live.akamaized.net/pool_904/live/uk/bbc_radio_four_extra/bbc_radio_four_extra.isml/bbc_radio_four_extra-audio%3d320000.norewind.m3u8"</v>
      </c>
      <c r="M1426" t="str">
        <f>VLOOKUP(A1426,logos!$A$2:$A$10004,1,FALSE)</f>
        <v>BBC Radio 4 Extra</v>
      </c>
    </row>
    <row r="1427" spans="1:13" hidden="1" x14ac:dyDescent="0.55000000000000004">
      <c r="A1427" t="s">
        <v>113</v>
      </c>
      <c r="B1427" t="s">
        <v>1670</v>
      </c>
      <c r="C1427" t="s">
        <v>2401</v>
      </c>
      <c r="D1427" t="s">
        <v>1657</v>
      </c>
      <c r="E1427" t="s">
        <v>2611</v>
      </c>
      <c r="F1427" t="str">
        <f t="shared" si="22"/>
        <v>"C:\Program Files\VideoLAN\VLC\vlc.exe" "http://as-hls-uk-live.akamaized.net/pool_904/live/uk/bbc_radio_five_live/bbc_radio_five_live.isml/bbc_radio_five_live-audio%3d320000.norewind.m3u8"</v>
      </c>
      <c r="M1427" t="str">
        <f>VLOOKUP(A1427,logos!$A$2:$A$10004,1,FALSE)</f>
        <v>BBC Radio 5 Live</v>
      </c>
    </row>
    <row r="1428" spans="1:13" hidden="1" x14ac:dyDescent="0.55000000000000004">
      <c r="A1428" t="s">
        <v>116</v>
      </c>
      <c r="B1428" t="s">
        <v>1670</v>
      </c>
      <c r="C1428" t="s">
        <v>2405</v>
      </c>
      <c r="D1428" t="s">
        <v>1657</v>
      </c>
      <c r="E1428" t="s">
        <v>2611</v>
      </c>
      <c r="F1428" t="str">
        <f t="shared" si="22"/>
        <v>"C:\Program Files\VideoLAN\VLC\vlc.exe" "http://as-hls-uk-live.akamaized.net/pool_904/live/uk/bbc_radio_five_live_sports_extra/bbc_radio_five_live_sports_extra.isml/bbc_radio_five_live_sports_extra-audio%3d320000.norewind.m3u8"</v>
      </c>
      <c r="M1428" t="str">
        <f>VLOOKUP(A1428,logos!$A$2:$A$10004,1,FALSE)</f>
        <v>BBC Radio 5 Sports Extra</v>
      </c>
    </row>
    <row r="1429" spans="1:13" hidden="1" x14ac:dyDescent="0.55000000000000004">
      <c r="A1429" t="s">
        <v>118</v>
      </c>
      <c r="B1429" t="s">
        <v>1670</v>
      </c>
      <c r="C1429" t="s">
        <v>2409</v>
      </c>
      <c r="D1429" t="s">
        <v>1657</v>
      </c>
      <c r="E1429" t="s">
        <v>2611</v>
      </c>
      <c r="F1429" t="str">
        <f t="shared" si="22"/>
        <v>"C:\Program Files\VideoLAN\VLC\vlc.exe" "http://as-hls-uk-live.akamaized.net/pool_904/live/uk/bbc_6music/bbc_6music.isml/bbc_6music-audio%3d320000.norewind.m3u8"</v>
      </c>
      <c r="M1429" t="str">
        <f>VLOOKUP(A1429,logos!$A$2:$A$10004,1,FALSE)</f>
        <v>BBC Radio 6 Music</v>
      </c>
    </row>
    <row r="1430" spans="1:13" hidden="1" x14ac:dyDescent="0.55000000000000004">
      <c r="A1430" t="s">
        <v>120</v>
      </c>
      <c r="B1430" t="s">
        <v>1670</v>
      </c>
      <c r="C1430" t="s">
        <v>2413</v>
      </c>
      <c r="D1430" t="s">
        <v>1657</v>
      </c>
      <c r="E1430" t="s">
        <v>2611</v>
      </c>
      <c r="F1430" t="str">
        <f t="shared" si="22"/>
        <v>"C:\Program Files\VideoLAN\VLC\vlc.exe" "http://as-hls-uk-live.akamaized.net/pool_904/live/uk/bbc_radio_berkshire/bbc_radio_berkshire.isml/bbc_radio_berkshire-audio%3d320000.norewind.m3u8"</v>
      </c>
      <c r="M1430" t="str">
        <f>VLOOKUP(A1430,logos!$A$2:$A$10004,1,FALSE)</f>
        <v>BBC Radio Berkshire</v>
      </c>
    </row>
    <row r="1431" spans="1:13" hidden="1" x14ac:dyDescent="0.55000000000000004">
      <c r="A1431" t="s">
        <v>122</v>
      </c>
      <c r="B1431" t="s">
        <v>1670</v>
      </c>
      <c r="C1431" t="s">
        <v>2417</v>
      </c>
      <c r="D1431" t="s">
        <v>1657</v>
      </c>
      <c r="E1431" t="s">
        <v>2611</v>
      </c>
      <c r="F1431" t="str">
        <f t="shared" si="22"/>
        <v>"C:\Program Files\VideoLAN\VLC\vlc.exe" "http://as-hls-uk-live.akamaized.net/pool_904/live/uk/bbc_radio_bristol/bbc_radio_bristol.isml/bbc_radio_bristol-audio%3d320000.norewind.m3u8"</v>
      </c>
      <c r="M1431" t="str">
        <f>VLOOKUP(A1431,logos!$A$2:$A$10004,1,FALSE)</f>
        <v>BBC Radio Bristol</v>
      </c>
    </row>
    <row r="1432" spans="1:13" hidden="1" x14ac:dyDescent="0.55000000000000004">
      <c r="A1432" t="s">
        <v>2846</v>
      </c>
      <c r="B1432" t="s">
        <v>1670</v>
      </c>
      <c r="C1432" t="s">
        <v>2421</v>
      </c>
      <c r="D1432" t="s">
        <v>1657</v>
      </c>
      <c r="E1432" t="s">
        <v>2611</v>
      </c>
      <c r="F1432" t="str">
        <f t="shared" si="22"/>
        <v>"C:\Program Files\VideoLAN\VLC\vlc.exe" "http://as-hls-uk-live.akamaized.net/pool_904/live/uk/bbc_radio_cambridge/bbc_radio_cambridge.isml/bbc_radio_cambridge-audio%3d320000.norewind.m3u8"</v>
      </c>
      <c r="M1432" t="e">
        <f>VLOOKUP(A1432,logos!$A$2:$A$10004,1,FALSE)</f>
        <v>#N/A</v>
      </c>
    </row>
    <row r="1433" spans="1:13" hidden="1" x14ac:dyDescent="0.55000000000000004">
      <c r="A1433" t="s">
        <v>126</v>
      </c>
      <c r="B1433" t="s">
        <v>1670</v>
      </c>
      <c r="C1433" t="s">
        <v>2425</v>
      </c>
      <c r="D1433" t="s">
        <v>1657</v>
      </c>
      <c r="E1433" t="s">
        <v>2611</v>
      </c>
      <c r="F1433" t="str">
        <f t="shared" si="22"/>
        <v>"C:\Program Files\VideoLAN\VLC\vlc.exe" "http://as-hls-uk-live.akamaized.net/pool_904/live/uk/bbc_radio_cornwall/bbc_radio_cornwall.isml/bbc_radio_cornwall-audio%3d320000.norewind.m3u8"</v>
      </c>
      <c r="M1433" t="str">
        <f>VLOOKUP(A1433,logos!$A$2:$A$10004,1,FALSE)</f>
        <v>BBC Radio Cornwall</v>
      </c>
    </row>
    <row r="1434" spans="1:13" hidden="1" x14ac:dyDescent="0.55000000000000004">
      <c r="A1434" t="s">
        <v>2847</v>
      </c>
      <c r="B1434" t="s">
        <v>1670</v>
      </c>
      <c r="C1434" t="s">
        <v>2429</v>
      </c>
      <c r="D1434" t="s">
        <v>1657</v>
      </c>
      <c r="E1434" t="s">
        <v>2611</v>
      </c>
      <c r="F1434" t="str">
        <f t="shared" si="22"/>
        <v>"C:\Program Files\VideoLAN\VLC\vlc.exe" "http://as-hls-uk-live.akamaized.net/pool_904/live/uk/bbc_radio_cumbria/bbc_radio_cumbria.isml/bbc_radio_cumbria-audio%3d320000.norewind.m3u8"</v>
      </c>
      <c r="M1434" t="str">
        <f>VLOOKUP(A1434,logos!$A$2:$A$10004,1,FALSE)</f>
        <v>BBC Radio Cumbria (FM)</v>
      </c>
    </row>
    <row r="1435" spans="1:13" hidden="1" x14ac:dyDescent="0.55000000000000004">
      <c r="A1435" t="s">
        <v>2848</v>
      </c>
      <c r="B1435" t="s">
        <v>1670</v>
      </c>
      <c r="C1435" t="s">
        <v>2433</v>
      </c>
      <c r="D1435" t="s">
        <v>1657</v>
      </c>
      <c r="E1435" t="s">
        <v>2611</v>
      </c>
      <c r="F1435" t="str">
        <f t="shared" si="22"/>
        <v>"C:\Program Files\VideoLAN\VLC\vlc.exe" "http://as-hls-uk-live.akamaized.net/pool_904/live/uk/bbc_radio_cymru/bbc_radio_cymru.isml/bbc_radio_cymru-audio%3d320000.norewind.m3u8"</v>
      </c>
      <c r="M1435" t="e">
        <f>VLOOKUP(A1435,logos!$A$2:$A$10004,1,FALSE)</f>
        <v>#N/A</v>
      </c>
    </row>
    <row r="1436" spans="1:13" hidden="1" x14ac:dyDescent="0.55000000000000004">
      <c r="A1436" t="s">
        <v>132</v>
      </c>
      <c r="B1436" t="s">
        <v>1670</v>
      </c>
      <c r="C1436" t="s">
        <v>2437</v>
      </c>
      <c r="D1436" t="s">
        <v>1657</v>
      </c>
      <c r="E1436" t="s">
        <v>2611</v>
      </c>
      <c r="F1436" t="str">
        <f t="shared" si="22"/>
        <v>"C:\Program Files\VideoLAN\VLC\vlc.exe" "http://as-hls-uk-live.akamaized.net/pool_904/live/uk/bbc_radio_cymru_2/bbc_radio_cymru_2.isml/bbc_radio_cymru_2-audio%3d320000.norewind.m3u8"</v>
      </c>
      <c r="M1436" t="str">
        <f>VLOOKUP(A1436,logos!$A$2:$A$10004,1,FALSE)</f>
        <v>BBC Radio Cymru 2</v>
      </c>
    </row>
    <row r="1437" spans="1:13" hidden="1" x14ac:dyDescent="0.55000000000000004">
      <c r="A1437" t="s">
        <v>2849</v>
      </c>
      <c r="B1437" t="s">
        <v>1670</v>
      </c>
      <c r="C1437" t="s">
        <v>2441</v>
      </c>
      <c r="D1437" t="s">
        <v>1657</v>
      </c>
      <c r="E1437" t="s">
        <v>2611</v>
      </c>
      <c r="F1437" t="str">
        <f t="shared" si="22"/>
        <v>"C:\Program Files\VideoLAN\VLC\vlc.exe" "http://as-hls-uk-live.akamaized.net/pool_904/live/uk/bbc_radio_derby/bbc_radio_derby.isml/bbc_radio_derby-audio%3d320000.norewind.m3u8"</v>
      </c>
      <c r="M1437" t="e">
        <f>VLOOKUP(A1437,logos!$A$2:$A$10004,1,FALSE)</f>
        <v>#N/A</v>
      </c>
    </row>
    <row r="1438" spans="1:13" hidden="1" x14ac:dyDescent="0.55000000000000004">
      <c r="A1438" t="s">
        <v>2850</v>
      </c>
      <c r="B1438" t="s">
        <v>1670</v>
      </c>
      <c r="C1438" t="s">
        <v>2445</v>
      </c>
      <c r="D1438" t="s">
        <v>1657</v>
      </c>
      <c r="E1438" t="s">
        <v>2611</v>
      </c>
      <c r="F1438" t="str">
        <f t="shared" si="22"/>
        <v>"C:\Program Files\VideoLAN\VLC\vlc.exe" "http://as-hls-uk-live.akamaized.net/pool_904/live/uk/bbc_radio_devon/bbc_radio_devon.isml/bbc_radio_devon-audio%3d320000.norewind.m3u8"</v>
      </c>
      <c r="M1438" t="e">
        <f>VLOOKUP(A1438,logos!$A$2:$A$10004,1,FALSE)</f>
        <v>#N/A</v>
      </c>
    </row>
    <row r="1439" spans="1:13" hidden="1" x14ac:dyDescent="0.55000000000000004">
      <c r="A1439" t="s">
        <v>138</v>
      </c>
      <c r="B1439" t="s">
        <v>1670</v>
      </c>
      <c r="C1439" t="s">
        <v>2449</v>
      </c>
      <c r="D1439" t="s">
        <v>1657</v>
      </c>
      <c r="E1439" t="s">
        <v>2611</v>
      </c>
      <c r="F1439" t="str">
        <f t="shared" si="22"/>
        <v>"C:\Program Files\VideoLAN\VLC\vlc.exe" "http://as-hls-uk-live.akamaized.net/pool_904/live/uk/bbc_radio_foyle/bbc_radio_foyle.isml/bbc_radio_foyle-audio%3d320000.norewind.m3u8"</v>
      </c>
      <c r="M1439" t="str">
        <f>VLOOKUP(A1439,logos!$A$2:$A$10004,1,FALSE)</f>
        <v>BBC Radio Foyle</v>
      </c>
    </row>
    <row r="1440" spans="1:13" hidden="1" x14ac:dyDescent="0.55000000000000004">
      <c r="A1440" t="s">
        <v>140</v>
      </c>
      <c r="B1440" t="s">
        <v>1670</v>
      </c>
      <c r="C1440" t="s">
        <v>2453</v>
      </c>
      <c r="D1440" t="s">
        <v>1657</v>
      </c>
      <c r="E1440" t="s">
        <v>2611</v>
      </c>
      <c r="F1440" t="str">
        <f t="shared" si="22"/>
        <v>"C:\Program Files\VideoLAN\VLC\vlc.exe" "http://as-hls-uk-live.akamaized.net/pool_904/live/uk/bbc_radio_gloucestershire/bbc_radio_gloucestershire.isml/bbc_radio_gloucestershire-audio%3d320000.norewind.m3u8"</v>
      </c>
      <c r="M1440" t="str">
        <f>VLOOKUP(A1440,logos!$A$2:$A$10004,1,FALSE)</f>
        <v>BBC Radio Gloucestershire</v>
      </c>
    </row>
    <row r="1441" spans="1:13" hidden="1" x14ac:dyDescent="0.55000000000000004">
      <c r="A1441" t="s">
        <v>2851</v>
      </c>
      <c r="B1441" t="s">
        <v>1670</v>
      </c>
      <c r="C1441" t="s">
        <v>2457</v>
      </c>
      <c r="D1441" t="s">
        <v>1657</v>
      </c>
      <c r="E1441" t="s">
        <v>2611</v>
      </c>
      <c r="F1441" t="str">
        <f t="shared" si="22"/>
        <v>"C:\Program Files\VideoLAN\VLC\vlc.exe" "http://as-hls-uk-live.akamaized.net/pool_904/live/uk/bbc_radio_guernsey/bbc_radio_guernsey.isml/bbc_radio_guernsey-audio%3d320000.norewind.m3u8"</v>
      </c>
      <c r="M1441" t="e">
        <f>VLOOKUP(A1441,logos!$A$2:$A$10004,1,FALSE)</f>
        <v>#N/A</v>
      </c>
    </row>
    <row r="1442" spans="1:13" hidden="1" x14ac:dyDescent="0.55000000000000004">
      <c r="A1442" t="s">
        <v>2852</v>
      </c>
      <c r="B1442" t="s">
        <v>1670</v>
      </c>
      <c r="C1442" t="s">
        <v>2461</v>
      </c>
      <c r="D1442" t="s">
        <v>1657</v>
      </c>
      <c r="E1442" t="s">
        <v>2611</v>
      </c>
      <c r="F1442" t="str">
        <f t="shared" si="22"/>
        <v>"C:\Program Files\VideoLAN\VLC\vlc.exe" "http://as-hls-uk-live.akamaized.net/pool_904/live/uk/bbc_radio_humberside/bbc_radio_humberside.isml/bbc_radio_humberside-audio%3d320000.norewind.m3u8"</v>
      </c>
      <c r="M1442" t="e">
        <f>VLOOKUP(A1442,logos!$A$2:$A$10004,1,FALSE)</f>
        <v>#N/A</v>
      </c>
    </row>
    <row r="1443" spans="1:13" hidden="1" x14ac:dyDescent="0.55000000000000004">
      <c r="A1443" t="s">
        <v>2853</v>
      </c>
      <c r="B1443" t="s">
        <v>1670</v>
      </c>
      <c r="C1443" t="s">
        <v>2465</v>
      </c>
      <c r="D1443" t="s">
        <v>1657</v>
      </c>
      <c r="E1443" t="s">
        <v>2611</v>
      </c>
      <c r="F1443" t="str">
        <f t="shared" si="22"/>
        <v>"C:\Program Files\VideoLAN\VLC\vlc.exe" "http://as-hls-uk-live.akamaized.net/pool_904/live/uk/bbc_radio_jersey/bbc_radio_jersey.isml/bbc_radio_jersey-audio%3d320000.norewind.m3u8"</v>
      </c>
      <c r="M1443" t="e">
        <f>VLOOKUP(A1443,logos!$A$2:$A$10004,1,FALSE)</f>
        <v>#N/A</v>
      </c>
    </row>
    <row r="1444" spans="1:13" hidden="1" x14ac:dyDescent="0.55000000000000004">
      <c r="A1444" t="s">
        <v>148</v>
      </c>
      <c r="B1444" t="s">
        <v>1670</v>
      </c>
      <c r="C1444" t="s">
        <v>2469</v>
      </c>
      <c r="D1444" t="s">
        <v>1657</v>
      </c>
      <c r="E1444" t="s">
        <v>2611</v>
      </c>
      <c r="F1444" t="str">
        <f t="shared" si="22"/>
        <v>"C:\Program Files\VideoLAN\VLC\vlc.exe" "http://as-hls-uk-live.akamaized.net/pool_904/live/uk/bbc_radio_kent/bbc_radio_kent.isml/bbc_radio_kent-audio%3d320000.norewind.m3u8"</v>
      </c>
      <c r="M1444" t="str">
        <f>VLOOKUP(A1444,logos!$A$2:$A$10004,1,FALSE)</f>
        <v>BBC Radio Kent</v>
      </c>
    </row>
    <row r="1445" spans="1:13" hidden="1" x14ac:dyDescent="0.55000000000000004">
      <c r="A1445" t="s">
        <v>150</v>
      </c>
      <c r="B1445" t="s">
        <v>1670</v>
      </c>
      <c r="C1445" t="s">
        <v>2473</v>
      </c>
      <c r="D1445" t="s">
        <v>1657</v>
      </c>
      <c r="E1445" t="s">
        <v>2611</v>
      </c>
      <c r="F1445" t="str">
        <f t="shared" si="22"/>
        <v>"C:\Program Files\VideoLAN\VLC\vlc.exe" "http://as-hls-uk-live.akamaized.net/pool_904/live/uk/bbc_radio_lancashire/bbc_radio_lancashire.isml/bbc_radio_lancashire-audio%3d320000.norewind.m3u8"</v>
      </c>
      <c r="M1445" t="str">
        <f>VLOOKUP(A1445,logos!$A$2:$A$10004,1,FALSE)</f>
        <v>BBC Radio Lancashire</v>
      </c>
    </row>
    <row r="1446" spans="1:13" hidden="1" x14ac:dyDescent="0.55000000000000004">
      <c r="A1446" t="s">
        <v>152</v>
      </c>
      <c r="B1446" t="s">
        <v>1670</v>
      </c>
      <c r="C1446" t="s">
        <v>2477</v>
      </c>
      <c r="D1446" t="s">
        <v>1657</v>
      </c>
      <c r="E1446" t="s">
        <v>2611</v>
      </c>
      <c r="F1446" t="str">
        <f t="shared" si="22"/>
        <v>"C:\Program Files\VideoLAN\VLC\vlc.exe" "http://as-hls-uk-live.akamaized.net/pool_904/live/uk/bbc_radio_leeds/bbc_radio_leeds.isml/bbc_radio_leeds-audio%3d320000.norewind.m3u8"</v>
      </c>
      <c r="M1446" t="str">
        <f>VLOOKUP(A1446,logos!$A$2:$A$10004,1,FALSE)</f>
        <v>BBC Radio Leeds</v>
      </c>
    </row>
    <row r="1447" spans="1:13" hidden="1" x14ac:dyDescent="0.55000000000000004">
      <c r="A1447" t="s">
        <v>154</v>
      </c>
      <c r="B1447" t="s">
        <v>1670</v>
      </c>
      <c r="C1447" t="s">
        <v>2481</v>
      </c>
      <c r="D1447" t="s">
        <v>1657</v>
      </c>
      <c r="E1447" t="s">
        <v>2611</v>
      </c>
      <c r="F1447" t="str">
        <f t="shared" si="22"/>
        <v>"C:\Program Files\VideoLAN\VLC\vlc.exe" "http://as-hls-uk-live.akamaized.net/pool_904/live/uk/bbc_radio_leicester/bbc_radio_leicester.isml/bbc_radio_leicester-audio%3d320000.norewind.m3u8"</v>
      </c>
      <c r="M1447" t="str">
        <f>VLOOKUP(A1447,logos!$A$2:$A$10004,1,FALSE)</f>
        <v>BBC Radio Leicester</v>
      </c>
    </row>
    <row r="1448" spans="1:13" hidden="1" x14ac:dyDescent="0.55000000000000004">
      <c r="A1448" t="s">
        <v>156</v>
      </c>
      <c r="B1448" t="s">
        <v>1670</v>
      </c>
      <c r="C1448" t="s">
        <v>2485</v>
      </c>
      <c r="D1448" t="s">
        <v>1657</v>
      </c>
      <c r="E1448" t="s">
        <v>2611</v>
      </c>
      <c r="F1448" t="str">
        <f t="shared" si="22"/>
        <v>"C:\Program Files\VideoLAN\VLC\vlc.exe" "http://as-hls-uk-live.akamaized.net/pool_904/live/uk/bbc_radio_lincolnshire/bbc_radio_lincolnshire.isml/bbc_radio_lincolnshire-audio%3d320000.norewind.m3u8"</v>
      </c>
      <c r="M1448" t="str">
        <f>VLOOKUP(A1448,logos!$A$2:$A$10004,1,FALSE)</f>
        <v>BBC Radio Lincolnshire</v>
      </c>
    </row>
    <row r="1449" spans="1:13" hidden="1" x14ac:dyDescent="0.55000000000000004">
      <c r="A1449" t="s">
        <v>2854</v>
      </c>
      <c r="B1449" t="s">
        <v>1670</v>
      </c>
      <c r="C1449" t="s">
        <v>2489</v>
      </c>
      <c r="D1449" t="s">
        <v>1657</v>
      </c>
      <c r="E1449" t="s">
        <v>2611</v>
      </c>
      <c r="F1449" t="str">
        <f t="shared" si="22"/>
        <v>"C:\Program Files\VideoLAN\VLC\vlc.exe" "http://as-hls-uk-live.akamaized.net/pool_904/live/uk/bbc_london/bbc_london.isml/bbc_london-audio%3d320000.norewind.m3u8"</v>
      </c>
      <c r="M1449" t="str">
        <f>VLOOKUP(A1449,logos!$A$2:$A$10004,1,FALSE)</f>
        <v>BBC Radio London (FM)</v>
      </c>
    </row>
    <row r="1450" spans="1:13" hidden="1" x14ac:dyDescent="0.55000000000000004">
      <c r="A1450" t="s">
        <v>2855</v>
      </c>
      <c r="B1450" t="s">
        <v>1670</v>
      </c>
      <c r="C1450" t="s">
        <v>2493</v>
      </c>
      <c r="D1450" t="s">
        <v>1657</v>
      </c>
      <c r="E1450" t="s">
        <v>2611</v>
      </c>
      <c r="F1450" t="str">
        <f t="shared" si="22"/>
        <v>"C:\Program Files\VideoLAN\VLC\vlc.exe" "http://as-hls-uk-live.akamaized.net/pool_904/live/uk/bbc_radio_manchester/bbc_radio_manchester.isml/bbc_radio_manchester-audio%3d320000.norewind.m3u8"</v>
      </c>
      <c r="M1450" t="str">
        <f>VLOOKUP(A1450,logos!$A$2:$A$10004,1,FALSE)</f>
        <v>BBC Radio Manchester (DAB)</v>
      </c>
    </row>
    <row r="1451" spans="1:13" hidden="1" x14ac:dyDescent="0.55000000000000004">
      <c r="A1451" t="s">
        <v>162</v>
      </c>
      <c r="B1451" t="s">
        <v>1670</v>
      </c>
      <c r="C1451" t="s">
        <v>2497</v>
      </c>
      <c r="D1451" t="s">
        <v>1657</v>
      </c>
      <c r="E1451" t="s">
        <v>2611</v>
      </c>
      <c r="F1451" t="str">
        <f t="shared" si="22"/>
        <v>"C:\Program Files\VideoLAN\VLC\vlc.exe" "http://as-hls-uk-live.akamaized.net/pool_904/live/uk/bbc_radio_merseyside/bbc_radio_merseyside.isml/bbc_radio_merseyside-audio%3d320000.norewind.m3u8"</v>
      </c>
      <c r="M1451" t="str">
        <f>VLOOKUP(A1451,logos!$A$2:$A$10004,1,FALSE)</f>
        <v>BBC Radio Merseyside</v>
      </c>
    </row>
    <row r="1452" spans="1:13" hidden="1" x14ac:dyDescent="0.55000000000000004">
      <c r="A1452" t="s">
        <v>1694</v>
      </c>
      <c r="B1452" t="s">
        <v>1670</v>
      </c>
      <c r="C1452" t="s">
        <v>2501</v>
      </c>
      <c r="D1452" t="s">
        <v>1657</v>
      </c>
      <c r="E1452" t="s">
        <v>2611</v>
      </c>
      <c r="F1452" t="str">
        <f t="shared" si="22"/>
        <v>"C:\Program Files\VideoLAN\VLC\vlc.exe" "http://as-hls-uk-live.akamaized.net/pool_904/live/uk/bbc_radio_nan_gaidheal/bbc_radio_nan_gaidheal.isml/bbc_radio_nan_gaidheal-audio%3d320000.norewind.m3u8"</v>
      </c>
      <c r="M1452" t="e">
        <f>VLOOKUP(A1452,logos!$A$2:$A$10004,1,FALSE)</f>
        <v>#N/A</v>
      </c>
    </row>
    <row r="1453" spans="1:13" hidden="1" x14ac:dyDescent="0.55000000000000004">
      <c r="A1453" t="s">
        <v>166</v>
      </c>
      <c r="B1453" t="s">
        <v>1670</v>
      </c>
      <c r="C1453" t="s">
        <v>2505</v>
      </c>
      <c r="D1453" t="s">
        <v>1657</v>
      </c>
      <c r="E1453" t="s">
        <v>2611</v>
      </c>
      <c r="F1453" t="str">
        <f t="shared" si="22"/>
        <v>"C:\Program Files\VideoLAN\VLC\vlc.exe" "http://as-hls-uk-live.akamaized.net/pool_904/live/uk/bbc_radio_newcastle/bbc_radio_newcastle.isml/bbc_radio_newcastle-audio%3d320000.norewind.m3u8"</v>
      </c>
      <c r="M1453" t="str">
        <f>VLOOKUP(A1453,logos!$A$2:$A$10004,1,FALSE)</f>
        <v>BBC Radio Newcastle</v>
      </c>
    </row>
    <row r="1454" spans="1:13" hidden="1" x14ac:dyDescent="0.55000000000000004">
      <c r="A1454" t="s">
        <v>168</v>
      </c>
      <c r="B1454" t="s">
        <v>1670</v>
      </c>
      <c r="C1454" t="s">
        <v>2509</v>
      </c>
      <c r="D1454" t="s">
        <v>1657</v>
      </c>
      <c r="E1454" t="s">
        <v>2611</v>
      </c>
      <c r="F1454" t="str">
        <f t="shared" si="22"/>
        <v>"C:\Program Files\VideoLAN\VLC\vlc.exe" "http://as-hls-uk-live.akamaized.net/pool_904/live/uk/bbc_radio_norfolk/bbc_radio_norfolk.isml/bbc_radio_norfolk-audio%3d320000.norewind.m3u8"</v>
      </c>
      <c r="M1454" t="str">
        <f>VLOOKUP(A1454,logos!$A$2:$A$10004,1,FALSE)</f>
        <v>BBC Radio Norfolk</v>
      </c>
    </row>
    <row r="1455" spans="1:13" hidden="1" x14ac:dyDescent="0.55000000000000004">
      <c r="A1455" t="s">
        <v>170</v>
      </c>
      <c r="B1455" t="s">
        <v>1670</v>
      </c>
      <c r="C1455" t="s">
        <v>2513</v>
      </c>
      <c r="D1455" t="s">
        <v>1657</v>
      </c>
      <c r="E1455" t="s">
        <v>2611</v>
      </c>
      <c r="F1455" t="str">
        <f t="shared" si="22"/>
        <v>"C:\Program Files\VideoLAN\VLC\vlc.exe" "http://as-hls-uk-live.akamaized.net/pool_904/live/uk/bbc_radio_northampton/bbc_radio_northampton.isml/bbc_radio_northampton-audio%3d320000.norewind.m3u8"</v>
      </c>
      <c r="M1455" t="str">
        <f>VLOOKUP(A1455,logos!$A$2:$A$10004,1,FALSE)</f>
        <v>BBC Radio Northampton</v>
      </c>
    </row>
    <row r="1456" spans="1:13" hidden="1" x14ac:dyDescent="0.55000000000000004">
      <c r="A1456" t="s">
        <v>172</v>
      </c>
      <c r="B1456" t="s">
        <v>1670</v>
      </c>
      <c r="C1456" t="s">
        <v>2517</v>
      </c>
      <c r="D1456" t="s">
        <v>1657</v>
      </c>
      <c r="E1456" t="s">
        <v>2611</v>
      </c>
      <c r="F1456" t="str">
        <f t="shared" si="22"/>
        <v>"C:\Program Files\VideoLAN\VLC\vlc.exe" "http://as-hls-uk-live.akamaized.net/pool_904/live/uk/bbc_radio_nottingham/bbc_radio_nottingham.isml/bbc_radio_nottingham-audio%3d320000.norewind.m3u8"</v>
      </c>
      <c r="M1456" t="str">
        <f>VLOOKUP(A1456,logos!$A$2:$A$10004,1,FALSE)</f>
        <v>BBC Radio Nottingham</v>
      </c>
    </row>
    <row r="1457" spans="1:13" hidden="1" x14ac:dyDescent="0.55000000000000004">
      <c r="A1457" t="s">
        <v>174</v>
      </c>
      <c r="B1457" t="s">
        <v>1670</v>
      </c>
      <c r="C1457" t="s">
        <v>2521</v>
      </c>
      <c r="D1457" t="s">
        <v>1657</v>
      </c>
      <c r="E1457" t="s">
        <v>2611</v>
      </c>
      <c r="F1457" t="str">
        <f t="shared" si="22"/>
        <v>"C:\Program Files\VideoLAN\VLC\vlc.exe" "http://as-hls-uk-live.akamaized.net/pool_904/live/uk/bbc_radio_orkney/bbc_radio_orkney.isml/bbc_radio_orkney-audio%3d320000.norewind.m3u8"</v>
      </c>
      <c r="M1457" t="str">
        <f>VLOOKUP(A1457,logos!$A$2:$A$10004,1,FALSE)</f>
        <v>BBC Radio Orkney</v>
      </c>
    </row>
    <row r="1458" spans="1:13" hidden="1" x14ac:dyDescent="0.55000000000000004">
      <c r="A1458" t="s">
        <v>176</v>
      </c>
      <c r="B1458" t="s">
        <v>1670</v>
      </c>
      <c r="C1458" t="s">
        <v>2525</v>
      </c>
      <c r="D1458" t="s">
        <v>1657</v>
      </c>
      <c r="E1458" t="s">
        <v>2611</v>
      </c>
      <c r="F1458" t="str">
        <f t="shared" si="22"/>
        <v>"C:\Program Files\VideoLAN\VLC\vlc.exe" "http://as-hls-uk-live.akamaized.net/pool_904/live/uk/bbc_radio_oxford/bbc_radio_oxford.isml/bbc_radio_oxford-audio%3d320000.norewind.m3u8"</v>
      </c>
      <c r="M1458" t="str">
        <f>VLOOKUP(A1458,logos!$A$2:$A$10004,1,FALSE)</f>
        <v>BBC Radio Oxford</v>
      </c>
    </row>
    <row r="1459" spans="1:13" hidden="1" x14ac:dyDescent="0.55000000000000004">
      <c r="A1459" t="s">
        <v>2857</v>
      </c>
      <c r="B1459" t="s">
        <v>1670</v>
      </c>
      <c r="C1459" t="s">
        <v>2533</v>
      </c>
      <c r="D1459" t="s">
        <v>1657</v>
      </c>
      <c r="E1459" t="s">
        <v>2611</v>
      </c>
      <c r="F1459" t="str">
        <f t="shared" si="22"/>
        <v>"C:\Program Files\VideoLAN\VLC\vlc.exe" "http://as-hls-uk-live.akamaized.net/pool_904/live/uk/bbc_radio_scotland_mw/bbc_radio_scotland_mw.isml/bbc_radio_scotland_mw-audio%3d320000.norewind.m3u8"</v>
      </c>
      <c r="M1459" t="e">
        <f>VLOOKUP(A1459,logos!$A$2:$A$10004,1,FALSE)</f>
        <v>#N/A</v>
      </c>
    </row>
    <row r="1460" spans="1:13" hidden="1" x14ac:dyDescent="0.55000000000000004">
      <c r="A1460" t="s">
        <v>2856</v>
      </c>
      <c r="B1460" t="s">
        <v>1670</v>
      </c>
      <c r="C1460" t="s">
        <v>2529</v>
      </c>
      <c r="D1460" t="s">
        <v>1657</v>
      </c>
      <c r="E1460" t="s">
        <v>2611</v>
      </c>
      <c r="F1460" t="str">
        <f t="shared" si="22"/>
        <v>"C:\Program Files\VideoLAN\VLC\vlc.exe" "http://as-hls-uk-live.akamaized.net/pool_904/live/uk/bbc_radio_scotland_fm/bbc_radio_scotland_fm.isml/bbc_radio_scotland_fm-audio%3d320000.norewind.m3u8"</v>
      </c>
      <c r="M1460" t="e">
        <f>VLOOKUP(A1460,logos!$A$2:$A$10004,1,FALSE)</f>
        <v>#N/A</v>
      </c>
    </row>
    <row r="1461" spans="1:13" hidden="1" x14ac:dyDescent="0.55000000000000004">
      <c r="A1461" t="s">
        <v>182</v>
      </c>
      <c r="B1461" t="s">
        <v>1670</v>
      </c>
      <c r="C1461" t="s">
        <v>2537</v>
      </c>
      <c r="D1461" t="s">
        <v>1657</v>
      </c>
      <c r="E1461" t="s">
        <v>2611</v>
      </c>
      <c r="F1461" t="str">
        <f t="shared" si="22"/>
        <v>"C:\Program Files\VideoLAN\VLC\vlc.exe" "http://as-hls-uk-live.akamaized.net/pool_904/live/uk/bbc_radio_sheffield/bbc_radio_sheffield.isml/bbc_radio_sheffield-audio%3d320000.norewind.m3u8"</v>
      </c>
      <c r="M1461" t="str">
        <f>VLOOKUP(A1461,logos!$A$2:$A$10004,1,FALSE)</f>
        <v>BBC Radio Sheffield</v>
      </c>
    </row>
    <row r="1462" spans="1:13" hidden="1" x14ac:dyDescent="0.55000000000000004">
      <c r="A1462" t="s">
        <v>184</v>
      </c>
      <c r="B1462" t="s">
        <v>1670</v>
      </c>
      <c r="C1462" t="s">
        <v>2541</v>
      </c>
      <c r="D1462" t="s">
        <v>1657</v>
      </c>
      <c r="E1462" t="s">
        <v>2611</v>
      </c>
      <c r="F1462" t="str">
        <f t="shared" si="22"/>
        <v>"C:\Program Files\VideoLAN\VLC\vlc.exe" "http://as-hls-uk-live.akamaized.net/pool_904/live/uk/bbc_radio_shetland/bbc_radio_shetland.isml/bbc_radio_shetland-audio%3d320000.norewind.m3u8"</v>
      </c>
      <c r="M1462" t="str">
        <f>VLOOKUP(A1462,logos!$A$2:$A$10004,1,FALSE)</f>
        <v>BBC Radio Shetland</v>
      </c>
    </row>
    <row r="1463" spans="1:13" hidden="1" x14ac:dyDescent="0.55000000000000004">
      <c r="A1463" t="s">
        <v>186</v>
      </c>
      <c r="B1463" t="s">
        <v>1670</v>
      </c>
      <c r="C1463" t="s">
        <v>2545</v>
      </c>
      <c r="D1463" t="s">
        <v>1657</v>
      </c>
      <c r="E1463" t="s">
        <v>2611</v>
      </c>
      <c r="F1463" t="str">
        <f t="shared" si="22"/>
        <v>"C:\Program Files\VideoLAN\VLC\vlc.exe" "http://as-hls-uk-live.akamaized.net/pool_904/live/uk/bbc_radio_shropshire/bbc_radio_shropshire.isml/bbc_radio_shropshire-audio%3d320000.norewind.m3u8"</v>
      </c>
      <c r="M1463" t="str">
        <f>VLOOKUP(A1463,logos!$A$2:$A$10004,1,FALSE)</f>
        <v>BBC Radio Shropshire</v>
      </c>
    </row>
    <row r="1464" spans="1:13" hidden="1" x14ac:dyDescent="0.55000000000000004">
      <c r="A1464" t="s">
        <v>2858</v>
      </c>
      <c r="B1464" t="s">
        <v>1670</v>
      </c>
      <c r="C1464" t="s">
        <v>2549</v>
      </c>
      <c r="D1464" t="s">
        <v>1657</v>
      </c>
      <c r="E1464" t="s">
        <v>2611</v>
      </c>
      <c r="F1464" t="str">
        <f t="shared" si="22"/>
        <v>"C:\Program Files\VideoLAN\VLC\vlc.exe" "http://as-hls-uk-live.akamaized.net/pool_904/live/uk/bbc_radio_solent/bbc_radio_solent.isml/bbc_radio_solent-audio%3d320000.norewind.m3u8"</v>
      </c>
      <c r="M1464" t="e">
        <f>VLOOKUP(A1464,logos!$A$2:$A$10004,1,FALSE)</f>
        <v>#N/A</v>
      </c>
    </row>
    <row r="1465" spans="1:13" hidden="1" x14ac:dyDescent="0.55000000000000004">
      <c r="A1465" t="s">
        <v>2859</v>
      </c>
      <c r="B1465" t="s">
        <v>1670</v>
      </c>
      <c r="C1465" t="s">
        <v>2553</v>
      </c>
      <c r="D1465" t="s">
        <v>1657</v>
      </c>
      <c r="E1465" t="s">
        <v>2611</v>
      </c>
      <c r="F1465" t="str">
        <f t="shared" si="22"/>
        <v>"C:\Program Files\VideoLAN\VLC\vlc.exe" "http://as-hls-uk-live.akamaized.net/pool_904/live/uk/bbc_radio_solent_west_dorset/bbc_radio_solent_west_dorset.isml/bbc_radio_solent_west_dorset-audio%3d320000.norewind.m3u8"</v>
      </c>
      <c r="M1465" t="e">
        <f>VLOOKUP(A1465,logos!$A$2:$A$10004,1,FALSE)</f>
        <v>#N/A</v>
      </c>
    </row>
    <row r="1466" spans="1:13" hidden="1" x14ac:dyDescent="0.55000000000000004">
      <c r="A1466" t="s">
        <v>192</v>
      </c>
      <c r="B1466" t="s">
        <v>1670</v>
      </c>
      <c r="C1466" t="s">
        <v>2557</v>
      </c>
      <c r="D1466" t="s">
        <v>1657</v>
      </c>
      <c r="E1466" t="s">
        <v>2611</v>
      </c>
      <c r="F1466" t="str">
        <f t="shared" si="22"/>
        <v>"C:\Program Files\VideoLAN\VLC\vlc.exe" "http://as-hls-uk-live.akamaized.net/pool_904/live/uk/bbc_radio_somerset_sound/bbc_radio_somerset_sound.isml/bbc_radio_somerset_sound-audio%3d320000.norewind.m3u8"</v>
      </c>
      <c r="M1466" t="str">
        <f>VLOOKUP(A1466,logos!$A$2:$A$10004,1,FALSE)</f>
        <v>BBC Radio Somerset</v>
      </c>
    </row>
    <row r="1467" spans="1:13" hidden="1" x14ac:dyDescent="0.55000000000000004">
      <c r="A1467" t="s">
        <v>194</v>
      </c>
      <c r="B1467" t="s">
        <v>1670</v>
      </c>
      <c r="C1467" t="s">
        <v>2561</v>
      </c>
      <c r="D1467" t="s">
        <v>1657</v>
      </c>
      <c r="E1467" t="s">
        <v>2611</v>
      </c>
      <c r="F1467" t="str">
        <f t="shared" si="22"/>
        <v>"C:\Program Files\VideoLAN\VLC\vlc.exe" "http://as-hls-uk-live.akamaized.net/pool_904/live/uk/bbc_radio_stoke/bbc_radio_stoke.isml/bbc_radio_stoke-audio%3d320000.norewind.m3u8"</v>
      </c>
      <c r="M1467" t="str">
        <f>VLOOKUP(A1467,logos!$A$2:$A$10004,1,FALSE)</f>
        <v>BBC Radio Stoke</v>
      </c>
    </row>
    <row r="1468" spans="1:13" hidden="1" x14ac:dyDescent="0.55000000000000004">
      <c r="A1468" t="s">
        <v>196</v>
      </c>
      <c r="B1468" t="s">
        <v>1670</v>
      </c>
      <c r="C1468" t="s">
        <v>2565</v>
      </c>
      <c r="D1468" t="s">
        <v>1657</v>
      </c>
      <c r="E1468" t="s">
        <v>2611</v>
      </c>
      <c r="F1468" t="str">
        <f t="shared" si="22"/>
        <v>"C:\Program Files\VideoLAN\VLC\vlc.exe" "http://as-hls-uk-live.akamaized.net/pool_904/live/uk/bbc_radio_suffolk/bbc_radio_suffolk.isml/bbc_radio_suffolk-audio%3d320000.norewind.m3u8"</v>
      </c>
      <c r="M1468" t="str">
        <f>VLOOKUP(A1468,logos!$A$2:$A$10004,1,FALSE)</f>
        <v>BBC Radio Suffolk</v>
      </c>
    </row>
    <row r="1469" spans="1:13" hidden="1" x14ac:dyDescent="0.55000000000000004">
      <c r="A1469" t="s">
        <v>198</v>
      </c>
      <c r="B1469" t="s">
        <v>1670</v>
      </c>
      <c r="C1469" t="s">
        <v>2569</v>
      </c>
      <c r="D1469" t="s">
        <v>1657</v>
      </c>
      <c r="E1469" t="s">
        <v>2611</v>
      </c>
      <c r="F1469" t="str">
        <f t="shared" si="22"/>
        <v>"C:\Program Files\VideoLAN\VLC\vlc.exe" "http://as-hls-uk-live.akamaized.net/pool_904/live/uk/bbc_radio_surrey/bbc_radio_surrey.isml/bbc_radio_surrey-audio%3d320000.norewind.m3u8"</v>
      </c>
      <c r="M1469" t="str">
        <f>VLOOKUP(A1469,logos!$A$2:$A$10004,1,FALSE)</f>
        <v>BBC Radio Surrey</v>
      </c>
    </row>
    <row r="1470" spans="1:13" hidden="1" x14ac:dyDescent="0.55000000000000004">
      <c r="A1470" t="s">
        <v>200</v>
      </c>
      <c r="B1470" t="s">
        <v>1670</v>
      </c>
      <c r="C1470" t="s">
        <v>2573</v>
      </c>
      <c r="D1470" t="s">
        <v>1657</v>
      </c>
      <c r="E1470" t="s">
        <v>2611</v>
      </c>
      <c r="F1470" t="str">
        <f t="shared" si="22"/>
        <v>"C:\Program Files\VideoLAN\VLC\vlc.exe" "http://as-hls-uk-live.akamaized.net/pool_904/live/uk/bbc_radio_sussex/bbc_radio_sussex.isml/bbc_radio_sussex-audio%3d320000.norewind.m3u8"</v>
      </c>
      <c r="M1470" t="str">
        <f>VLOOKUP(A1470,logos!$A$2:$A$10004,1,FALSE)</f>
        <v>BBC Radio Sussex</v>
      </c>
    </row>
    <row r="1471" spans="1:13" hidden="1" x14ac:dyDescent="0.55000000000000004">
      <c r="A1471" t="s">
        <v>202</v>
      </c>
      <c r="B1471" t="s">
        <v>1670</v>
      </c>
      <c r="C1471" t="s">
        <v>2577</v>
      </c>
      <c r="D1471" t="s">
        <v>1657</v>
      </c>
      <c r="E1471" t="s">
        <v>2611</v>
      </c>
      <c r="F1471" t="str">
        <f t="shared" si="22"/>
        <v>"C:\Program Files\VideoLAN\VLC\vlc.exe" "http://as-hls-uk-live.akamaized.net/pool_904/live/uk/bbc_tees/bbc_tees.isml/bbc_tees-audio%3d320000.norewind.m3u8"</v>
      </c>
      <c r="M1471" t="str">
        <f>VLOOKUP(A1471,logos!$A$2:$A$10004,1,FALSE)</f>
        <v>BBC Radio Tees</v>
      </c>
    </row>
    <row r="1472" spans="1:13" hidden="1" x14ac:dyDescent="0.55000000000000004">
      <c r="A1472" t="s">
        <v>204</v>
      </c>
      <c r="B1472" t="s">
        <v>1670</v>
      </c>
      <c r="C1472" t="s">
        <v>2581</v>
      </c>
      <c r="D1472" t="s">
        <v>1657</v>
      </c>
      <c r="E1472" t="s">
        <v>2611</v>
      </c>
      <c r="F1472" t="str">
        <f t="shared" si="22"/>
        <v>"C:\Program Files\VideoLAN\VLC\vlc.exe" "http://as-hls-uk-live.akamaized.net/pool_904/live/uk/bbc_radio_ulster/bbc_radio_ulster.isml/bbc_radio_ulster-audio%3d320000.norewind.m3u8"</v>
      </c>
      <c r="M1472" t="str">
        <f>VLOOKUP(A1472,logos!$A$2:$A$10004,1,FALSE)</f>
        <v>BBC Radio Ulster</v>
      </c>
    </row>
    <row r="1473" spans="1:13" hidden="1" x14ac:dyDescent="0.55000000000000004">
      <c r="A1473" t="s">
        <v>2902</v>
      </c>
      <c r="B1473" t="s">
        <v>1670</v>
      </c>
      <c r="C1473" t="s">
        <v>2589</v>
      </c>
      <c r="D1473" t="s">
        <v>1657</v>
      </c>
      <c r="E1473" t="s">
        <v>2611</v>
      </c>
      <c r="F1473" t="str">
        <f t="shared" si="22"/>
        <v>"C:\Program Files\VideoLAN\VLC\vlc.exe" "http://as-hls-uk-live.akamaized.net/pool_904/live/uk/bbc_radio_wales_am/bbc_radio_wales_am.isml/bbc_radio_wales_am-audio%3d320000.norewind.m3u8"</v>
      </c>
      <c r="M1473" t="e">
        <f>VLOOKUP(A1473,logos!$A$2:$A$10004,1,FALSE)</f>
        <v>#N/A</v>
      </c>
    </row>
    <row r="1474" spans="1:13" hidden="1" x14ac:dyDescent="0.55000000000000004">
      <c r="A1474" t="s">
        <v>2860</v>
      </c>
      <c r="B1474" t="s">
        <v>1670</v>
      </c>
      <c r="C1474" t="s">
        <v>2585</v>
      </c>
      <c r="D1474" t="s">
        <v>1657</v>
      </c>
      <c r="E1474" t="s">
        <v>2611</v>
      </c>
      <c r="F1474" t="str">
        <f t="shared" si="22"/>
        <v>"C:\Program Files\VideoLAN\VLC\vlc.exe" "http://as-hls-uk-live.akamaized.net/pool_904/live/uk/bbc_radio_wales_fm/bbc_radio_wales_fm.isml/bbc_radio_wales_fm-audio%3d320000.norewind.m3u8"</v>
      </c>
      <c r="M1474" t="e">
        <f>VLOOKUP(A1474,logos!$A$2:$A$10004,1,FALSE)</f>
        <v>#N/A</v>
      </c>
    </row>
    <row r="1475" spans="1:13" hidden="1" x14ac:dyDescent="0.55000000000000004">
      <c r="A1475" t="s">
        <v>2861</v>
      </c>
      <c r="B1475" t="s">
        <v>1670</v>
      </c>
      <c r="C1475" t="s">
        <v>2593</v>
      </c>
      <c r="D1475" t="s">
        <v>1657</v>
      </c>
      <c r="E1475" t="s">
        <v>2611</v>
      </c>
      <c r="F1475" t="str">
        <f t="shared" ref="F1475:F1538" si="23">"""C:\Program Files\VideoLAN\VLC\vlc.exe"" """&amp;C1475&amp;""""</f>
        <v>"C:\Program Files\VideoLAN\VLC\vlc.exe" "http://as-hls-uk-live.akamaized.net/pool_904/live/uk/bbc_radio_wiltshire/bbc_radio_wiltshire.isml/bbc_radio_wiltshire-audio%3d320000.norewind.m3u8"</v>
      </c>
      <c r="M1475" t="e">
        <f>VLOOKUP(A1475,logos!$A$2:$A$10004,1,FALSE)</f>
        <v>#N/A</v>
      </c>
    </row>
    <row r="1476" spans="1:13" hidden="1" x14ac:dyDescent="0.55000000000000004">
      <c r="A1476" t="s">
        <v>210</v>
      </c>
      <c r="B1476" t="s">
        <v>1670</v>
      </c>
      <c r="C1476" t="s">
        <v>2597</v>
      </c>
      <c r="D1476" t="s">
        <v>1657</v>
      </c>
      <c r="E1476" t="s">
        <v>2611</v>
      </c>
      <c r="F1476" t="str">
        <f t="shared" si="23"/>
        <v>"C:\Program Files\VideoLAN\VLC\vlc.exe" "http://as-hls-uk-live.akamaized.net/pool_904/live/uk/bbc_wm/bbc_wm.isml/bbc_wm-audio%3d320000.norewind.m3u8"</v>
      </c>
      <c r="M1476" t="str">
        <f>VLOOKUP(A1476,logos!$A$2:$A$10004,1,FALSE)</f>
        <v>BBC Radio WM</v>
      </c>
    </row>
    <row r="1477" spans="1:13" hidden="1" x14ac:dyDescent="0.55000000000000004">
      <c r="A1477" t="s">
        <v>2862</v>
      </c>
      <c r="B1477" t="s">
        <v>1670</v>
      </c>
      <c r="C1477" t="s">
        <v>2601</v>
      </c>
      <c r="D1477" t="s">
        <v>1657</v>
      </c>
      <c r="E1477" t="s">
        <v>2611</v>
      </c>
      <c r="F1477" t="str">
        <f t="shared" si="23"/>
        <v>"C:\Program Files\VideoLAN\VLC\vlc.exe" "http://as-hls-uk-live.akamaized.net/pool_904/live/uk/bbc_radio_york/bbc_radio_york.isml/bbc_radio_york-audio%3d320000.norewind.m3u8"</v>
      </c>
      <c r="M1477" t="e">
        <f>VLOOKUP(A1477,logos!$A$2:$A$10004,1,FALSE)</f>
        <v>#N/A</v>
      </c>
    </row>
    <row r="1478" spans="1:13" hidden="1" x14ac:dyDescent="0.55000000000000004">
      <c r="A1478" t="s">
        <v>214</v>
      </c>
      <c r="B1478" t="s">
        <v>1670</v>
      </c>
      <c r="C1478" t="s">
        <v>2605</v>
      </c>
      <c r="D1478" t="s">
        <v>1657</v>
      </c>
      <c r="E1478" t="s">
        <v>2611</v>
      </c>
      <c r="F1478" t="str">
        <f t="shared" si="23"/>
        <v>"C:\Program Files\VideoLAN\VLC\vlc.exe" "http://as-hls-uk-live.akamaized.net/pool_904/live/uk/bbc_three_counties_radio/bbc_three_counties_radio.isml/bbc_three_counties_radio-audio%3d320000.norewind.m3u8"</v>
      </c>
      <c r="M1478" t="str">
        <f>VLOOKUP(A1478,logos!$A$2:$A$10004,1,FALSE)</f>
        <v>BBC Three Counties Radio</v>
      </c>
    </row>
    <row r="1479" spans="1:13" hidden="1" x14ac:dyDescent="0.55000000000000004">
      <c r="A1479" t="s">
        <v>90</v>
      </c>
      <c r="B1479" t="s">
        <v>1662</v>
      </c>
      <c r="C1479" t="s">
        <v>2354</v>
      </c>
      <c r="D1479" t="s">
        <v>1657</v>
      </c>
      <c r="E1479" t="s">
        <v>2611</v>
      </c>
      <c r="F1479" t="str">
        <f t="shared" si="23"/>
        <v>"C:\Program Files\VideoLAN\VLC\vlc.exe" "http://as-hls-ww-live.akamaized.net/pool_904/live/ww/bbc_asian_network/bbc_asian_network.isml/bbc_asian_network-audio%3d48000.norewind.m3u8"</v>
      </c>
      <c r="M1479" t="str">
        <f>VLOOKUP(A1479,logos!$A$2:$A$10004,1,FALSE)</f>
        <v>BBC Asian Network</v>
      </c>
    </row>
    <row r="1480" spans="1:13" hidden="1" x14ac:dyDescent="0.55000000000000004">
      <c r="A1480" t="s">
        <v>93</v>
      </c>
      <c r="B1480" t="s">
        <v>1662</v>
      </c>
      <c r="C1480" t="s">
        <v>2358</v>
      </c>
      <c r="D1480" t="s">
        <v>1657</v>
      </c>
      <c r="E1480" t="s">
        <v>2611</v>
      </c>
      <c r="F1480" t="str">
        <f t="shared" si="23"/>
        <v>"C:\Program Files\VideoLAN\VLC\vlc.exe" "http://as-hls-ww-live.akamaized.net/pool_904/live/ww/bbc_radio_coventry_warwickshire/bbc_radio_coventry_warwickshire.isml/bbc_radio_coventry_warwickshire-audio%3d48000.norewind.m3u8"</v>
      </c>
      <c r="M1480" t="str">
        <f>VLOOKUP(A1480,logos!$A$2:$A$10004,1,FALSE)</f>
        <v>BBC CWR</v>
      </c>
    </row>
    <row r="1481" spans="1:13" hidden="1" x14ac:dyDescent="0.55000000000000004">
      <c r="A1481" t="s">
        <v>95</v>
      </c>
      <c r="B1481" t="s">
        <v>1662</v>
      </c>
      <c r="C1481" t="s">
        <v>2362</v>
      </c>
      <c r="D1481" t="s">
        <v>1657</v>
      </c>
      <c r="E1481" t="s">
        <v>2611</v>
      </c>
      <c r="F1481" t="str">
        <f t="shared" si="23"/>
        <v>"C:\Program Files\VideoLAN\VLC\vlc.exe" "http://as-hls-ww-live.akamaized.net/pool_904/live/ww/bbc_radio_essex/bbc_radio_essex.isml/bbc_radio_essex-audio%3d48000.norewind.m3u8"</v>
      </c>
      <c r="M1481" t="str">
        <f>VLOOKUP(A1481,logos!$A$2:$A$10004,1,FALSE)</f>
        <v>BBC Essex</v>
      </c>
    </row>
    <row r="1482" spans="1:13" hidden="1" x14ac:dyDescent="0.55000000000000004">
      <c r="A1482" t="s">
        <v>97</v>
      </c>
      <c r="B1482" t="s">
        <v>1662</v>
      </c>
      <c r="C1482" t="s">
        <v>2366</v>
      </c>
      <c r="D1482" t="s">
        <v>1657</v>
      </c>
      <c r="E1482" t="s">
        <v>2611</v>
      </c>
      <c r="F1482" t="str">
        <f t="shared" si="23"/>
        <v>"C:\Program Files\VideoLAN\VLC\vlc.exe" "http://as-hls-ww-live.akamaized.net/pool_904/live/ww/bbc_radio_hereford_worcester/bbc_radio_hereford_worcester.isml/bbc_radio_hereford_worcester-audio%3d48000.norewind.m3u8"</v>
      </c>
      <c r="M1482" t="str">
        <f>VLOOKUP(A1482,logos!$A$2:$A$10004,1,FALSE)</f>
        <v>BBC Hereford &amp; Worcester</v>
      </c>
    </row>
    <row r="1483" spans="1:13" hidden="1" x14ac:dyDescent="0.55000000000000004">
      <c r="A1483" t="s">
        <v>2843</v>
      </c>
      <c r="B1483" t="s">
        <v>1662</v>
      </c>
      <c r="C1483" t="s">
        <v>2370</v>
      </c>
      <c r="D1483" t="s">
        <v>1657</v>
      </c>
      <c r="E1483" t="s">
        <v>2611</v>
      </c>
      <c r="F1483" t="str">
        <f t="shared" si="23"/>
        <v>"C:\Program Files\VideoLAN\VLC\vlc.exe" "http://as-hls-ww-live.akamaized.net/pool_904/live/ww/bbc_radio_one/bbc_radio_one.isml/bbc_radio_one-audio%3d48000.norewind.m3u8"</v>
      </c>
      <c r="M1483" t="str">
        <f>VLOOKUP(A1483,logos!$A$2:$A$10004,1,FALSE)</f>
        <v>BBC Radio 1 (England)</v>
      </c>
    </row>
    <row r="1484" spans="1:13" hidden="1" x14ac:dyDescent="0.55000000000000004">
      <c r="A1484" t="s">
        <v>101</v>
      </c>
      <c r="B1484" t="s">
        <v>1662</v>
      </c>
      <c r="C1484" t="s">
        <v>2374</v>
      </c>
      <c r="D1484" t="s">
        <v>1657</v>
      </c>
      <c r="E1484" t="s">
        <v>2611</v>
      </c>
      <c r="F1484" t="str">
        <f t="shared" si="23"/>
        <v>"C:\Program Files\VideoLAN\VLC\vlc.exe" "http://as-hls-ww-live.akamaized.net/pool_904/live/ww/bbc_1xtra/bbc_1xtra.isml/bbc_1xtra-audio%3d48000.norewind.m3u8"</v>
      </c>
      <c r="M1484" t="str">
        <f>VLOOKUP(A1484,logos!$A$2:$A$10004,1,FALSE)</f>
        <v>BBC Radio 1Xtra</v>
      </c>
    </row>
    <row r="1485" spans="1:13" hidden="1" x14ac:dyDescent="0.55000000000000004">
      <c r="A1485" t="s">
        <v>103</v>
      </c>
      <c r="B1485" t="s">
        <v>1662</v>
      </c>
      <c r="C1485" t="s">
        <v>2378</v>
      </c>
      <c r="D1485" t="s">
        <v>1657</v>
      </c>
      <c r="E1485" t="s">
        <v>2611</v>
      </c>
      <c r="F1485" t="str">
        <f t="shared" si="23"/>
        <v>"C:\Program Files\VideoLAN\VLC\vlc.exe" "http://as-hls-ww-live.akamaized.net/pool_904/live/ww/bbc_radio_two/bbc_radio_two.isml/bbc_radio_two-audio%3d48000.norewind.m3u8"</v>
      </c>
      <c r="M1485" t="str">
        <f>VLOOKUP(A1485,logos!$A$2:$A$10004,1,FALSE)</f>
        <v>BBC Radio 2</v>
      </c>
    </row>
    <row r="1486" spans="1:13" hidden="1" x14ac:dyDescent="0.55000000000000004">
      <c r="A1486" t="s">
        <v>105</v>
      </c>
      <c r="B1486" t="s">
        <v>1662</v>
      </c>
      <c r="C1486" t="s">
        <v>2382</v>
      </c>
      <c r="D1486" t="s">
        <v>1657</v>
      </c>
      <c r="E1486" t="s">
        <v>2611</v>
      </c>
      <c r="F1486" t="str">
        <f t="shared" si="23"/>
        <v>"C:\Program Files\VideoLAN\VLC\vlc.exe" "http://as-hls-ww-live.akamaized.net/pool_904/live/ww/bbc_radio_three/bbc_radio_three.isml/bbc_radio_three-audio%3d48000.norewind.m3u8"</v>
      </c>
      <c r="M1486" t="str">
        <f>VLOOKUP(A1486,logos!$A$2:$A$10004,1,FALSE)</f>
        <v>BBC Radio 3</v>
      </c>
    </row>
    <row r="1487" spans="1:13" hidden="1" x14ac:dyDescent="0.55000000000000004">
      <c r="A1487" t="s">
        <v>2844</v>
      </c>
      <c r="B1487" t="s">
        <v>1662</v>
      </c>
      <c r="C1487" t="s">
        <v>2386</v>
      </c>
      <c r="D1487" t="s">
        <v>1657</v>
      </c>
      <c r="E1487" t="s">
        <v>2611</v>
      </c>
      <c r="F1487" t="str">
        <f t="shared" si="23"/>
        <v>"C:\Program Files\VideoLAN\VLC\vlc.exe" "http://as-hls-ww-live.akamaized.net/pool_904/live/ww/bbc_radio_fourfm/bbc_radio_fourfm.isml/bbc_radio_fourfm-audio%3d48000.norewind.m3u8"</v>
      </c>
      <c r="M1487" t="str">
        <f>VLOOKUP(A1487,logos!$A$2:$A$10004,1,FALSE)</f>
        <v>BBC Radio 4 (DAB)</v>
      </c>
    </row>
    <row r="1488" spans="1:13" hidden="1" x14ac:dyDescent="0.55000000000000004">
      <c r="A1488" t="s">
        <v>2845</v>
      </c>
      <c r="B1488" t="s">
        <v>1662</v>
      </c>
      <c r="C1488" t="s">
        <v>2390</v>
      </c>
      <c r="D1488" t="s">
        <v>1657</v>
      </c>
      <c r="E1488" t="s">
        <v>2611</v>
      </c>
      <c r="F1488" t="str">
        <f t="shared" si="23"/>
        <v>"C:\Program Files\VideoLAN\VLC\vlc.exe" "http://as-hls-ww-live.akamaized.net/pool_904/live/ww/bbc_radio_fourlw/bbc_radio_fourlw.isml/bbc_radio_fourlw-audio%3d48000.norewind.m3u8"</v>
      </c>
      <c r="M1488" t="str">
        <f>VLOOKUP(A1488,logos!$A$2:$A$10004,1,FALSE)</f>
        <v>BBC Radio 4 (LW)</v>
      </c>
    </row>
    <row r="1489" spans="1:13" hidden="1" x14ac:dyDescent="0.55000000000000004">
      <c r="A1489" t="s">
        <v>111</v>
      </c>
      <c r="B1489" t="s">
        <v>1662</v>
      </c>
      <c r="C1489" t="s">
        <v>2394</v>
      </c>
      <c r="D1489" t="s">
        <v>1657</v>
      </c>
      <c r="E1489" t="s">
        <v>2611</v>
      </c>
      <c r="F1489" t="str">
        <f t="shared" si="23"/>
        <v>"C:\Program Files\VideoLAN\VLC\vlc.exe" "http://as-hls-ww-live.akamaized.net/pool_904/live/ww/bbc_radio_four_extra/bbc_radio_four_extra.isml/bbc_radio_four_extra-audio%3d48000.norewind.m3u8"</v>
      </c>
      <c r="M1489" t="str">
        <f>VLOOKUP(A1489,logos!$A$2:$A$10004,1,FALSE)</f>
        <v>BBC Radio 4 Extra</v>
      </c>
    </row>
    <row r="1490" spans="1:13" hidden="1" x14ac:dyDescent="0.55000000000000004">
      <c r="A1490" t="s">
        <v>113</v>
      </c>
      <c r="B1490" t="s">
        <v>1662</v>
      </c>
      <c r="C1490" t="s">
        <v>2398</v>
      </c>
      <c r="D1490" t="s">
        <v>1657</v>
      </c>
      <c r="E1490" t="s">
        <v>2611</v>
      </c>
      <c r="F1490" t="str">
        <f t="shared" si="23"/>
        <v>"C:\Program Files\VideoLAN\VLC\vlc.exe" "http://as-hls-ww-live.akamaized.net/pool_904/live/ww/bbc_radio_five_live/bbc_radio_five_live.isml/bbc_radio_five_live-audio%3d48000.norewind.m3u8"</v>
      </c>
      <c r="M1490" t="str">
        <f>VLOOKUP(A1490,logos!$A$2:$A$10004,1,FALSE)</f>
        <v>BBC Radio 5 Live</v>
      </c>
    </row>
    <row r="1491" spans="1:13" hidden="1" x14ac:dyDescent="0.55000000000000004">
      <c r="A1491" t="s">
        <v>116</v>
      </c>
      <c r="B1491" t="s">
        <v>1662</v>
      </c>
      <c r="C1491" t="s">
        <v>2402</v>
      </c>
      <c r="D1491" t="s">
        <v>1657</v>
      </c>
      <c r="E1491" t="s">
        <v>2611</v>
      </c>
      <c r="F1491" t="str">
        <f t="shared" si="23"/>
        <v>"C:\Program Files\VideoLAN\VLC\vlc.exe" "http://as-hls-uk-live.akamaized.net/pool_904/live/uk/bbc_radio_five_live_sports_extra/bbc_radio_five_live_sports_extra.isml/bbc_radio_five_live_sports_extra-audio%3d48000.norewind.m3u8"</v>
      </c>
      <c r="M1491" t="str">
        <f>VLOOKUP(A1491,logos!$A$2:$A$10004,1,FALSE)</f>
        <v>BBC Radio 5 Sports Extra</v>
      </c>
    </row>
    <row r="1492" spans="1:13" hidden="1" x14ac:dyDescent="0.55000000000000004">
      <c r="A1492" t="s">
        <v>118</v>
      </c>
      <c r="B1492" t="s">
        <v>1662</v>
      </c>
      <c r="C1492" t="s">
        <v>2406</v>
      </c>
      <c r="D1492" t="s">
        <v>1657</v>
      </c>
      <c r="E1492" t="s">
        <v>2611</v>
      </c>
      <c r="F1492" t="str">
        <f t="shared" si="23"/>
        <v>"C:\Program Files\VideoLAN\VLC\vlc.exe" "http://as-hls-ww-live.akamaized.net/pool_904/live/ww/bbc_6music/bbc_6music.isml/bbc_6music-audio%3d48000.norewind.m3u8"</v>
      </c>
      <c r="M1492" t="str">
        <f>VLOOKUP(A1492,logos!$A$2:$A$10004,1,FALSE)</f>
        <v>BBC Radio 6 Music</v>
      </c>
    </row>
    <row r="1493" spans="1:13" hidden="1" x14ac:dyDescent="0.55000000000000004">
      <c r="A1493" t="s">
        <v>120</v>
      </c>
      <c r="B1493" t="s">
        <v>1662</v>
      </c>
      <c r="C1493" t="s">
        <v>2410</v>
      </c>
      <c r="D1493" t="s">
        <v>1657</v>
      </c>
      <c r="E1493" t="s">
        <v>2611</v>
      </c>
      <c r="F1493" t="str">
        <f t="shared" si="23"/>
        <v>"C:\Program Files\VideoLAN\VLC\vlc.exe" "http://as-hls-ww-live.akamaized.net/pool_904/live/ww/bbc_radio_berkshire/bbc_radio_berkshire.isml/bbc_radio_berkshire-audio%3d48000.norewind.m3u8"</v>
      </c>
      <c r="M1493" t="str">
        <f>VLOOKUP(A1493,logos!$A$2:$A$10004,1,FALSE)</f>
        <v>BBC Radio Berkshire</v>
      </c>
    </row>
    <row r="1494" spans="1:13" hidden="1" x14ac:dyDescent="0.55000000000000004">
      <c r="A1494" t="s">
        <v>122</v>
      </c>
      <c r="B1494" t="s">
        <v>1662</v>
      </c>
      <c r="C1494" t="s">
        <v>2414</v>
      </c>
      <c r="D1494" t="s">
        <v>1657</v>
      </c>
      <c r="E1494" t="s">
        <v>2611</v>
      </c>
      <c r="F1494" t="str">
        <f t="shared" si="23"/>
        <v>"C:\Program Files\VideoLAN\VLC\vlc.exe" "http://as-hls-ww-live.akamaized.net/pool_904/live/ww/bbc_radio_bristol/bbc_radio_bristol.isml/bbc_radio_bristol-audio%3d48000.norewind.m3u8"</v>
      </c>
      <c r="M1494" t="str">
        <f>VLOOKUP(A1494,logos!$A$2:$A$10004,1,FALSE)</f>
        <v>BBC Radio Bristol</v>
      </c>
    </row>
    <row r="1495" spans="1:13" hidden="1" x14ac:dyDescent="0.55000000000000004">
      <c r="A1495" t="s">
        <v>2846</v>
      </c>
      <c r="B1495" t="s">
        <v>1662</v>
      </c>
      <c r="C1495" t="s">
        <v>2418</v>
      </c>
      <c r="D1495" t="s">
        <v>1657</v>
      </c>
      <c r="E1495" t="s">
        <v>2611</v>
      </c>
      <c r="F1495" t="str">
        <f t="shared" si="23"/>
        <v>"C:\Program Files\VideoLAN\VLC\vlc.exe" "http://as-hls-ww-live.akamaized.net/pool_904/live/ww/bbc_radio_cambridge/bbc_radio_cambridge.isml/bbc_radio_cambridge-audio%3d48000.norewind.m3u8"</v>
      </c>
      <c r="M1495" t="e">
        <f>VLOOKUP(A1495,logos!$A$2:$A$10004,1,FALSE)</f>
        <v>#N/A</v>
      </c>
    </row>
    <row r="1496" spans="1:13" hidden="1" x14ac:dyDescent="0.55000000000000004">
      <c r="A1496" t="s">
        <v>126</v>
      </c>
      <c r="B1496" t="s">
        <v>1662</v>
      </c>
      <c r="C1496" t="s">
        <v>2422</v>
      </c>
      <c r="D1496" t="s">
        <v>1657</v>
      </c>
      <c r="E1496" t="s">
        <v>2611</v>
      </c>
      <c r="F1496" t="str">
        <f t="shared" si="23"/>
        <v>"C:\Program Files\VideoLAN\VLC\vlc.exe" "http://as-hls-ww-live.akamaized.net/pool_904/live/ww/bbc_radio_cornwall/bbc_radio_cornwall.isml/bbc_radio_cornwall-audio%3d48000.norewind.m3u8"</v>
      </c>
      <c r="M1496" t="str">
        <f>VLOOKUP(A1496,logos!$A$2:$A$10004,1,FALSE)</f>
        <v>BBC Radio Cornwall</v>
      </c>
    </row>
    <row r="1497" spans="1:13" hidden="1" x14ac:dyDescent="0.55000000000000004">
      <c r="A1497" t="s">
        <v>2847</v>
      </c>
      <c r="B1497" t="s">
        <v>1662</v>
      </c>
      <c r="C1497" t="s">
        <v>2426</v>
      </c>
      <c r="D1497" t="s">
        <v>1657</v>
      </c>
      <c r="E1497" t="s">
        <v>2611</v>
      </c>
      <c r="F1497" t="str">
        <f t="shared" si="23"/>
        <v>"C:\Program Files\VideoLAN\VLC\vlc.exe" "http://as-hls-ww-live.akamaized.net/pool_904/live/ww/bbc_radio_cumbria/bbc_radio_cumbria.isml/bbc_radio_cumbria-audio%3d48000.norewind.m3u8"</v>
      </c>
      <c r="M1497" t="str">
        <f>VLOOKUP(A1497,logos!$A$2:$A$10004,1,FALSE)</f>
        <v>BBC Radio Cumbria (FM)</v>
      </c>
    </row>
    <row r="1498" spans="1:13" hidden="1" x14ac:dyDescent="0.55000000000000004">
      <c r="A1498" t="s">
        <v>2848</v>
      </c>
      <c r="B1498" t="s">
        <v>1662</v>
      </c>
      <c r="C1498" t="s">
        <v>2430</v>
      </c>
      <c r="D1498" t="s">
        <v>1657</v>
      </c>
      <c r="E1498" t="s">
        <v>2611</v>
      </c>
      <c r="F1498" t="str">
        <f t="shared" si="23"/>
        <v>"C:\Program Files\VideoLAN\VLC\vlc.exe" "http://as-hls-ww-live.akamaized.net/pool_904/live/ww/bbc_radio_cymru/bbc_radio_cymru.isml/bbc_radio_cymru-audio%3d48000.norewind.m3u8"</v>
      </c>
      <c r="M1498" t="e">
        <f>VLOOKUP(A1498,logos!$A$2:$A$10004,1,FALSE)</f>
        <v>#N/A</v>
      </c>
    </row>
    <row r="1499" spans="1:13" hidden="1" x14ac:dyDescent="0.55000000000000004">
      <c r="A1499" t="s">
        <v>132</v>
      </c>
      <c r="B1499" t="s">
        <v>1662</v>
      </c>
      <c r="C1499" t="s">
        <v>2434</v>
      </c>
      <c r="D1499" t="s">
        <v>1657</v>
      </c>
      <c r="E1499" t="s">
        <v>2611</v>
      </c>
      <c r="F1499" t="str">
        <f t="shared" si="23"/>
        <v>"C:\Program Files\VideoLAN\VLC\vlc.exe" "http://as-hls-ww-live.akamaized.net/pool_904/live/ww/bbc_radio_cymru_2/bbc_radio_cymru_2.isml/bbc_radio_cymru_2-audio%3d48000.norewind.m3u8"</v>
      </c>
      <c r="M1499" t="str">
        <f>VLOOKUP(A1499,logos!$A$2:$A$10004,1,FALSE)</f>
        <v>BBC Radio Cymru 2</v>
      </c>
    </row>
    <row r="1500" spans="1:13" hidden="1" x14ac:dyDescent="0.55000000000000004">
      <c r="A1500" t="s">
        <v>2849</v>
      </c>
      <c r="B1500" t="s">
        <v>1662</v>
      </c>
      <c r="C1500" t="s">
        <v>2438</v>
      </c>
      <c r="D1500" t="s">
        <v>1657</v>
      </c>
      <c r="E1500" t="s">
        <v>2611</v>
      </c>
      <c r="F1500" t="str">
        <f t="shared" si="23"/>
        <v>"C:\Program Files\VideoLAN\VLC\vlc.exe" "http://as-hls-ww-live.akamaized.net/pool_904/live/ww/bbc_radio_derby/bbc_radio_derby.isml/bbc_radio_derby-audio%3d48000.norewind.m3u8"</v>
      </c>
      <c r="M1500" t="e">
        <f>VLOOKUP(A1500,logos!$A$2:$A$10004,1,FALSE)</f>
        <v>#N/A</v>
      </c>
    </row>
    <row r="1501" spans="1:13" hidden="1" x14ac:dyDescent="0.55000000000000004">
      <c r="A1501" t="s">
        <v>2850</v>
      </c>
      <c r="B1501" t="s">
        <v>1662</v>
      </c>
      <c r="C1501" t="s">
        <v>2442</v>
      </c>
      <c r="D1501" t="s">
        <v>1657</v>
      </c>
      <c r="E1501" t="s">
        <v>2611</v>
      </c>
      <c r="F1501" t="str">
        <f t="shared" si="23"/>
        <v>"C:\Program Files\VideoLAN\VLC\vlc.exe" "http://as-hls-ww-live.akamaized.net/pool_904/live/ww/bbc_radio_devon/bbc_radio_devon.isml/bbc_radio_devon-audio%3d48000.norewind.m3u8"</v>
      </c>
      <c r="M1501" t="e">
        <f>VLOOKUP(A1501,logos!$A$2:$A$10004,1,FALSE)</f>
        <v>#N/A</v>
      </c>
    </row>
    <row r="1502" spans="1:13" hidden="1" x14ac:dyDescent="0.55000000000000004">
      <c r="A1502" t="s">
        <v>138</v>
      </c>
      <c r="B1502" t="s">
        <v>1662</v>
      </c>
      <c r="C1502" t="s">
        <v>2446</v>
      </c>
      <c r="D1502" t="s">
        <v>1657</v>
      </c>
      <c r="E1502" t="s">
        <v>2611</v>
      </c>
      <c r="F1502" t="str">
        <f t="shared" si="23"/>
        <v>"C:\Program Files\VideoLAN\VLC\vlc.exe" "http://as-hls-ww-live.akamaized.net/pool_904/live/ww/bbc_radio_foyle/bbc_radio_foyle.isml/bbc_radio_foyle-audio%3d48000.norewind.m3u8"</v>
      </c>
      <c r="M1502" t="str">
        <f>VLOOKUP(A1502,logos!$A$2:$A$10004,1,FALSE)</f>
        <v>BBC Radio Foyle</v>
      </c>
    </row>
    <row r="1503" spans="1:13" hidden="1" x14ac:dyDescent="0.55000000000000004">
      <c r="A1503" t="s">
        <v>140</v>
      </c>
      <c r="B1503" t="s">
        <v>1662</v>
      </c>
      <c r="C1503" t="s">
        <v>2450</v>
      </c>
      <c r="D1503" t="s">
        <v>1657</v>
      </c>
      <c r="E1503" t="s">
        <v>2611</v>
      </c>
      <c r="F1503" t="str">
        <f t="shared" si="23"/>
        <v>"C:\Program Files\VideoLAN\VLC\vlc.exe" "http://as-hls-ww-live.akamaized.net/pool_904/live/ww/bbc_radio_gloucestershire/bbc_radio_gloucestershire.isml/bbc_radio_gloucestershire-audio%3d48000.norewind.m3u8"</v>
      </c>
      <c r="M1503" t="str">
        <f>VLOOKUP(A1503,logos!$A$2:$A$10004,1,FALSE)</f>
        <v>BBC Radio Gloucestershire</v>
      </c>
    </row>
    <row r="1504" spans="1:13" hidden="1" x14ac:dyDescent="0.55000000000000004">
      <c r="A1504" t="s">
        <v>2851</v>
      </c>
      <c r="B1504" t="s">
        <v>1662</v>
      </c>
      <c r="C1504" t="s">
        <v>2454</v>
      </c>
      <c r="D1504" t="s">
        <v>1657</v>
      </c>
      <c r="E1504" t="s">
        <v>2611</v>
      </c>
      <c r="F1504" t="str">
        <f t="shared" si="23"/>
        <v>"C:\Program Files\VideoLAN\VLC\vlc.exe" "http://as-hls-ww-live.akamaized.net/pool_904/live/ww/bbc_radio_guernsey/bbc_radio_guernsey.isml/bbc_radio_guernsey-audio%3d48000.norewind.m3u8"</v>
      </c>
      <c r="M1504" t="e">
        <f>VLOOKUP(A1504,logos!$A$2:$A$10004,1,FALSE)</f>
        <v>#N/A</v>
      </c>
    </row>
    <row r="1505" spans="1:13" hidden="1" x14ac:dyDescent="0.55000000000000004">
      <c r="A1505" t="s">
        <v>2852</v>
      </c>
      <c r="B1505" t="s">
        <v>1662</v>
      </c>
      <c r="C1505" t="s">
        <v>2458</v>
      </c>
      <c r="D1505" t="s">
        <v>1657</v>
      </c>
      <c r="E1505" t="s">
        <v>2611</v>
      </c>
      <c r="F1505" t="str">
        <f t="shared" si="23"/>
        <v>"C:\Program Files\VideoLAN\VLC\vlc.exe" "http://as-hls-ww-live.akamaized.net/pool_904/live/ww/bbc_radio_humberside/bbc_radio_humberside.isml/bbc_radio_humberside-audio%3d48000.norewind.m3u8"</v>
      </c>
      <c r="M1505" t="e">
        <f>VLOOKUP(A1505,logos!$A$2:$A$10004,1,FALSE)</f>
        <v>#N/A</v>
      </c>
    </row>
    <row r="1506" spans="1:13" hidden="1" x14ac:dyDescent="0.55000000000000004">
      <c r="A1506" t="s">
        <v>2853</v>
      </c>
      <c r="B1506" t="s">
        <v>1662</v>
      </c>
      <c r="C1506" t="s">
        <v>2462</v>
      </c>
      <c r="D1506" t="s">
        <v>1657</v>
      </c>
      <c r="E1506" t="s">
        <v>2611</v>
      </c>
      <c r="F1506" t="str">
        <f t="shared" si="23"/>
        <v>"C:\Program Files\VideoLAN\VLC\vlc.exe" "http://as-hls-ww-live.akamaized.net/pool_904/live/ww/bbc_radio_jersey/bbc_radio_jersey.isml/bbc_radio_jersey-audio%3d48000.norewind.m3u8"</v>
      </c>
      <c r="M1506" t="e">
        <f>VLOOKUP(A1506,logos!$A$2:$A$10004,1,FALSE)</f>
        <v>#N/A</v>
      </c>
    </row>
    <row r="1507" spans="1:13" hidden="1" x14ac:dyDescent="0.55000000000000004">
      <c r="A1507" t="s">
        <v>148</v>
      </c>
      <c r="B1507" t="s">
        <v>1662</v>
      </c>
      <c r="C1507" t="s">
        <v>2466</v>
      </c>
      <c r="D1507" t="s">
        <v>1657</v>
      </c>
      <c r="E1507" t="s">
        <v>2611</v>
      </c>
      <c r="F1507" t="str">
        <f t="shared" si="23"/>
        <v>"C:\Program Files\VideoLAN\VLC\vlc.exe" "http://as-hls-ww-live.akamaized.net/pool_904/live/ww/bbc_radio_kent/bbc_radio_kent.isml/bbc_radio_kent-audio%3d48000.norewind.m3u8"</v>
      </c>
      <c r="M1507" t="str">
        <f>VLOOKUP(A1507,logos!$A$2:$A$10004,1,FALSE)</f>
        <v>BBC Radio Kent</v>
      </c>
    </row>
    <row r="1508" spans="1:13" hidden="1" x14ac:dyDescent="0.55000000000000004">
      <c r="A1508" t="s">
        <v>150</v>
      </c>
      <c r="B1508" t="s">
        <v>1662</v>
      </c>
      <c r="C1508" t="s">
        <v>2470</v>
      </c>
      <c r="D1508" t="s">
        <v>1657</v>
      </c>
      <c r="E1508" t="s">
        <v>2611</v>
      </c>
      <c r="F1508" t="str">
        <f t="shared" si="23"/>
        <v>"C:\Program Files\VideoLAN\VLC\vlc.exe" "http://as-hls-ww-live.akamaized.net/pool_904/live/ww/bbc_radio_lancashire/bbc_radio_lancashire.isml/bbc_radio_lancashire-audio%3d48000.norewind.m3u8"</v>
      </c>
      <c r="M1508" t="str">
        <f>VLOOKUP(A1508,logos!$A$2:$A$10004,1,FALSE)</f>
        <v>BBC Radio Lancashire</v>
      </c>
    </row>
    <row r="1509" spans="1:13" hidden="1" x14ac:dyDescent="0.55000000000000004">
      <c r="A1509" t="s">
        <v>152</v>
      </c>
      <c r="B1509" t="s">
        <v>1662</v>
      </c>
      <c r="C1509" t="s">
        <v>2474</v>
      </c>
      <c r="D1509" t="s">
        <v>1657</v>
      </c>
      <c r="E1509" t="s">
        <v>2611</v>
      </c>
      <c r="F1509" t="str">
        <f t="shared" si="23"/>
        <v>"C:\Program Files\VideoLAN\VLC\vlc.exe" "http://as-hls-ww-live.akamaized.net/pool_904/live/ww/bbc_radio_leeds/bbc_radio_leeds.isml/bbc_radio_leeds-audio%3d48000.norewind.m3u8"</v>
      </c>
      <c r="M1509" t="str">
        <f>VLOOKUP(A1509,logos!$A$2:$A$10004,1,FALSE)</f>
        <v>BBC Radio Leeds</v>
      </c>
    </row>
    <row r="1510" spans="1:13" hidden="1" x14ac:dyDescent="0.55000000000000004">
      <c r="A1510" t="s">
        <v>154</v>
      </c>
      <c r="B1510" t="s">
        <v>1662</v>
      </c>
      <c r="C1510" t="s">
        <v>2478</v>
      </c>
      <c r="D1510" t="s">
        <v>1657</v>
      </c>
      <c r="E1510" t="s">
        <v>2611</v>
      </c>
      <c r="F1510" t="str">
        <f t="shared" si="23"/>
        <v>"C:\Program Files\VideoLAN\VLC\vlc.exe" "http://as-hls-ww-live.akamaized.net/pool_904/live/ww/bbc_radio_leicester/bbc_radio_leicester.isml/bbc_radio_leicester-audio%3d48000.norewind.m3u8"</v>
      </c>
      <c r="M1510" t="str">
        <f>VLOOKUP(A1510,logos!$A$2:$A$10004,1,FALSE)</f>
        <v>BBC Radio Leicester</v>
      </c>
    </row>
    <row r="1511" spans="1:13" hidden="1" x14ac:dyDescent="0.55000000000000004">
      <c r="A1511" t="s">
        <v>156</v>
      </c>
      <c r="B1511" t="s">
        <v>1662</v>
      </c>
      <c r="C1511" t="s">
        <v>2482</v>
      </c>
      <c r="D1511" t="s">
        <v>1657</v>
      </c>
      <c r="E1511" t="s">
        <v>2611</v>
      </c>
      <c r="F1511" t="str">
        <f t="shared" si="23"/>
        <v>"C:\Program Files\VideoLAN\VLC\vlc.exe" "http://as-hls-ww-live.akamaized.net/pool_904/live/ww/bbc_radio_lincolnshire/bbc_radio_lincolnshire.isml/bbc_radio_lincolnshire-audio%3d48000.norewind.m3u8"</v>
      </c>
      <c r="M1511" t="str">
        <f>VLOOKUP(A1511,logos!$A$2:$A$10004,1,FALSE)</f>
        <v>BBC Radio Lincolnshire</v>
      </c>
    </row>
    <row r="1512" spans="1:13" hidden="1" x14ac:dyDescent="0.55000000000000004">
      <c r="A1512" t="s">
        <v>2854</v>
      </c>
      <c r="B1512" t="s">
        <v>1662</v>
      </c>
      <c r="C1512" t="s">
        <v>2486</v>
      </c>
      <c r="D1512" t="s">
        <v>1657</v>
      </c>
      <c r="E1512" t="s">
        <v>2611</v>
      </c>
      <c r="F1512" t="str">
        <f t="shared" si="23"/>
        <v>"C:\Program Files\VideoLAN\VLC\vlc.exe" "http://as-hls-ww-live.akamaized.net/pool_904/live/ww/bbc_london/bbc_london.isml/bbc_london-audio%3d48000.norewind.m3u8"</v>
      </c>
      <c r="M1512" t="str">
        <f>VLOOKUP(A1512,logos!$A$2:$A$10004,1,FALSE)</f>
        <v>BBC Radio London (FM)</v>
      </c>
    </row>
    <row r="1513" spans="1:13" hidden="1" x14ac:dyDescent="0.55000000000000004">
      <c r="A1513" t="s">
        <v>2855</v>
      </c>
      <c r="B1513" t="s">
        <v>1662</v>
      </c>
      <c r="C1513" t="s">
        <v>2490</v>
      </c>
      <c r="D1513" t="s">
        <v>1657</v>
      </c>
      <c r="E1513" t="s">
        <v>2611</v>
      </c>
      <c r="F1513" t="str">
        <f t="shared" si="23"/>
        <v>"C:\Program Files\VideoLAN\VLC\vlc.exe" "http://as-hls-ww-live.akamaized.net/pool_904/live/ww/bbc_radio_manchester/bbc_radio_manchester.isml/bbc_radio_manchester-audio%3d48000.norewind.m3u8"</v>
      </c>
      <c r="M1513" t="str">
        <f>VLOOKUP(A1513,logos!$A$2:$A$10004,1,FALSE)</f>
        <v>BBC Radio Manchester (DAB)</v>
      </c>
    </row>
    <row r="1514" spans="1:13" hidden="1" x14ac:dyDescent="0.55000000000000004">
      <c r="A1514" t="s">
        <v>162</v>
      </c>
      <c r="B1514" t="s">
        <v>1662</v>
      </c>
      <c r="C1514" t="s">
        <v>2494</v>
      </c>
      <c r="D1514" t="s">
        <v>1657</v>
      </c>
      <c r="E1514" t="s">
        <v>2611</v>
      </c>
      <c r="F1514" t="str">
        <f t="shared" si="23"/>
        <v>"C:\Program Files\VideoLAN\VLC\vlc.exe" "http://as-hls-ww-live.akamaized.net/pool_904/live/ww/bbc_radio_merseyside/bbc_radio_merseyside.isml/bbc_radio_merseyside-audio%3d48000.norewind.m3u8"</v>
      </c>
      <c r="M1514" t="str">
        <f>VLOOKUP(A1514,logos!$A$2:$A$10004,1,FALSE)</f>
        <v>BBC Radio Merseyside</v>
      </c>
    </row>
    <row r="1515" spans="1:13" hidden="1" x14ac:dyDescent="0.55000000000000004">
      <c r="A1515" t="s">
        <v>1694</v>
      </c>
      <c r="B1515" t="s">
        <v>1662</v>
      </c>
      <c r="C1515" t="s">
        <v>2498</v>
      </c>
      <c r="D1515" t="s">
        <v>1657</v>
      </c>
      <c r="E1515" t="s">
        <v>2611</v>
      </c>
      <c r="F1515" t="str">
        <f t="shared" si="23"/>
        <v>"C:\Program Files\VideoLAN\VLC\vlc.exe" "http://as-hls-ww-live.akamaized.net/pool_904/live/ww/bbc_radio_nan_gaidheal/bbc_radio_nan_gaidheal.isml/bbc_radio_nan_gaidheal-audio%3d48000.norewind.m3u8"</v>
      </c>
      <c r="M1515" t="e">
        <f>VLOOKUP(A1515,logos!$A$2:$A$10004,1,FALSE)</f>
        <v>#N/A</v>
      </c>
    </row>
    <row r="1516" spans="1:13" hidden="1" x14ac:dyDescent="0.55000000000000004">
      <c r="A1516" t="s">
        <v>166</v>
      </c>
      <c r="B1516" t="s">
        <v>1662</v>
      </c>
      <c r="C1516" t="s">
        <v>2502</v>
      </c>
      <c r="D1516" t="s">
        <v>1657</v>
      </c>
      <c r="E1516" t="s">
        <v>2611</v>
      </c>
      <c r="F1516" t="str">
        <f t="shared" si="23"/>
        <v>"C:\Program Files\VideoLAN\VLC\vlc.exe" "http://as-hls-ww-live.akamaized.net/pool_904/live/ww/bbc_radio_newcastle/bbc_radio_newcastle.isml/bbc_radio_newcastle-audio%3d48000.norewind.m3u8"</v>
      </c>
      <c r="M1516" t="str">
        <f>VLOOKUP(A1516,logos!$A$2:$A$10004,1,FALSE)</f>
        <v>BBC Radio Newcastle</v>
      </c>
    </row>
    <row r="1517" spans="1:13" hidden="1" x14ac:dyDescent="0.55000000000000004">
      <c r="A1517" t="s">
        <v>168</v>
      </c>
      <c r="B1517" t="s">
        <v>1662</v>
      </c>
      <c r="C1517" t="s">
        <v>2506</v>
      </c>
      <c r="D1517" t="s">
        <v>1657</v>
      </c>
      <c r="E1517" t="s">
        <v>2611</v>
      </c>
      <c r="F1517" t="str">
        <f t="shared" si="23"/>
        <v>"C:\Program Files\VideoLAN\VLC\vlc.exe" "http://as-hls-ww-live.akamaized.net/pool_904/live/ww/bbc_radio_norfolk/bbc_radio_norfolk.isml/bbc_radio_norfolk-audio%3d48000.norewind.m3u8"</v>
      </c>
      <c r="M1517" t="str">
        <f>VLOOKUP(A1517,logos!$A$2:$A$10004,1,FALSE)</f>
        <v>BBC Radio Norfolk</v>
      </c>
    </row>
    <row r="1518" spans="1:13" hidden="1" x14ac:dyDescent="0.55000000000000004">
      <c r="A1518" t="s">
        <v>170</v>
      </c>
      <c r="B1518" t="s">
        <v>1662</v>
      </c>
      <c r="C1518" t="s">
        <v>2510</v>
      </c>
      <c r="D1518" t="s">
        <v>1657</v>
      </c>
      <c r="E1518" t="s">
        <v>2611</v>
      </c>
      <c r="F1518" t="str">
        <f t="shared" si="23"/>
        <v>"C:\Program Files\VideoLAN\VLC\vlc.exe" "http://as-hls-ww-live.akamaized.net/pool_904/live/ww/bbc_radio_northampton/bbc_radio_northampton.isml/bbc_radio_northampton-audio%3d48000.norewind.m3u8"</v>
      </c>
      <c r="M1518" t="str">
        <f>VLOOKUP(A1518,logos!$A$2:$A$10004,1,FALSE)</f>
        <v>BBC Radio Northampton</v>
      </c>
    </row>
    <row r="1519" spans="1:13" hidden="1" x14ac:dyDescent="0.55000000000000004">
      <c r="A1519" t="s">
        <v>172</v>
      </c>
      <c r="B1519" t="s">
        <v>1662</v>
      </c>
      <c r="C1519" t="s">
        <v>2514</v>
      </c>
      <c r="D1519" t="s">
        <v>1657</v>
      </c>
      <c r="E1519" t="s">
        <v>2611</v>
      </c>
      <c r="F1519" t="str">
        <f t="shared" si="23"/>
        <v>"C:\Program Files\VideoLAN\VLC\vlc.exe" "http://as-hls-ww-live.akamaized.net/pool_904/live/ww/bbc_radio_nottingham/bbc_radio_nottingham.isml/bbc_radio_nottingham-audio%3d48000.norewind.m3u8"</v>
      </c>
      <c r="M1519" t="str">
        <f>VLOOKUP(A1519,logos!$A$2:$A$10004,1,FALSE)</f>
        <v>BBC Radio Nottingham</v>
      </c>
    </row>
    <row r="1520" spans="1:13" hidden="1" x14ac:dyDescent="0.55000000000000004">
      <c r="A1520" t="s">
        <v>174</v>
      </c>
      <c r="B1520" t="s">
        <v>1662</v>
      </c>
      <c r="C1520" t="s">
        <v>2518</v>
      </c>
      <c r="D1520" t="s">
        <v>1657</v>
      </c>
      <c r="E1520" t="s">
        <v>2611</v>
      </c>
      <c r="F1520" t="str">
        <f t="shared" si="23"/>
        <v>"C:\Program Files\VideoLAN\VLC\vlc.exe" "http://as-hls-ww-live.akamaized.net/pool_904/live/ww/bbc_radio_orkney/bbc_radio_orkney.isml/bbc_radio_orkney-audio%3d48000.norewind.m3u8"</v>
      </c>
      <c r="M1520" t="str">
        <f>VLOOKUP(A1520,logos!$A$2:$A$10004,1,FALSE)</f>
        <v>BBC Radio Orkney</v>
      </c>
    </row>
    <row r="1521" spans="1:13" hidden="1" x14ac:dyDescent="0.55000000000000004">
      <c r="A1521" t="s">
        <v>176</v>
      </c>
      <c r="B1521" t="s">
        <v>1662</v>
      </c>
      <c r="C1521" t="s">
        <v>2522</v>
      </c>
      <c r="D1521" t="s">
        <v>1657</v>
      </c>
      <c r="E1521" t="s">
        <v>2611</v>
      </c>
      <c r="F1521" t="str">
        <f t="shared" si="23"/>
        <v>"C:\Program Files\VideoLAN\VLC\vlc.exe" "http://as-hls-ww-live.akamaized.net/pool_904/live/ww/bbc_radio_oxford/bbc_radio_oxford.isml/bbc_radio_oxford-audio%3d48000.norewind.m3u8"</v>
      </c>
      <c r="M1521" t="str">
        <f>VLOOKUP(A1521,logos!$A$2:$A$10004,1,FALSE)</f>
        <v>BBC Radio Oxford</v>
      </c>
    </row>
    <row r="1522" spans="1:13" hidden="1" x14ac:dyDescent="0.55000000000000004">
      <c r="A1522" t="s">
        <v>2857</v>
      </c>
      <c r="B1522" t="s">
        <v>1662</v>
      </c>
      <c r="C1522" t="s">
        <v>2530</v>
      </c>
      <c r="D1522" t="s">
        <v>1657</v>
      </c>
      <c r="E1522" t="s">
        <v>2611</v>
      </c>
      <c r="F1522" t="str">
        <f t="shared" si="23"/>
        <v>"C:\Program Files\VideoLAN\VLC\vlc.exe" "http://as-hls-ww-live.akamaized.net/pool_904/live/ww/bbc_radio_scotland_mw/bbc_radio_scotland_mw.isml/bbc_radio_scotland_mw-audio%3d48000.norewind.m3u8"</v>
      </c>
      <c r="M1522" t="e">
        <f>VLOOKUP(A1522,logos!$A$2:$A$10004,1,FALSE)</f>
        <v>#N/A</v>
      </c>
    </row>
    <row r="1523" spans="1:13" hidden="1" x14ac:dyDescent="0.55000000000000004">
      <c r="A1523" t="s">
        <v>2856</v>
      </c>
      <c r="B1523" t="s">
        <v>1662</v>
      </c>
      <c r="C1523" t="s">
        <v>2526</v>
      </c>
      <c r="D1523" t="s">
        <v>1657</v>
      </c>
      <c r="E1523" t="s">
        <v>2611</v>
      </c>
      <c r="F1523" t="str">
        <f t="shared" si="23"/>
        <v>"C:\Program Files\VideoLAN\VLC\vlc.exe" "http://as-hls-ww-live.akamaized.net/pool_904/live/ww/bbc_radio_scotland_fm/bbc_radio_scotland_fm.isml/bbc_radio_scotland_fm-audio%3d48000.norewind.m3u8"</v>
      </c>
      <c r="M1523" t="e">
        <f>VLOOKUP(A1523,logos!$A$2:$A$10004,1,FALSE)</f>
        <v>#N/A</v>
      </c>
    </row>
    <row r="1524" spans="1:13" hidden="1" x14ac:dyDescent="0.55000000000000004">
      <c r="A1524" t="s">
        <v>182</v>
      </c>
      <c r="B1524" t="s">
        <v>1662</v>
      </c>
      <c r="C1524" t="s">
        <v>2534</v>
      </c>
      <c r="D1524" t="s">
        <v>1657</v>
      </c>
      <c r="E1524" t="s">
        <v>2611</v>
      </c>
      <c r="F1524" t="str">
        <f t="shared" si="23"/>
        <v>"C:\Program Files\VideoLAN\VLC\vlc.exe" "http://as-hls-ww-live.akamaized.net/pool_904/live/ww/bbc_radio_sheffield/bbc_radio_sheffield.isml/bbc_radio_sheffield-audio%3d48000.norewind.m3u8"</v>
      </c>
      <c r="M1524" t="str">
        <f>VLOOKUP(A1524,logos!$A$2:$A$10004,1,FALSE)</f>
        <v>BBC Radio Sheffield</v>
      </c>
    </row>
    <row r="1525" spans="1:13" hidden="1" x14ac:dyDescent="0.55000000000000004">
      <c r="A1525" t="s">
        <v>184</v>
      </c>
      <c r="B1525" t="s">
        <v>1662</v>
      </c>
      <c r="C1525" t="s">
        <v>2538</v>
      </c>
      <c r="D1525" t="s">
        <v>1657</v>
      </c>
      <c r="E1525" t="s">
        <v>2611</v>
      </c>
      <c r="F1525" t="str">
        <f t="shared" si="23"/>
        <v>"C:\Program Files\VideoLAN\VLC\vlc.exe" "http://as-hls-ww-live.akamaized.net/pool_904/live/ww/bbc_radio_shetland/bbc_radio_shetland.isml/bbc_radio_shetland-audio%3d48000.norewind.m3u8"</v>
      </c>
      <c r="M1525" t="str">
        <f>VLOOKUP(A1525,logos!$A$2:$A$10004,1,FALSE)</f>
        <v>BBC Radio Shetland</v>
      </c>
    </row>
    <row r="1526" spans="1:13" hidden="1" x14ac:dyDescent="0.55000000000000004">
      <c r="A1526" t="s">
        <v>186</v>
      </c>
      <c r="B1526" t="s">
        <v>1662</v>
      </c>
      <c r="C1526" t="s">
        <v>2542</v>
      </c>
      <c r="D1526" t="s">
        <v>1657</v>
      </c>
      <c r="E1526" t="s">
        <v>2611</v>
      </c>
      <c r="F1526" t="str">
        <f t="shared" si="23"/>
        <v>"C:\Program Files\VideoLAN\VLC\vlc.exe" "http://as-hls-ww-live.akamaized.net/pool_904/live/ww/bbc_radio_shropshire/bbc_radio_shropshire.isml/bbc_radio_shropshire-audio%3d48000.norewind.m3u8"</v>
      </c>
      <c r="M1526" t="str">
        <f>VLOOKUP(A1526,logos!$A$2:$A$10004,1,FALSE)</f>
        <v>BBC Radio Shropshire</v>
      </c>
    </row>
    <row r="1527" spans="1:13" hidden="1" x14ac:dyDescent="0.55000000000000004">
      <c r="A1527" t="s">
        <v>2858</v>
      </c>
      <c r="B1527" t="s">
        <v>1662</v>
      </c>
      <c r="C1527" t="s">
        <v>2546</v>
      </c>
      <c r="D1527" t="s">
        <v>1657</v>
      </c>
      <c r="E1527" t="s">
        <v>2611</v>
      </c>
      <c r="F1527" t="str">
        <f t="shared" si="23"/>
        <v>"C:\Program Files\VideoLAN\VLC\vlc.exe" "http://as-hls-ww-live.akamaized.net/pool_904/live/ww/bbc_radio_solent/bbc_radio_solent.isml/bbc_radio_solent-audio%3d48000.norewind.m3u8"</v>
      </c>
      <c r="M1527" t="e">
        <f>VLOOKUP(A1527,logos!$A$2:$A$10004,1,FALSE)</f>
        <v>#N/A</v>
      </c>
    </row>
    <row r="1528" spans="1:13" hidden="1" x14ac:dyDescent="0.55000000000000004">
      <c r="A1528" t="s">
        <v>2859</v>
      </c>
      <c r="B1528" t="s">
        <v>1662</v>
      </c>
      <c r="C1528" t="s">
        <v>2550</v>
      </c>
      <c r="D1528" t="s">
        <v>1657</v>
      </c>
      <c r="E1528" t="s">
        <v>2611</v>
      </c>
      <c r="F1528" t="str">
        <f t="shared" si="23"/>
        <v>"C:\Program Files\VideoLAN\VLC\vlc.exe" "http://as-hls-ww-live.akamaized.net/pool_904/live/ww/bbc_radio_solent_west_dorset/bbc_radio_solent_west_dorset.isml/bbc_radio_solent_west_dorset-audio%3d48000.norewind.m3u8"</v>
      </c>
      <c r="M1528" t="e">
        <f>VLOOKUP(A1528,logos!$A$2:$A$10004,1,FALSE)</f>
        <v>#N/A</v>
      </c>
    </row>
    <row r="1529" spans="1:13" hidden="1" x14ac:dyDescent="0.55000000000000004">
      <c r="A1529" t="s">
        <v>192</v>
      </c>
      <c r="B1529" t="s">
        <v>1662</v>
      </c>
      <c r="C1529" t="s">
        <v>2554</v>
      </c>
      <c r="D1529" t="s">
        <v>1657</v>
      </c>
      <c r="E1529" t="s">
        <v>2611</v>
      </c>
      <c r="F1529" t="str">
        <f t="shared" si="23"/>
        <v>"C:\Program Files\VideoLAN\VLC\vlc.exe" "http://as-hls-ww-live.akamaized.net/pool_904/live/ww/bbc_radio_somerset_sound/bbc_radio_somerset_sound.isml/bbc_radio_somerset_sound-audio%3d48000.norewind.m3u8"</v>
      </c>
      <c r="M1529" t="str">
        <f>VLOOKUP(A1529,logos!$A$2:$A$10004,1,FALSE)</f>
        <v>BBC Radio Somerset</v>
      </c>
    </row>
    <row r="1530" spans="1:13" hidden="1" x14ac:dyDescent="0.55000000000000004">
      <c r="A1530" t="s">
        <v>194</v>
      </c>
      <c r="B1530" t="s">
        <v>1662</v>
      </c>
      <c r="C1530" t="s">
        <v>2558</v>
      </c>
      <c r="D1530" t="s">
        <v>1657</v>
      </c>
      <c r="E1530" t="s">
        <v>2611</v>
      </c>
      <c r="F1530" t="str">
        <f t="shared" si="23"/>
        <v>"C:\Program Files\VideoLAN\VLC\vlc.exe" "http://as-hls-ww-live.akamaized.net/pool_904/live/ww/bbc_radio_stoke/bbc_radio_stoke.isml/bbc_radio_stoke-audio%3d48000.norewind.m3u8"</v>
      </c>
      <c r="M1530" t="str">
        <f>VLOOKUP(A1530,logos!$A$2:$A$10004,1,FALSE)</f>
        <v>BBC Radio Stoke</v>
      </c>
    </row>
    <row r="1531" spans="1:13" hidden="1" x14ac:dyDescent="0.55000000000000004">
      <c r="A1531" t="s">
        <v>196</v>
      </c>
      <c r="B1531" t="s">
        <v>1662</v>
      </c>
      <c r="C1531" t="s">
        <v>2562</v>
      </c>
      <c r="D1531" t="s">
        <v>1657</v>
      </c>
      <c r="E1531" t="s">
        <v>2611</v>
      </c>
      <c r="F1531" t="str">
        <f t="shared" si="23"/>
        <v>"C:\Program Files\VideoLAN\VLC\vlc.exe" "http://as-hls-ww-live.akamaized.net/pool_904/live/ww/bbc_radio_suffolk/bbc_radio_suffolk.isml/bbc_radio_suffolk-audio%3d48000.norewind.m3u8"</v>
      </c>
      <c r="M1531" t="str">
        <f>VLOOKUP(A1531,logos!$A$2:$A$10004,1,FALSE)</f>
        <v>BBC Radio Suffolk</v>
      </c>
    </row>
    <row r="1532" spans="1:13" hidden="1" x14ac:dyDescent="0.55000000000000004">
      <c r="A1532" t="s">
        <v>198</v>
      </c>
      <c r="B1532" t="s">
        <v>1662</v>
      </c>
      <c r="C1532" t="s">
        <v>2566</v>
      </c>
      <c r="D1532" t="s">
        <v>1657</v>
      </c>
      <c r="E1532" t="s">
        <v>2611</v>
      </c>
      <c r="F1532" t="str">
        <f t="shared" si="23"/>
        <v>"C:\Program Files\VideoLAN\VLC\vlc.exe" "http://as-hls-ww-live.akamaized.net/pool_904/live/ww/bbc_radio_surrey/bbc_radio_surrey.isml/bbc_radio_surrey-audio%3d48000.norewind.m3u8"</v>
      </c>
      <c r="M1532" t="str">
        <f>VLOOKUP(A1532,logos!$A$2:$A$10004,1,FALSE)</f>
        <v>BBC Radio Surrey</v>
      </c>
    </row>
    <row r="1533" spans="1:13" hidden="1" x14ac:dyDescent="0.55000000000000004">
      <c r="A1533" t="s">
        <v>200</v>
      </c>
      <c r="B1533" t="s">
        <v>1662</v>
      </c>
      <c r="C1533" t="s">
        <v>2570</v>
      </c>
      <c r="D1533" t="s">
        <v>1657</v>
      </c>
      <c r="E1533" t="s">
        <v>2611</v>
      </c>
      <c r="F1533" t="str">
        <f t="shared" si="23"/>
        <v>"C:\Program Files\VideoLAN\VLC\vlc.exe" "http://as-hls-ww-live.akamaized.net/pool_904/live/ww/bbc_radio_sussex/bbc_radio_sussex.isml/bbc_radio_sussex-audio%3d48000.norewind.m3u8"</v>
      </c>
      <c r="M1533" t="str">
        <f>VLOOKUP(A1533,logos!$A$2:$A$10004,1,FALSE)</f>
        <v>BBC Radio Sussex</v>
      </c>
    </row>
    <row r="1534" spans="1:13" hidden="1" x14ac:dyDescent="0.55000000000000004">
      <c r="A1534" t="s">
        <v>202</v>
      </c>
      <c r="B1534" t="s">
        <v>1662</v>
      </c>
      <c r="C1534" t="s">
        <v>2574</v>
      </c>
      <c r="D1534" t="s">
        <v>1657</v>
      </c>
      <c r="E1534" t="s">
        <v>2611</v>
      </c>
      <c r="F1534" t="str">
        <f t="shared" si="23"/>
        <v>"C:\Program Files\VideoLAN\VLC\vlc.exe" "http://as-hls-ww-live.akamaized.net/pool_904/live/ww/bbc_tees/bbc_tees.isml/bbc_tees-audio%3d48000.norewind.m3u8"</v>
      </c>
      <c r="M1534" t="str">
        <f>VLOOKUP(A1534,logos!$A$2:$A$10004,1,FALSE)</f>
        <v>BBC Radio Tees</v>
      </c>
    </row>
    <row r="1535" spans="1:13" hidden="1" x14ac:dyDescent="0.55000000000000004">
      <c r="A1535" t="s">
        <v>204</v>
      </c>
      <c r="B1535" t="s">
        <v>1662</v>
      </c>
      <c r="C1535" t="s">
        <v>2578</v>
      </c>
      <c r="D1535" t="s">
        <v>1657</v>
      </c>
      <c r="E1535" t="s">
        <v>2611</v>
      </c>
      <c r="F1535" t="str">
        <f t="shared" si="23"/>
        <v>"C:\Program Files\VideoLAN\VLC\vlc.exe" "http://as-hls-ww-live.akamaized.net/pool_904/live/ww/bbc_radio_ulster/bbc_radio_ulster.isml/bbc_radio_ulster-audio%3d48000.norewind.m3u8"</v>
      </c>
      <c r="M1535" t="str">
        <f>VLOOKUP(A1535,logos!$A$2:$A$10004,1,FALSE)</f>
        <v>BBC Radio Ulster</v>
      </c>
    </row>
    <row r="1536" spans="1:13" hidden="1" x14ac:dyDescent="0.55000000000000004">
      <c r="A1536" t="s">
        <v>2902</v>
      </c>
      <c r="B1536" t="s">
        <v>1662</v>
      </c>
      <c r="C1536" t="s">
        <v>2586</v>
      </c>
      <c r="D1536" t="s">
        <v>1657</v>
      </c>
      <c r="E1536" t="s">
        <v>2611</v>
      </c>
      <c r="F1536" t="str">
        <f t="shared" si="23"/>
        <v>"C:\Program Files\VideoLAN\VLC\vlc.exe" "http://as-hls-ww-live.akamaized.net/pool_904/live/ww/bbc_radio_wales_am/bbc_radio_wales_am.isml/bbc_radio_wales_am-audio%3d48000.norewind.m3u8"</v>
      </c>
      <c r="M1536" t="e">
        <f>VLOOKUP(A1536,logos!$A$2:$A$10004,1,FALSE)</f>
        <v>#N/A</v>
      </c>
    </row>
    <row r="1537" spans="1:13" hidden="1" x14ac:dyDescent="0.55000000000000004">
      <c r="A1537" t="s">
        <v>2860</v>
      </c>
      <c r="B1537" t="s">
        <v>1662</v>
      </c>
      <c r="C1537" t="s">
        <v>2582</v>
      </c>
      <c r="D1537" t="s">
        <v>1657</v>
      </c>
      <c r="E1537" t="s">
        <v>2611</v>
      </c>
      <c r="F1537" t="str">
        <f t="shared" si="23"/>
        <v>"C:\Program Files\VideoLAN\VLC\vlc.exe" "http://as-hls-ww-live.akamaized.net/pool_904/live/ww/bbc_radio_wales_fm/bbc_radio_wales_fm.isml/bbc_radio_wales_fm-audio%3d48000.norewind.m3u8"</v>
      </c>
      <c r="M1537" t="e">
        <f>VLOOKUP(A1537,logos!$A$2:$A$10004,1,FALSE)</f>
        <v>#N/A</v>
      </c>
    </row>
    <row r="1538" spans="1:13" hidden="1" x14ac:dyDescent="0.55000000000000004">
      <c r="A1538" t="s">
        <v>2861</v>
      </c>
      <c r="B1538" t="s">
        <v>1662</v>
      </c>
      <c r="C1538" t="s">
        <v>2590</v>
      </c>
      <c r="D1538" t="s">
        <v>1657</v>
      </c>
      <c r="E1538" t="s">
        <v>2611</v>
      </c>
      <c r="F1538" t="str">
        <f t="shared" si="23"/>
        <v>"C:\Program Files\VideoLAN\VLC\vlc.exe" "http://as-hls-ww-live.akamaized.net/pool_904/live/ww/bbc_radio_wiltshire/bbc_radio_wiltshire.isml/bbc_radio_wiltshire-audio%3d48000.norewind.m3u8"</v>
      </c>
      <c r="M1538" t="e">
        <f>VLOOKUP(A1538,logos!$A$2:$A$10004,1,FALSE)</f>
        <v>#N/A</v>
      </c>
    </row>
    <row r="1539" spans="1:13" hidden="1" x14ac:dyDescent="0.55000000000000004">
      <c r="A1539" t="s">
        <v>210</v>
      </c>
      <c r="B1539" t="s">
        <v>1662</v>
      </c>
      <c r="C1539" t="s">
        <v>2594</v>
      </c>
      <c r="D1539" t="s">
        <v>1657</v>
      </c>
      <c r="E1539" t="s">
        <v>2611</v>
      </c>
      <c r="F1539" t="str">
        <f t="shared" ref="F1539:F1602" si="24">"""C:\Program Files\VideoLAN\VLC\vlc.exe"" """&amp;C1539&amp;""""</f>
        <v>"C:\Program Files\VideoLAN\VLC\vlc.exe" "http://as-hls-ww-live.akamaized.net/pool_904/live/ww/bbc_wm/bbc_wm.isml/bbc_wm-audio%3d48000.norewind.m3u8"</v>
      </c>
      <c r="M1539" t="str">
        <f>VLOOKUP(A1539,logos!$A$2:$A$10004,1,FALSE)</f>
        <v>BBC Radio WM</v>
      </c>
    </row>
    <row r="1540" spans="1:13" hidden="1" x14ac:dyDescent="0.55000000000000004">
      <c r="A1540" t="s">
        <v>2862</v>
      </c>
      <c r="B1540" t="s">
        <v>1662</v>
      </c>
      <c r="C1540" t="s">
        <v>2598</v>
      </c>
      <c r="D1540" t="s">
        <v>1657</v>
      </c>
      <c r="E1540" t="s">
        <v>2611</v>
      </c>
      <c r="F1540" t="str">
        <f t="shared" si="24"/>
        <v>"C:\Program Files\VideoLAN\VLC\vlc.exe" "http://as-hls-ww-live.akamaized.net/pool_904/live/ww/bbc_radio_york/bbc_radio_york.isml/bbc_radio_york-audio%3d48000.norewind.m3u8"</v>
      </c>
      <c r="M1540" t="e">
        <f>VLOOKUP(A1540,logos!$A$2:$A$10004,1,FALSE)</f>
        <v>#N/A</v>
      </c>
    </row>
    <row r="1541" spans="1:13" hidden="1" x14ac:dyDescent="0.55000000000000004">
      <c r="A1541" t="s">
        <v>214</v>
      </c>
      <c r="B1541" t="s">
        <v>1662</v>
      </c>
      <c r="C1541" t="s">
        <v>2602</v>
      </c>
      <c r="D1541" t="s">
        <v>1657</v>
      </c>
      <c r="E1541" t="s">
        <v>2611</v>
      </c>
      <c r="F1541" t="str">
        <f t="shared" si="24"/>
        <v>"C:\Program Files\VideoLAN\VLC\vlc.exe" "http://as-hls-ww-live.akamaized.net/pool_904/live/ww/bbc_three_counties_radio/bbc_three_counties_radio.isml/bbc_three_counties_radio-audio%3d48000.norewind.m3u8"</v>
      </c>
      <c r="M1541" t="str">
        <f>VLOOKUP(A1541,logos!$A$2:$A$10004,1,FALSE)</f>
        <v>BBC Three Counties Radio</v>
      </c>
    </row>
    <row r="1542" spans="1:13" hidden="1" x14ac:dyDescent="0.55000000000000004">
      <c r="A1542" t="s">
        <v>216</v>
      </c>
      <c r="B1542" t="s">
        <v>1662</v>
      </c>
      <c r="C1542" t="s">
        <v>2606</v>
      </c>
      <c r="D1542" t="s">
        <v>1657</v>
      </c>
      <c r="E1542" t="s">
        <v>2611</v>
      </c>
      <c r="F1542" t="str">
        <f t="shared" si="24"/>
        <v>"C:\Program Files\VideoLAN\VLC\vlc.exe" "http://as-hls-ww-live.akamaized.net/pool_904/live/ww/bbc_world_service/bbc_world_service.isml/bbc_world_service-audio%3d48000.norewind.m3u8"</v>
      </c>
      <c r="M1542" t="str">
        <f>VLOOKUP(A1542,logos!$A$2:$A$10004,1,FALSE)</f>
        <v>BBC World Service</v>
      </c>
    </row>
    <row r="1543" spans="1:13" hidden="1" x14ac:dyDescent="0.55000000000000004">
      <c r="A1543" t="s">
        <v>90</v>
      </c>
      <c r="B1543" t="s">
        <v>1682</v>
      </c>
      <c r="C1543" t="s">
        <v>2355</v>
      </c>
      <c r="D1543" t="s">
        <v>1657</v>
      </c>
      <c r="E1543" t="s">
        <v>2611</v>
      </c>
      <c r="F1543" t="str">
        <f t="shared" si="24"/>
        <v>"C:\Program Files\VideoLAN\VLC\vlc.exe" "http://as-hls-ww-live.akamaized.net/pool_904/live/ww/bbc_asian_network/bbc_asian_network.isml/bbc_asian_network-audio%3d96000.norewind.m3u8"</v>
      </c>
      <c r="M1543" t="str">
        <f>VLOOKUP(A1543,logos!$A$2:$A$10004,1,FALSE)</f>
        <v>BBC Asian Network</v>
      </c>
    </row>
    <row r="1544" spans="1:13" hidden="1" x14ac:dyDescent="0.55000000000000004">
      <c r="A1544" t="s">
        <v>93</v>
      </c>
      <c r="B1544" t="s">
        <v>1682</v>
      </c>
      <c r="C1544" t="s">
        <v>2359</v>
      </c>
      <c r="D1544" t="s">
        <v>1657</v>
      </c>
      <c r="E1544" t="s">
        <v>2611</v>
      </c>
      <c r="F1544" t="str">
        <f t="shared" si="24"/>
        <v>"C:\Program Files\VideoLAN\VLC\vlc.exe" "http://as-hls-ww-live.akamaized.net/pool_904/live/ww/bbc_radio_coventry_warwickshire/bbc_radio_coventry_warwickshire.isml/bbc_radio_coventry_warwickshire-audio%3d96000.norewind.m3u8"</v>
      </c>
      <c r="M1544" t="str">
        <f>VLOOKUP(A1544,logos!$A$2:$A$10004,1,FALSE)</f>
        <v>BBC CWR</v>
      </c>
    </row>
    <row r="1545" spans="1:13" hidden="1" x14ac:dyDescent="0.55000000000000004">
      <c r="A1545" t="s">
        <v>95</v>
      </c>
      <c r="B1545" t="s">
        <v>1682</v>
      </c>
      <c r="C1545" t="s">
        <v>2363</v>
      </c>
      <c r="D1545" t="s">
        <v>1657</v>
      </c>
      <c r="E1545" t="s">
        <v>2611</v>
      </c>
      <c r="F1545" t="str">
        <f t="shared" si="24"/>
        <v>"C:\Program Files\VideoLAN\VLC\vlc.exe" "http://as-hls-ww-live.akamaized.net/pool_904/live/ww/bbc_radio_essex/bbc_radio_essex.isml/bbc_radio_essex-audio%3d96000.norewind.m3u8"</v>
      </c>
      <c r="M1545" t="str">
        <f>VLOOKUP(A1545,logos!$A$2:$A$10004,1,FALSE)</f>
        <v>BBC Essex</v>
      </c>
    </row>
    <row r="1546" spans="1:13" hidden="1" x14ac:dyDescent="0.55000000000000004">
      <c r="A1546" t="s">
        <v>97</v>
      </c>
      <c r="B1546" t="s">
        <v>1682</v>
      </c>
      <c r="C1546" t="s">
        <v>2367</v>
      </c>
      <c r="D1546" t="s">
        <v>1657</v>
      </c>
      <c r="E1546" t="s">
        <v>2611</v>
      </c>
      <c r="F1546" t="str">
        <f t="shared" si="24"/>
        <v>"C:\Program Files\VideoLAN\VLC\vlc.exe" "http://as-hls-ww-live.akamaized.net/pool_904/live/ww/bbc_radio_hereford_worcester/bbc_radio_hereford_worcester.isml/bbc_radio_hereford_worcester-audio%3d96000.norewind.m3u8"</v>
      </c>
      <c r="M1546" t="str">
        <f>VLOOKUP(A1546,logos!$A$2:$A$10004,1,FALSE)</f>
        <v>BBC Hereford &amp; Worcester</v>
      </c>
    </row>
    <row r="1547" spans="1:13" hidden="1" x14ac:dyDescent="0.55000000000000004">
      <c r="A1547" t="s">
        <v>2843</v>
      </c>
      <c r="B1547" t="s">
        <v>1682</v>
      </c>
      <c r="C1547" t="s">
        <v>2371</v>
      </c>
      <c r="D1547" t="s">
        <v>1657</v>
      </c>
      <c r="E1547" t="s">
        <v>2611</v>
      </c>
      <c r="F1547" t="str">
        <f t="shared" si="24"/>
        <v>"C:\Program Files\VideoLAN\VLC\vlc.exe" "http://as-hls-ww-live.akamaized.net/pool_904/live/ww/bbc_radio_one/bbc_radio_one.isml/bbc_radio_one-audio%3d96000.norewind.m3u8"</v>
      </c>
      <c r="M1547" t="str">
        <f>VLOOKUP(A1547,logos!$A$2:$A$10004,1,FALSE)</f>
        <v>BBC Radio 1 (England)</v>
      </c>
    </row>
    <row r="1548" spans="1:13" hidden="1" x14ac:dyDescent="0.55000000000000004">
      <c r="A1548" t="s">
        <v>101</v>
      </c>
      <c r="B1548" t="s">
        <v>1682</v>
      </c>
      <c r="C1548" t="s">
        <v>2375</v>
      </c>
      <c r="D1548" t="s">
        <v>1657</v>
      </c>
      <c r="E1548" t="s">
        <v>2611</v>
      </c>
      <c r="F1548" t="str">
        <f t="shared" si="24"/>
        <v>"C:\Program Files\VideoLAN\VLC\vlc.exe" "http://as-hls-ww-live.akamaized.net/pool_904/live/ww/bbc_1xtra/bbc_1xtra.isml/bbc_1xtra-audio%3d96000.norewind.m3u8"</v>
      </c>
      <c r="M1548" t="str">
        <f>VLOOKUP(A1548,logos!$A$2:$A$10004,1,FALSE)</f>
        <v>BBC Radio 1Xtra</v>
      </c>
    </row>
    <row r="1549" spans="1:13" hidden="1" x14ac:dyDescent="0.55000000000000004">
      <c r="A1549" t="s">
        <v>103</v>
      </c>
      <c r="B1549" t="s">
        <v>1682</v>
      </c>
      <c r="C1549" t="s">
        <v>2379</v>
      </c>
      <c r="D1549" t="s">
        <v>1657</v>
      </c>
      <c r="E1549" t="s">
        <v>2611</v>
      </c>
      <c r="F1549" t="str">
        <f t="shared" si="24"/>
        <v>"C:\Program Files\VideoLAN\VLC\vlc.exe" "http://as-hls-ww-live.akamaized.net/pool_904/live/ww/bbc_radio_two/bbc_radio_two.isml/bbc_radio_two-audio%3d96000.norewind.m3u8"</v>
      </c>
      <c r="M1549" t="str">
        <f>VLOOKUP(A1549,logos!$A$2:$A$10004,1,FALSE)</f>
        <v>BBC Radio 2</v>
      </c>
    </row>
    <row r="1550" spans="1:13" hidden="1" x14ac:dyDescent="0.55000000000000004">
      <c r="A1550" t="s">
        <v>105</v>
      </c>
      <c r="B1550" t="s">
        <v>1682</v>
      </c>
      <c r="C1550" t="s">
        <v>2383</v>
      </c>
      <c r="D1550" t="s">
        <v>1657</v>
      </c>
      <c r="E1550" t="s">
        <v>2611</v>
      </c>
      <c r="F1550" t="str">
        <f t="shared" si="24"/>
        <v>"C:\Program Files\VideoLAN\VLC\vlc.exe" "http://as-hls-ww-live.akamaized.net/pool_904/live/ww/bbc_radio_three/bbc_radio_three.isml/bbc_radio_three-audio%3d96000.norewind.m3u8"</v>
      </c>
      <c r="M1550" t="str">
        <f>VLOOKUP(A1550,logos!$A$2:$A$10004,1,FALSE)</f>
        <v>BBC Radio 3</v>
      </c>
    </row>
    <row r="1551" spans="1:13" hidden="1" x14ac:dyDescent="0.55000000000000004">
      <c r="A1551" t="s">
        <v>2844</v>
      </c>
      <c r="B1551" t="s">
        <v>1682</v>
      </c>
      <c r="C1551" t="s">
        <v>2387</v>
      </c>
      <c r="D1551" t="s">
        <v>1657</v>
      </c>
      <c r="E1551" t="s">
        <v>2611</v>
      </c>
      <c r="F1551" t="str">
        <f t="shared" si="24"/>
        <v>"C:\Program Files\VideoLAN\VLC\vlc.exe" "http://as-hls-ww-live.akamaized.net/pool_904/live/ww/bbc_radio_fourfm/bbc_radio_fourfm.isml/bbc_radio_fourfm-audio%3d96000.norewind.m3u8"</v>
      </c>
      <c r="M1551" t="str">
        <f>VLOOKUP(A1551,logos!$A$2:$A$10004,1,FALSE)</f>
        <v>BBC Radio 4 (DAB)</v>
      </c>
    </row>
    <row r="1552" spans="1:13" hidden="1" x14ac:dyDescent="0.55000000000000004">
      <c r="A1552" t="s">
        <v>2845</v>
      </c>
      <c r="B1552" t="s">
        <v>1682</v>
      </c>
      <c r="C1552" t="s">
        <v>2391</v>
      </c>
      <c r="D1552" t="s">
        <v>1657</v>
      </c>
      <c r="E1552" t="s">
        <v>2611</v>
      </c>
      <c r="F1552" t="str">
        <f t="shared" si="24"/>
        <v>"C:\Program Files\VideoLAN\VLC\vlc.exe" "http://as-hls-ww-live.akamaized.net/pool_904/live/ww/bbc_radio_fourlw/bbc_radio_fourlw.isml/bbc_radio_fourlw-audio%3d96000.norewind.m3u8"</v>
      </c>
      <c r="M1552" t="str">
        <f>VLOOKUP(A1552,logos!$A$2:$A$10004,1,FALSE)</f>
        <v>BBC Radio 4 (LW)</v>
      </c>
    </row>
    <row r="1553" spans="1:13" hidden="1" x14ac:dyDescent="0.55000000000000004">
      <c r="A1553" t="s">
        <v>111</v>
      </c>
      <c r="B1553" t="s">
        <v>1682</v>
      </c>
      <c r="C1553" t="s">
        <v>2395</v>
      </c>
      <c r="D1553" t="s">
        <v>1657</v>
      </c>
      <c r="E1553" t="s">
        <v>2611</v>
      </c>
      <c r="F1553" t="str">
        <f t="shared" si="24"/>
        <v>"C:\Program Files\VideoLAN\VLC\vlc.exe" "http://as-hls-ww-live.akamaized.net/pool_904/live/ww/bbc_radio_four_extra/bbc_radio_four_extra.isml/bbc_radio_four_extra-audio%3d96000.norewind.m3u8"</v>
      </c>
      <c r="M1553" t="str">
        <f>VLOOKUP(A1553,logos!$A$2:$A$10004,1,FALSE)</f>
        <v>BBC Radio 4 Extra</v>
      </c>
    </row>
    <row r="1554" spans="1:13" hidden="1" x14ac:dyDescent="0.55000000000000004">
      <c r="A1554" t="s">
        <v>113</v>
      </c>
      <c r="B1554" t="s">
        <v>1682</v>
      </c>
      <c r="C1554" t="s">
        <v>2399</v>
      </c>
      <c r="D1554" t="s">
        <v>1657</v>
      </c>
      <c r="E1554" t="s">
        <v>2611</v>
      </c>
      <c r="F1554" t="str">
        <f t="shared" si="24"/>
        <v>"C:\Program Files\VideoLAN\VLC\vlc.exe" "http://as-hls-ww-live.akamaized.net/pool_904/live/ww/bbc_radio_five_live/bbc_radio_five_live.isml/bbc_radio_five_live-audio%3d96000.norewind.m3u8"</v>
      </c>
      <c r="M1554" t="str">
        <f>VLOOKUP(A1554,logos!$A$2:$A$10004,1,FALSE)</f>
        <v>BBC Radio 5 Live</v>
      </c>
    </row>
    <row r="1555" spans="1:13" hidden="1" x14ac:dyDescent="0.55000000000000004">
      <c r="A1555" t="s">
        <v>116</v>
      </c>
      <c r="B1555" t="s">
        <v>1682</v>
      </c>
      <c r="C1555" t="s">
        <v>2403</v>
      </c>
      <c r="D1555" t="s">
        <v>1657</v>
      </c>
      <c r="E1555" t="s">
        <v>2611</v>
      </c>
      <c r="F1555" t="str">
        <f t="shared" si="24"/>
        <v>"C:\Program Files\VideoLAN\VLC\vlc.exe" "http://as-hls-uk-live.akamaized.net/pool_904/live/uk/bbc_radio_five_live_sports_extra/bbc_radio_five_live_sports_extra.isml/bbc_radio_five_live_sports_extra-audio%3d96000.norewind.m3u8"</v>
      </c>
      <c r="M1555" t="str">
        <f>VLOOKUP(A1555,logos!$A$2:$A$10004,1,FALSE)</f>
        <v>BBC Radio 5 Sports Extra</v>
      </c>
    </row>
    <row r="1556" spans="1:13" hidden="1" x14ac:dyDescent="0.55000000000000004">
      <c r="A1556" t="s">
        <v>118</v>
      </c>
      <c r="B1556" t="s">
        <v>1682</v>
      </c>
      <c r="C1556" t="s">
        <v>2407</v>
      </c>
      <c r="D1556" t="s">
        <v>1657</v>
      </c>
      <c r="E1556" t="s">
        <v>2611</v>
      </c>
      <c r="F1556" t="str">
        <f t="shared" si="24"/>
        <v>"C:\Program Files\VideoLAN\VLC\vlc.exe" "http://as-hls-ww-live.akamaized.net/pool_904/live/ww/bbc_6music/bbc_6music.isml/bbc_6music-audio%3d96000.norewind.m3u8"</v>
      </c>
      <c r="M1556" t="str">
        <f>VLOOKUP(A1556,logos!$A$2:$A$10004,1,FALSE)</f>
        <v>BBC Radio 6 Music</v>
      </c>
    </row>
    <row r="1557" spans="1:13" hidden="1" x14ac:dyDescent="0.55000000000000004">
      <c r="A1557" t="s">
        <v>120</v>
      </c>
      <c r="B1557" t="s">
        <v>1682</v>
      </c>
      <c r="C1557" t="s">
        <v>2411</v>
      </c>
      <c r="D1557" t="s">
        <v>1657</v>
      </c>
      <c r="E1557" t="s">
        <v>2611</v>
      </c>
      <c r="F1557" t="str">
        <f t="shared" si="24"/>
        <v>"C:\Program Files\VideoLAN\VLC\vlc.exe" "http://as-hls-ww-live.akamaized.net/pool_904/live/ww/bbc_radio_berkshire/bbc_radio_berkshire.isml/bbc_radio_berkshire-audio%3d96000.norewind.m3u8"</v>
      </c>
      <c r="M1557" t="str">
        <f>VLOOKUP(A1557,logos!$A$2:$A$10004,1,FALSE)</f>
        <v>BBC Radio Berkshire</v>
      </c>
    </row>
    <row r="1558" spans="1:13" hidden="1" x14ac:dyDescent="0.55000000000000004">
      <c r="A1558" t="s">
        <v>122</v>
      </c>
      <c r="B1558" t="s">
        <v>1682</v>
      </c>
      <c r="C1558" t="s">
        <v>2415</v>
      </c>
      <c r="D1558" t="s">
        <v>1657</v>
      </c>
      <c r="E1558" t="s">
        <v>2611</v>
      </c>
      <c r="F1558" t="str">
        <f t="shared" si="24"/>
        <v>"C:\Program Files\VideoLAN\VLC\vlc.exe" "http://as-hls-ww-live.akamaized.net/pool_904/live/ww/bbc_radio_bristol/bbc_radio_bristol.isml/bbc_radio_bristol-audio%3d96000.norewind.m3u8"</v>
      </c>
      <c r="M1558" t="str">
        <f>VLOOKUP(A1558,logos!$A$2:$A$10004,1,FALSE)</f>
        <v>BBC Radio Bristol</v>
      </c>
    </row>
    <row r="1559" spans="1:13" hidden="1" x14ac:dyDescent="0.55000000000000004">
      <c r="A1559" t="s">
        <v>2846</v>
      </c>
      <c r="B1559" t="s">
        <v>1682</v>
      </c>
      <c r="C1559" t="s">
        <v>2419</v>
      </c>
      <c r="D1559" t="s">
        <v>1657</v>
      </c>
      <c r="E1559" t="s">
        <v>2611</v>
      </c>
      <c r="F1559" t="str">
        <f t="shared" si="24"/>
        <v>"C:\Program Files\VideoLAN\VLC\vlc.exe" "http://as-hls-ww-live.akamaized.net/pool_904/live/ww/bbc_radio_cambridge/bbc_radio_cambridge.isml/bbc_radio_cambridge-audio%3d96000.norewind.m3u8"</v>
      </c>
      <c r="M1559" t="e">
        <f>VLOOKUP(A1559,logos!$A$2:$A$10004,1,FALSE)</f>
        <v>#N/A</v>
      </c>
    </row>
    <row r="1560" spans="1:13" hidden="1" x14ac:dyDescent="0.55000000000000004">
      <c r="A1560" t="s">
        <v>126</v>
      </c>
      <c r="B1560" t="s">
        <v>1682</v>
      </c>
      <c r="C1560" t="s">
        <v>2423</v>
      </c>
      <c r="D1560" t="s">
        <v>1657</v>
      </c>
      <c r="E1560" t="s">
        <v>2611</v>
      </c>
      <c r="F1560" t="str">
        <f t="shared" si="24"/>
        <v>"C:\Program Files\VideoLAN\VLC\vlc.exe" "http://as-hls-ww-live.akamaized.net/pool_904/live/ww/bbc_radio_cornwall/bbc_radio_cornwall.isml/bbc_radio_cornwall-audio%3d96000.norewind.m3u8"</v>
      </c>
      <c r="M1560" t="str">
        <f>VLOOKUP(A1560,logos!$A$2:$A$10004,1,FALSE)</f>
        <v>BBC Radio Cornwall</v>
      </c>
    </row>
    <row r="1561" spans="1:13" hidden="1" x14ac:dyDescent="0.55000000000000004">
      <c r="A1561" t="s">
        <v>2847</v>
      </c>
      <c r="B1561" t="s">
        <v>1682</v>
      </c>
      <c r="C1561" t="s">
        <v>2427</v>
      </c>
      <c r="D1561" t="s">
        <v>1657</v>
      </c>
      <c r="E1561" t="s">
        <v>2611</v>
      </c>
      <c r="F1561" t="str">
        <f t="shared" si="24"/>
        <v>"C:\Program Files\VideoLAN\VLC\vlc.exe" "http://as-hls-ww-live.akamaized.net/pool_904/live/ww/bbc_radio_cumbria/bbc_radio_cumbria.isml/bbc_radio_cumbria-audio%3d96000.norewind.m3u8"</v>
      </c>
      <c r="M1561" t="str">
        <f>VLOOKUP(A1561,logos!$A$2:$A$10004,1,FALSE)</f>
        <v>BBC Radio Cumbria (FM)</v>
      </c>
    </row>
    <row r="1562" spans="1:13" hidden="1" x14ac:dyDescent="0.55000000000000004">
      <c r="A1562" t="s">
        <v>2848</v>
      </c>
      <c r="B1562" t="s">
        <v>1682</v>
      </c>
      <c r="C1562" t="s">
        <v>2431</v>
      </c>
      <c r="D1562" t="s">
        <v>1657</v>
      </c>
      <c r="E1562" t="s">
        <v>2611</v>
      </c>
      <c r="F1562" t="str">
        <f t="shared" si="24"/>
        <v>"C:\Program Files\VideoLAN\VLC\vlc.exe" "http://as-hls-ww-live.akamaized.net/pool_904/live/ww/bbc_radio_cymru/bbc_radio_cymru.isml/bbc_radio_cymru-audio%3d96000.norewind.m3u8"</v>
      </c>
      <c r="M1562" t="e">
        <f>VLOOKUP(A1562,logos!$A$2:$A$10004,1,FALSE)</f>
        <v>#N/A</v>
      </c>
    </row>
    <row r="1563" spans="1:13" hidden="1" x14ac:dyDescent="0.55000000000000004">
      <c r="A1563" t="s">
        <v>132</v>
      </c>
      <c r="B1563" t="s">
        <v>1682</v>
      </c>
      <c r="C1563" t="s">
        <v>2435</v>
      </c>
      <c r="D1563" t="s">
        <v>1657</v>
      </c>
      <c r="E1563" t="s">
        <v>2611</v>
      </c>
      <c r="F1563" t="str">
        <f t="shared" si="24"/>
        <v>"C:\Program Files\VideoLAN\VLC\vlc.exe" "http://as-hls-ww-live.akamaized.net/pool_904/live/ww/bbc_radio_cymru_2/bbc_radio_cymru_2.isml/bbc_radio_cymru_2-audio%3d96000.norewind.m3u8"</v>
      </c>
      <c r="M1563" t="str">
        <f>VLOOKUP(A1563,logos!$A$2:$A$10004,1,FALSE)</f>
        <v>BBC Radio Cymru 2</v>
      </c>
    </row>
    <row r="1564" spans="1:13" hidden="1" x14ac:dyDescent="0.55000000000000004">
      <c r="A1564" t="s">
        <v>2849</v>
      </c>
      <c r="B1564" t="s">
        <v>1682</v>
      </c>
      <c r="C1564" t="s">
        <v>2439</v>
      </c>
      <c r="D1564" t="s">
        <v>1657</v>
      </c>
      <c r="E1564" t="s">
        <v>2611</v>
      </c>
      <c r="F1564" t="str">
        <f t="shared" si="24"/>
        <v>"C:\Program Files\VideoLAN\VLC\vlc.exe" "http://as-hls-ww-live.akamaized.net/pool_904/live/ww/bbc_radio_derby/bbc_radio_derby.isml/bbc_radio_derby-audio%3d96000.norewind.m3u8"</v>
      </c>
      <c r="M1564" t="e">
        <f>VLOOKUP(A1564,logos!$A$2:$A$10004,1,FALSE)</f>
        <v>#N/A</v>
      </c>
    </row>
    <row r="1565" spans="1:13" hidden="1" x14ac:dyDescent="0.55000000000000004">
      <c r="A1565" t="s">
        <v>2850</v>
      </c>
      <c r="B1565" t="s">
        <v>1682</v>
      </c>
      <c r="C1565" t="s">
        <v>2443</v>
      </c>
      <c r="D1565" t="s">
        <v>1657</v>
      </c>
      <c r="E1565" t="s">
        <v>2611</v>
      </c>
      <c r="F1565" t="str">
        <f t="shared" si="24"/>
        <v>"C:\Program Files\VideoLAN\VLC\vlc.exe" "http://as-hls-ww-live.akamaized.net/pool_904/live/ww/bbc_radio_devon/bbc_radio_devon.isml/bbc_radio_devon-audio%3d96000.norewind.m3u8"</v>
      </c>
      <c r="M1565" t="e">
        <f>VLOOKUP(A1565,logos!$A$2:$A$10004,1,FALSE)</f>
        <v>#N/A</v>
      </c>
    </row>
    <row r="1566" spans="1:13" hidden="1" x14ac:dyDescent="0.55000000000000004">
      <c r="A1566" t="s">
        <v>138</v>
      </c>
      <c r="B1566" t="s">
        <v>1682</v>
      </c>
      <c r="C1566" t="s">
        <v>2447</v>
      </c>
      <c r="D1566" t="s">
        <v>1657</v>
      </c>
      <c r="E1566" t="s">
        <v>2611</v>
      </c>
      <c r="F1566" t="str">
        <f t="shared" si="24"/>
        <v>"C:\Program Files\VideoLAN\VLC\vlc.exe" "http://as-hls-ww-live.akamaized.net/pool_904/live/ww/bbc_radio_foyle/bbc_radio_foyle.isml/bbc_radio_foyle-audio%3d96000.norewind.m3u8"</v>
      </c>
      <c r="M1566" t="str">
        <f>VLOOKUP(A1566,logos!$A$2:$A$10004,1,FALSE)</f>
        <v>BBC Radio Foyle</v>
      </c>
    </row>
    <row r="1567" spans="1:13" hidden="1" x14ac:dyDescent="0.55000000000000004">
      <c r="A1567" t="s">
        <v>140</v>
      </c>
      <c r="B1567" t="s">
        <v>1682</v>
      </c>
      <c r="C1567" t="s">
        <v>2451</v>
      </c>
      <c r="D1567" t="s">
        <v>1657</v>
      </c>
      <c r="E1567" t="s">
        <v>2611</v>
      </c>
      <c r="F1567" t="str">
        <f t="shared" si="24"/>
        <v>"C:\Program Files\VideoLAN\VLC\vlc.exe" "http://as-hls-ww-live.akamaized.net/pool_904/live/ww/bbc_radio_gloucestershire/bbc_radio_gloucestershire.isml/bbc_radio_gloucestershire-audio%3d96000.norewind.m3u8"</v>
      </c>
      <c r="M1567" t="str">
        <f>VLOOKUP(A1567,logos!$A$2:$A$10004,1,FALSE)</f>
        <v>BBC Radio Gloucestershire</v>
      </c>
    </row>
    <row r="1568" spans="1:13" hidden="1" x14ac:dyDescent="0.55000000000000004">
      <c r="A1568" t="s">
        <v>2851</v>
      </c>
      <c r="B1568" t="s">
        <v>1682</v>
      </c>
      <c r="C1568" t="s">
        <v>2455</v>
      </c>
      <c r="D1568" t="s">
        <v>1657</v>
      </c>
      <c r="E1568" t="s">
        <v>2611</v>
      </c>
      <c r="F1568" t="str">
        <f t="shared" si="24"/>
        <v>"C:\Program Files\VideoLAN\VLC\vlc.exe" "http://as-hls-ww-live.akamaized.net/pool_904/live/ww/bbc_radio_guernsey/bbc_radio_guernsey.isml/bbc_radio_guernsey-audio%3d96000.norewind.m3u8"</v>
      </c>
      <c r="M1568" t="e">
        <f>VLOOKUP(A1568,logos!$A$2:$A$10004,1,FALSE)</f>
        <v>#N/A</v>
      </c>
    </row>
    <row r="1569" spans="1:13" hidden="1" x14ac:dyDescent="0.55000000000000004">
      <c r="A1569" t="s">
        <v>2852</v>
      </c>
      <c r="B1569" t="s">
        <v>1682</v>
      </c>
      <c r="C1569" t="s">
        <v>2459</v>
      </c>
      <c r="D1569" t="s">
        <v>1657</v>
      </c>
      <c r="E1569" t="s">
        <v>2611</v>
      </c>
      <c r="F1569" t="str">
        <f t="shared" si="24"/>
        <v>"C:\Program Files\VideoLAN\VLC\vlc.exe" "http://as-hls-ww-live.akamaized.net/pool_904/live/ww/bbc_radio_humberside/bbc_radio_humberside.isml/bbc_radio_humberside-audio%3d96000.norewind.m3u8"</v>
      </c>
      <c r="M1569" t="e">
        <f>VLOOKUP(A1569,logos!$A$2:$A$10004,1,FALSE)</f>
        <v>#N/A</v>
      </c>
    </row>
    <row r="1570" spans="1:13" hidden="1" x14ac:dyDescent="0.55000000000000004">
      <c r="A1570" t="s">
        <v>2853</v>
      </c>
      <c r="B1570" t="s">
        <v>1682</v>
      </c>
      <c r="C1570" t="s">
        <v>2463</v>
      </c>
      <c r="D1570" t="s">
        <v>1657</v>
      </c>
      <c r="E1570" t="s">
        <v>2611</v>
      </c>
      <c r="F1570" t="str">
        <f t="shared" si="24"/>
        <v>"C:\Program Files\VideoLAN\VLC\vlc.exe" "http://as-hls-ww-live.akamaized.net/pool_904/live/ww/bbc_radio_jersey/bbc_radio_jersey.isml/bbc_radio_jersey-audio%3d96000.norewind.m3u8"</v>
      </c>
      <c r="M1570" t="e">
        <f>VLOOKUP(A1570,logos!$A$2:$A$10004,1,FALSE)</f>
        <v>#N/A</v>
      </c>
    </row>
    <row r="1571" spans="1:13" hidden="1" x14ac:dyDescent="0.55000000000000004">
      <c r="A1571" t="s">
        <v>148</v>
      </c>
      <c r="B1571" t="s">
        <v>1682</v>
      </c>
      <c r="C1571" t="s">
        <v>2467</v>
      </c>
      <c r="D1571" t="s">
        <v>1657</v>
      </c>
      <c r="E1571" t="s">
        <v>2611</v>
      </c>
      <c r="F1571" t="str">
        <f t="shared" si="24"/>
        <v>"C:\Program Files\VideoLAN\VLC\vlc.exe" "http://as-hls-ww-live.akamaized.net/pool_904/live/ww/bbc_radio_kent/bbc_radio_kent.isml/bbc_radio_kent-audio%3d96000.norewind.m3u8"</v>
      </c>
      <c r="M1571" t="str">
        <f>VLOOKUP(A1571,logos!$A$2:$A$10004,1,FALSE)</f>
        <v>BBC Radio Kent</v>
      </c>
    </row>
    <row r="1572" spans="1:13" hidden="1" x14ac:dyDescent="0.55000000000000004">
      <c r="A1572" t="s">
        <v>150</v>
      </c>
      <c r="B1572" t="s">
        <v>1682</v>
      </c>
      <c r="C1572" t="s">
        <v>2471</v>
      </c>
      <c r="D1572" t="s">
        <v>1657</v>
      </c>
      <c r="E1572" t="s">
        <v>2611</v>
      </c>
      <c r="F1572" t="str">
        <f t="shared" si="24"/>
        <v>"C:\Program Files\VideoLAN\VLC\vlc.exe" "http://as-hls-ww-live.akamaized.net/pool_904/live/ww/bbc_radio_lancashire/bbc_radio_lancashire.isml/bbc_radio_lancashire-audio%3d96000.norewind.m3u8"</v>
      </c>
      <c r="M1572" t="str">
        <f>VLOOKUP(A1572,logos!$A$2:$A$10004,1,FALSE)</f>
        <v>BBC Radio Lancashire</v>
      </c>
    </row>
    <row r="1573" spans="1:13" hidden="1" x14ac:dyDescent="0.55000000000000004">
      <c r="A1573" t="s">
        <v>152</v>
      </c>
      <c r="B1573" t="s">
        <v>1682</v>
      </c>
      <c r="C1573" t="s">
        <v>2475</v>
      </c>
      <c r="D1573" t="s">
        <v>1657</v>
      </c>
      <c r="E1573" t="s">
        <v>2611</v>
      </c>
      <c r="F1573" t="str">
        <f t="shared" si="24"/>
        <v>"C:\Program Files\VideoLAN\VLC\vlc.exe" "http://as-hls-ww-live.akamaized.net/pool_904/live/ww/bbc_radio_leeds/bbc_radio_leeds.isml/bbc_radio_leeds-audio%3d96000.norewind.m3u8"</v>
      </c>
      <c r="M1573" t="str">
        <f>VLOOKUP(A1573,logos!$A$2:$A$10004,1,FALSE)</f>
        <v>BBC Radio Leeds</v>
      </c>
    </row>
    <row r="1574" spans="1:13" hidden="1" x14ac:dyDescent="0.55000000000000004">
      <c r="A1574" t="s">
        <v>154</v>
      </c>
      <c r="B1574" t="s">
        <v>1682</v>
      </c>
      <c r="C1574" t="s">
        <v>2479</v>
      </c>
      <c r="D1574" t="s">
        <v>1657</v>
      </c>
      <c r="E1574" t="s">
        <v>2611</v>
      </c>
      <c r="F1574" t="str">
        <f t="shared" si="24"/>
        <v>"C:\Program Files\VideoLAN\VLC\vlc.exe" "http://as-hls-ww-live.akamaized.net/pool_904/live/ww/bbc_radio_leicester/bbc_radio_leicester.isml/bbc_radio_leicester-audio%3d96000.norewind.m3u8"</v>
      </c>
      <c r="M1574" t="str">
        <f>VLOOKUP(A1574,logos!$A$2:$A$10004,1,FALSE)</f>
        <v>BBC Radio Leicester</v>
      </c>
    </row>
    <row r="1575" spans="1:13" hidden="1" x14ac:dyDescent="0.55000000000000004">
      <c r="A1575" t="s">
        <v>156</v>
      </c>
      <c r="B1575" t="s">
        <v>1682</v>
      </c>
      <c r="C1575" t="s">
        <v>2483</v>
      </c>
      <c r="D1575" t="s">
        <v>1657</v>
      </c>
      <c r="E1575" t="s">
        <v>2611</v>
      </c>
      <c r="F1575" t="str">
        <f t="shared" si="24"/>
        <v>"C:\Program Files\VideoLAN\VLC\vlc.exe" "http://as-hls-ww-live.akamaized.net/pool_904/live/ww/bbc_radio_lincolnshire/bbc_radio_lincolnshire.isml/bbc_radio_lincolnshire-audio%3d96000.norewind.m3u8"</v>
      </c>
      <c r="M1575" t="str">
        <f>VLOOKUP(A1575,logos!$A$2:$A$10004,1,FALSE)</f>
        <v>BBC Radio Lincolnshire</v>
      </c>
    </row>
    <row r="1576" spans="1:13" hidden="1" x14ac:dyDescent="0.55000000000000004">
      <c r="A1576" t="s">
        <v>2854</v>
      </c>
      <c r="B1576" t="s">
        <v>1682</v>
      </c>
      <c r="C1576" t="s">
        <v>2487</v>
      </c>
      <c r="D1576" t="s">
        <v>1657</v>
      </c>
      <c r="E1576" t="s">
        <v>2611</v>
      </c>
      <c r="F1576" t="str">
        <f t="shared" si="24"/>
        <v>"C:\Program Files\VideoLAN\VLC\vlc.exe" "http://as-hls-ww-live.akamaized.net/pool_904/live/ww/bbc_london/bbc_london.isml/bbc_london-audio%3d96000.norewind.m3u8"</v>
      </c>
      <c r="M1576" t="str">
        <f>VLOOKUP(A1576,logos!$A$2:$A$10004,1,FALSE)</f>
        <v>BBC Radio London (FM)</v>
      </c>
    </row>
    <row r="1577" spans="1:13" hidden="1" x14ac:dyDescent="0.55000000000000004">
      <c r="A1577" t="s">
        <v>2855</v>
      </c>
      <c r="B1577" t="s">
        <v>1682</v>
      </c>
      <c r="C1577" t="s">
        <v>2491</v>
      </c>
      <c r="D1577" t="s">
        <v>1657</v>
      </c>
      <c r="E1577" t="s">
        <v>2611</v>
      </c>
      <c r="F1577" t="str">
        <f t="shared" si="24"/>
        <v>"C:\Program Files\VideoLAN\VLC\vlc.exe" "http://as-hls-ww-live.akamaized.net/pool_904/live/ww/bbc_radio_manchester/bbc_radio_manchester.isml/bbc_radio_manchester-audio%3d96000.norewind.m3u8"</v>
      </c>
      <c r="M1577" t="str">
        <f>VLOOKUP(A1577,logos!$A$2:$A$10004,1,FALSE)</f>
        <v>BBC Radio Manchester (DAB)</v>
      </c>
    </row>
    <row r="1578" spans="1:13" hidden="1" x14ac:dyDescent="0.55000000000000004">
      <c r="A1578" t="s">
        <v>162</v>
      </c>
      <c r="B1578" t="s">
        <v>1682</v>
      </c>
      <c r="C1578" t="s">
        <v>2495</v>
      </c>
      <c r="D1578" t="s">
        <v>1657</v>
      </c>
      <c r="E1578" t="s">
        <v>2611</v>
      </c>
      <c r="F1578" t="str">
        <f t="shared" si="24"/>
        <v>"C:\Program Files\VideoLAN\VLC\vlc.exe" "http://as-hls-ww-live.akamaized.net/pool_904/live/ww/bbc_radio_merseyside/bbc_radio_merseyside.isml/bbc_radio_merseyside-audio%3d96000.norewind.m3u8"</v>
      </c>
      <c r="M1578" t="str">
        <f>VLOOKUP(A1578,logos!$A$2:$A$10004,1,FALSE)</f>
        <v>BBC Radio Merseyside</v>
      </c>
    </row>
    <row r="1579" spans="1:13" hidden="1" x14ac:dyDescent="0.55000000000000004">
      <c r="A1579" t="s">
        <v>1694</v>
      </c>
      <c r="B1579" t="s">
        <v>1682</v>
      </c>
      <c r="C1579" t="s">
        <v>2499</v>
      </c>
      <c r="D1579" t="s">
        <v>1657</v>
      </c>
      <c r="E1579" t="s">
        <v>2611</v>
      </c>
      <c r="F1579" t="str">
        <f t="shared" si="24"/>
        <v>"C:\Program Files\VideoLAN\VLC\vlc.exe" "http://as-hls-ww-live.akamaized.net/pool_904/live/ww/bbc_radio_nan_gaidheal/bbc_radio_nan_gaidheal.isml/bbc_radio_nan_gaidheal-audio%3d96000.norewind.m3u8"</v>
      </c>
      <c r="M1579" t="e">
        <f>VLOOKUP(A1579,logos!$A$2:$A$10004,1,FALSE)</f>
        <v>#N/A</v>
      </c>
    </row>
    <row r="1580" spans="1:13" hidden="1" x14ac:dyDescent="0.55000000000000004">
      <c r="A1580" t="s">
        <v>166</v>
      </c>
      <c r="B1580" t="s">
        <v>1682</v>
      </c>
      <c r="C1580" t="s">
        <v>2503</v>
      </c>
      <c r="D1580" t="s">
        <v>1657</v>
      </c>
      <c r="E1580" t="s">
        <v>2611</v>
      </c>
      <c r="F1580" t="str">
        <f t="shared" si="24"/>
        <v>"C:\Program Files\VideoLAN\VLC\vlc.exe" "http://as-hls-ww-live.akamaized.net/pool_904/live/ww/bbc_radio_newcastle/bbc_radio_newcastle.isml/bbc_radio_newcastle-audio%3d96000.norewind.m3u8"</v>
      </c>
      <c r="M1580" t="str">
        <f>VLOOKUP(A1580,logos!$A$2:$A$10004,1,FALSE)</f>
        <v>BBC Radio Newcastle</v>
      </c>
    </row>
    <row r="1581" spans="1:13" hidden="1" x14ac:dyDescent="0.55000000000000004">
      <c r="A1581" t="s">
        <v>168</v>
      </c>
      <c r="B1581" t="s">
        <v>1682</v>
      </c>
      <c r="C1581" t="s">
        <v>2507</v>
      </c>
      <c r="D1581" t="s">
        <v>1657</v>
      </c>
      <c r="E1581" t="s">
        <v>2611</v>
      </c>
      <c r="F1581" t="str">
        <f t="shared" si="24"/>
        <v>"C:\Program Files\VideoLAN\VLC\vlc.exe" "http://as-hls-ww-live.akamaized.net/pool_904/live/ww/bbc_radio_norfolk/bbc_radio_norfolk.isml/bbc_radio_norfolk-audio%3d96000.norewind.m3u8"</v>
      </c>
      <c r="M1581" t="str">
        <f>VLOOKUP(A1581,logos!$A$2:$A$10004,1,FALSE)</f>
        <v>BBC Radio Norfolk</v>
      </c>
    </row>
    <row r="1582" spans="1:13" hidden="1" x14ac:dyDescent="0.55000000000000004">
      <c r="A1582" t="s">
        <v>170</v>
      </c>
      <c r="B1582" t="s">
        <v>1682</v>
      </c>
      <c r="C1582" t="s">
        <v>2511</v>
      </c>
      <c r="D1582" t="s">
        <v>1657</v>
      </c>
      <c r="E1582" t="s">
        <v>2611</v>
      </c>
      <c r="F1582" t="str">
        <f t="shared" si="24"/>
        <v>"C:\Program Files\VideoLAN\VLC\vlc.exe" "http://as-hls-ww-live.akamaized.net/pool_904/live/ww/bbc_radio_northampton/bbc_radio_northampton.isml/bbc_radio_northampton-audio%3d96000.norewind.m3u8"</v>
      </c>
      <c r="M1582" t="str">
        <f>VLOOKUP(A1582,logos!$A$2:$A$10004,1,FALSE)</f>
        <v>BBC Radio Northampton</v>
      </c>
    </row>
    <row r="1583" spans="1:13" hidden="1" x14ac:dyDescent="0.55000000000000004">
      <c r="A1583" t="s">
        <v>172</v>
      </c>
      <c r="B1583" t="s">
        <v>1682</v>
      </c>
      <c r="C1583" t="s">
        <v>2515</v>
      </c>
      <c r="D1583" t="s">
        <v>1657</v>
      </c>
      <c r="E1583" t="s">
        <v>2611</v>
      </c>
      <c r="F1583" t="str">
        <f t="shared" si="24"/>
        <v>"C:\Program Files\VideoLAN\VLC\vlc.exe" "http://as-hls-ww-live.akamaized.net/pool_904/live/ww/bbc_radio_nottingham/bbc_radio_nottingham.isml/bbc_radio_nottingham-audio%3d96000.norewind.m3u8"</v>
      </c>
      <c r="M1583" t="str">
        <f>VLOOKUP(A1583,logos!$A$2:$A$10004,1,FALSE)</f>
        <v>BBC Radio Nottingham</v>
      </c>
    </row>
    <row r="1584" spans="1:13" hidden="1" x14ac:dyDescent="0.55000000000000004">
      <c r="A1584" t="s">
        <v>174</v>
      </c>
      <c r="B1584" t="s">
        <v>1682</v>
      </c>
      <c r="C1584" t="s">
        <v>2519</v>
      </c>
      <c r="D1584" t="s">
        <v>1657</v>
      </c>
      <c r="E1584" t="s">
        <v>2611</v>
      </c>
      <c r="F1584" t="str">
        <f t="shared" si="24"/>
        <v>"C:\Program Files\VideoLAN\VLC\vlc.exe" "http://as-hls-ww-live.akamaized.net/pool_904/live/ww/bbc_radio_orkney/bbc_radio_orkney.isml/bbc_radio_orkney-audio%3d96000.norewind.m3u8"</v>
      </c>
      <c r="M1584" t="str">
        <f>VLOOKUP(A1584,logos!$A$2:$A$10004,1,FALSE)</f>
        <v>BBC Radio Orkney</v>
      </c>
    </row>
    <row r="1585" spans="1:13" hidden="1" x14ac:dyDescent="0.55000000000000004">
      <c r="A1585" t="s">
        <v>176</v>
      </c>
      <c r="B1585" t="s">
        <v>1682</v>
      </c>
      <c r="C1585" t="s">
        <v>2523</v>
      </c>
      <c r="D1585" t="s">
        <v>1657</v>
      </c>
      <c r="E1585" t="s">
        <v>2611</v>
      </c>
      <c r="F1585" t="str">
        <f t="shared" si="24"/>
        <v>"C:\Program Files\VideoLAN\VLC\vlc.exe" "http://as-hls-ww-live.akamaized.net/pool_904/live/ww/bbc_radio_oxford/bbc_radio_oxford.isml/bbc_radio_oxford-audio%3d96000.norewind.m3u8"</v>
      </c>
      <c r="M1585" t="str">
        <f>VLOOKUP(A1585,logos!$A$2:$A$10004,1,FALSE)</f>
        <v>BBC Radio Oxford</v>
      </c>
    </row>
    <row r="1586" spans="1:13" hidden="1" x14ac:dyDescent="0.55000000000000004">
      <c r="A1586" t="s">
        <v>2857</v>
      </c>
      <c r="B1586" t="s">
        <v>1682</v>
      </c>
      <c r="C1586" t="s">
        <v>2531</v>
      </c>
      <c r="D1586" t="s">
        <v>1657</v>
      </c>
      <c r="E1586" t="s">
        <v>2611</v>
      </c>
      <c r="F1586" t="str">
        <f t="shared" si="24"/>
        <v>"C:\Program Files\VideoLAN\VLC\vlc.exe" "http://as-hls-ww-live.akamaized.net/pool_904/live/ww/bbc_radio_scotland_mw/bbc_radio_scotland_mw.isml/bbc_radio_scotland_mw-audio%3d96000.norewind.m3u8"</v>
      </c>
      <c r="M1586" t="e">
        <f>VLOOKUP(A1586,logos!$A$2:$A$10004,1,FALSE)</f>
        <v>#N/A</v>
      </c>
    </row>
    <row r="1587" spans="1:13" hidden="1" x14ac:dyDescent="0.55000000000000004">
      <c r="A1587" t="s">
        <v>2856</v>
      </c>
      <c r="B1587" t="s">
        <v>1682</v>
      </c>
      <c r="C1587" t="s">
        <v>2527</v>
      </c>
      <c r="D1587" t="s">
        <v>1657</v>
      </c>
      <c r="E1587" t="s">
        <v>2611</v>
      </c>
      <c r="F1587" t="str">
        <f t="shared" si="24"/>
        <v>"C:\Program Files\VideoLAN\VLC\vlc.exe" "http://as-hls-ww-live.akamaized.net/pool_904/live/ww/bbc_radio_scotland_fm/bbc_radio_scotland_fm.isml/bbc_radio_scotland_fm-audio%3d96000.norewind.m3u8"</v>
      </c>
      <c r="M1587" t="e">
        <f>VLOOKUP(A1587,logos!$A$2:$A$10004,1,FALSE)</f>
        <v>#N/A</v>
      </c>
    </row>
    <row r="1588" spans="1:13" hidden="1" x14ac:dyDescent="0.55000000000000004">
      <c r="A1588" t="s">
        <v>182</v>
      </c>
      <c r="B1588" t="s">
        <v>1682</v>
      </c>
      <c r="C1588" t="s">
        <v>2535</v>
      </c>
      <c r="D1588" t="s">
        <v>1657</v>
      </c>
      <c r="E1588" t="s">
        <v>2611</v>
      </c>
      <c r="F1588" t="str">
        <f t="shared" si="24"/>
        <v>"C:\Program Files\VideoLAN\VLC\vlc.exe" "http://as-hls-ww-live.akamaized.net/pool_904/live/ww/bbc_radio_sheffield/bbc_radio_sheffield.isml/bbc_radio_sheffield-audio%3d96000.norewind.m3u8"</v>
      </c>
      <c r="M1588" t="str">
        <f>VLOOKUP(A1588,logos!$A$2:$A$10004,1,FALSE)</f>
        <v>BBC Radio Sheffield</v>
      </c>
    </row>
    <row r="1589" spans="1:13" hidden="1" x14ac:dyDescent="0.55000000000000004">
      <c r="A1589" t="s">
        <v>184</v>
      </c>
      <c r="B1589" t="s">
        <v>1682</v>
      </c>
      <c r="C1589" t="s">
        <v>2539</v>
      </c>
      <c r="D1589" t="s">
        <v>1657</v>
      </c>
      <c r="E1589" t="s">
        <v>2611</v>
      </c>
      <c r="F1589" t="str">
        <f t="shared" si="24"/>
        <v>"C:\Program Files\VideoLAN\VLC\vlc.exe" "http://as-hls-ww-live.akamaized.net/pool_904/live/ww/bbc_radio_shetland/bbc_radio_shetland.isml/bbc_radio_shetland-audio%3d96000.norewind.m3u8"</v>
      </c>
      <c r="M1589" t="str">
        <f>VLOOKUP(A1589,logos!$A$2:$A$10004,1,FALSE)</f>
        <v>BBC Radio Shetland</v>
      </c>
    </row>
    <row r="1590" spans="1:13" hidden="1" x14ac:dyDescent="0.55000000000000004">
      <c r="A1590" t="s">
        <v>186</v>
      </c>
      <c r="B1590" t="s">
        <v>1682</v>
      </c>
      <c r="C1590" t="s">
        <v>2543</v>
      </c>
      <c r="D1590" t="s">
        <v>1657</v>
      </c>
      <c r="E1590" t="s">
        <v>2611</v>
      </c>
      <c r="F1590" t="str">
        <f t="shared" si="24"/>
        <v>"C:\Program Files\VideoLAN\VLC\vlc.exe" "http://as-hls-ww-live.akamaized.net/pool_904/live/ww/bbc_radio_shropshire/bbc_radio_shropshire.isml/bbc_radio_shropshire-audio%3d96000.norewind.m3u8"</v>
      </c>
      <c r="M1590" t="str">
        <f>VLOOKUP(A1590,logos!$A$2:$A$10004,1,FALSE)</f>
        <v>BBC Radio Shropshire</v>
      </c>
    </row>
    <row r="1591" spans="1:13" hidden="1" x14ac:dyDescent="0.55000000000000004">
      <c r="A1591" t="s">
        <v>2858</v>
      </c>
      <c r="B1591" t="s">
        <v>1682</v>
      </c>
      <c r="C1591" t="s">
        <v>2547</v>
      </c>
      <c r="D1591" t="s">
        <v>1657</v>
      </c>
      <c r="E1591" t="s">
        <v>2611</v>
      </c>
      <c r="F1591" t="str">
        <f t="shared" si="24"/>
        <v>"C:\Program Files\VideoLAN\VLC\vlc.exe" "http://as-hls-ww-live.akamaized.net/pool_904/live/ww/bbc_radio_solent/bbc_radio_solent.isml/bbc_radio_solent-audio%3d96000.norewind.m3u8"</v>
      </c>
      <c r="M1591" t="e">
        <f>VLOOKUP(A1591,logos!$A$2:$A$10004,1,FALSE)</f>
        <v>#N/A</v>
      </c>
    </row>
    <row r="1592" spans="1:13" hidden="1" x14ac:dyDescent="0.55000000000000004">
      <c r="A1592" t="s">
        <v>2859</v>
      </c>
      <c r="B1592" t="s">
        <v>1682</v>
      </c>
      <c r="C1592" t="s">
        <v>2551</v>
      </c>
      <c r="D1592" t="s">
        <v>1657</v>
      </c>
      <c r="E1592" t="s">
        <v>2611</v>
      </c>
      <c r="F1592" t="str">
        <f t="shared" si="24"/>
        <v>"C:\Program Files\VideoLAN\VLC\vlc.exe" "http://as-hls-ww-live.akamaized.net/pool_904/live/ww/bbc_radio_solent_west_dorset/bbc_radio_solent_west_dorset.isml/bbc_radio_solent_west_dorset-audio%3d96000.norewind.m3u8"</v>
      </c>
      <c r="M1592" t="e">
        <f>VLOOKUP(A1592,logos!$A$2:$A$10004,1,FALSE)</f>
        <v>#N/A</v>
      </c>
    </row>
    <row r="1593" spans="1:13" hidden="1" x14ac:dyDescent="0.55000000000000004">
      <c r="A1593" t="s">
        <v>192</v>
      </c>
      <c r="B1593" t="s">
        <v>1682</v>
      </c>
      <c r="C1593" t="s">
        <v>2555</v>
      </c>
      <c r="D1593" t="s">
        <v>1657</v>
      </c>
      <c r="E1593" t="s">
        <v>2611</v>
      </c>
      <c r="F1593" t="str">
        <f t="shared" si="24"/>
        <v>"C:\Program Files\VideoLAN\VLC\vlc.exe" "http://as-hls-ww-live.akamaized.net/pool_904/live/ww/bbc_radio_somerset_sound/bbc_radio_somerset_sound.isml/bbc_radio_somerset_sound-audio%3d96000.norewind.m3u8"</v>
      </c>
      <c r="M1593" t="str">
        <f>VLOOKUP(A1593,logos!$A$2:$A$10004,1,FALSE)</f>
        <v>BBC Radio Somerset</v>
      </c>
    </row>
    <row r="1594" spans="1:13" hidden="1" x14ac:dyDescent="0.55000000000000004">
      <c r="A1594" t="s">
        <v>194</v>
      </c>
      <c r="B1594" t="s">
        <v>1682</v>
      </c>
      <c r="C1594" t="s">
        <v>2559</v>
      </c>
      <c r="D1594" t="s">
        <v>1657</v>
      </c>
      <c r="E1594" t="s">
        <v>2611</v>
      </c>
      <c r="F1594" t="str">
        <f t="shared" si="24"/>
        <v>"C:\Program Files\VideoLAN\VLC\vlc.exe" "http://as-hls-ww-live.akamaized.net/pool_904/live/ww/bbc_radio_stoke/bbc_radio_stoke.isml/bbc_radio_stoke-audio%3d96000.norewind.m3u8"</v>
      </c>
      <c r="M1594" t="str">
        <f>VLOOKUP(A1594,logos!$A$2:$A$10004,1,FALSE)</f>
        <v>BBC Radio Stoke</v>
      </c>
    </row>
    <row r="1595" spans="1:13" hidden="1" x14ac:dyDescent="0.55000000000000004">
      <c r="A1595" t="s">
        <v>196</v>
      </c>
      <c r="B1595" t="s">
        <v>1682</v>
      </c>
      <c r="C1595" t="s">
        <v>2563</v>
      </c>
      <c r="D1595" t="s">
        <v>1657</v>
      </c>
      <c r="E1595" t="s">
        <v>2611</v>
      </c>
      <c r="F1595" t="str">
        <f t="shared" si="24"/>
        <v>"C:\Program Files\VideoLAN\VLC\vlc.exe" "http://as-hls-ww-live.akamaized.net/pool_904/live/ww/bbc_radio_suffolk/bbc_radio_suffolk.isml/bbc_radio_suffolk-audio%3d96000.norewind.m3u8"</v>
      </c>
      <c r="M1595" t="str">
        <f>VLOOKUP(A1595,logos!$A$2:$A$10004,1,FALSE)</f>
        <v>BBC Radio Suffolk</v>
      </c>
    </row>
    <row r="1596" spans="1:13" hidden="1" x14ac:dyDescent="0.55000000000000004">
      <c r="A1596" t="s">
        <v>198</v>
      </c>
      <c r="B1596" t="s">
        <v>1682</v>
      </c>
      <c r="C1596" t="s">
        <v>2567</v>
      </c>
      <c r="D1596" t="s">
        <v>1657</v>
      </c>
      <c r="E1596" t="s">
        <v>2611</v>
      </c>
      <c r="F1596" t="str">
        <f t="shared" si="24"/>
        <v>"C:\Program Files\VideoLAN\VLC\vlc.exe" "http://as-hls-ww-live.akamaized.net/pool_904/live/ww/bbc_radio_surrey/bbc_radio_surrey.isml/bbc_radio_surrey-audio%3d96000.norewind.m3u8"</v>
      </c>
      <c r="M1596" t="str">
        <f>VLOOKUP(A1596,logos!$A$2:$A$10004,1,FALSE)</f>
        <v>BBC Radio Surrey</v>
      </c>
    </row>
    <row r="1597" spans="1:13" hidden="1" x14ac:dyDescent="0.55000000000000004">
      <c r="A1597" t="s">
        <v>200</v>
      </c>
      <c r="B1597" t="s">
        <v>1682</v>
      </c>
      <c r="C1597" t="s">
        <v>2571</v>
      </c>
      <c r="D1597" t="s">
        <v>1657</v>
      </c>
      <c r="E1597" t="s">
        <v>2611</v>
      </c>
      <c r="F1597" t="str">
        <f t="shared" si="24"/>
        <v>"C:\Program Files\VideoLAN\VLC\vlc.exe" "http://as-hls-ww-live.akamaized.net/pool_904/live/ww/bbc_radio_sussex/bbc_radio_sussex.isml/bbc_radio_sussex-audio%3d96000.norewind.m3u8"</v>
      </c>
      <c r="M1597" t="str">
        <f>VLOOKUP(A1597,logos!$A$2:$A$10004,1,FALSE)</f>
        <v>BBC Radio Sussex</v>
      </c>
    </row>
    <row r="1598" spans="1:13" hidden="1" x14ac:dyDescent="0.55000000000000004">
      <c r="A1598" t="s">
        <v>202</v>
      </c>
      <c r="B1598" t="s">
        <v>1682</v>
      </c>
      <c r="C1598" t="s">
        <v>2575</v>
      </c>
      <c r="D1598" t="s">
        <v>1657</v>
      </c>
      <c r="E1598" t="s">
        <v>2611</v>
      </c>
      <c r="F1598" t="str">
        <f t="shared" si="24"/>
        <v>"C:\Program Files\VideoLAN\VLC\vlc.exe" "http://as-hls-ww-live.akamaized.net/pool_904/live/ww/bbc_tees/bbc_tees.isml/bbc_tees-audio%3d96000.norewind.m3u8"</v>
      </c>
      <c r="M1598" t="str">
        <f>VLOOKUP(A1598,logos!$A$2:$A$10004,1,FALSE)</f>
        <v>BBC Radio Tees</v>
      </c>
    </row>
    <row r="1599" spans="1:13" hidden="1" x14ac:dyDescent="0.55000000000000004">
      <c r="A1599" t="s">
        <v>204</v>
      </c>
      <c r="B1599" t="s">
        <v>1682</v>
      </c>
      <c r="C1599" t="s">
        <v>2579</v>
      </c>
      <c r="D1599" t="s">
        <v>1657</v>
      </c>
      <c r="E1599" t="s">
        <v>2611</v>
      </c>
      <c r="F1599" t="str">
        <f t="shared" si="24"/>
        <v>"C:\Program Files\VideoLAN\VLC\vlc.exe" "http://as-hls-ww-live.akamaized.net/pool_904/live/ww/bbc_radio_ulster/bbc_radio_ulster.isml/bbc_radio_ulster-audio%3d96000.norewind.m3u8"</v>
      </c>
      <c r="M1599" t="str">
        <f>VLOOKUP(A1599,logos!$A$2:$A$10004,1,FALSE)</f>
        <v>BBC Radio Ulster</v>
      </c>
    </row>
    <row r="1600" spans="1:13" hidden="1" x14ac:dyDescent="0.55000000000000004">
      <c r="A1600" t="s">
        <v>2902</v>
      </c>
      <c r="B1600" t="s">
        <v>1682</v>
      </c>
      <c r="C1600" t="s">
        <v>2587</v>
      </c>
      <c r="D1600" t="s">
        <v>1657</v>
      </c>
      <c r="E1600" t="s">
        <v>2611</v>
      </c>
      <c r="F1600" t="str">
        <f t="shared" si="24"/>
        <v>"C:\Program Files\VideoLAN\VLC\vlc.exe" "http://as-hls-ww-live.akamaized.net/pool_904/live/ww/bbc_radio_wales_am/bbc_radio_wales_am.isml/bbc_radio_wales_am-audio%3d96000.norewind.m3u8"</v>
      </c>
      <c r="M1600" t="e">
        <f>VLOOKUP(A1600,logos!$A$2:$A$10004,1,FALSE)</f>
        <v>#N/A</v>
      </c>
    </row>
    <row r="1601" spans="1:13" hidden="1" x14ac:dyDescent="0.55000000000000004">
      <c r="A1601" t="s">
        <v>2860</v>
      </c>
      <c r="B1601" t="s">
        <v>1682</v>
      </c>
      <c r="C1601" t="s">
        <v>2583</v>
      </c>
      <c r="D1601" t="s">
        <v>1657</v>
      </c>
      <c r="E1601" t="s">
        <v>2611</v>
      </c>
      <c r="F1601" t="str">
        <f t="shared" si="24"/>
        <v>"C:\Program Files\VideoLAN\VLC\vlc.exe" "http://as-hls-ww-live.akamaized.net/pool_904/live/ww/bbc_radio_wales_fm/bbc_radio_wales_fm.isml/bbc_radio_wales_fm-audio%3d96000.norewind.m3u8"</v>
      </c>
      <c r="M1601" t="e">
        <f>VLOOKUP(A1601,logos!$A$2:$A$10004,1,FALSE)</f>
        <v>#N/A</v>
      </c>
    </row>
    <row r="1602" spans="1:13" hidden="1" x14ac:dyDescent="0.55000000000000004">
      <c r="A1602" t="s">
        <v>2861</v>
      </c>
      <c r="B1602" t="s">
        <v>1682</v>
      </c>
      <c r="C1602" t="s">
        <v>2591</v>
      </c>
      <c r="D1602" t="s">
        <v>1657</v>
      </c>
      <c r="E1602" t="s">
        <v>2611</v>
      </c>
      <c r="F1602" t="str">
        <f t="shared" si="24"/>
        <v>"C:\Program Files\VideoLAN\VLC\vlc.exe" "http://as-hls-ww-live.akamaized.net/pool_904/live/ww/bbc_radio_wiltshire/bbc_radio_wiltshire.isml/bbc_radio_wiltshire-audio%3d96000.norewind.m3u8"</v>
      </c>
      <c r="M1602" t="e">
        <f>VLOOKUP(A1602,logos!$A$2:$A$10004,1,FALSE)</f>
        <v>#N/A</v>
      </c>
    </row>
    <row r="1603" spans="1:13" hidden="1" x14ac:dyDescent="0.55000000000000004">
      <c r="A1603" t="s">
        <v>210</v>
      </c>
      <c r="B1603" t="s">
        <v>1682</v>
      </c>
      <c r="C1603" t="s">
        <v>2595</v>
      </c>
      <c r="D1603" t="s">
        <v>1657</v>
      </c>
      <c r="E1603" t="s">
        <v>2611</v>
      </c>
      <c r="F1603" t="str">
        <f t="shared" ref="F1603:F1666" si="25">"""C:\Program Files\VideoLAN\VLC\vlc.exe"" """&amp;C1603&amp;""""</f>
        <v>"C:\Program Files\VideoLAN\VLC\vlc.exe" "http://as-hls-ww-live.akamaized.net/pool_904/live/ww/bbc_wm/bbc_wm.isml/bbc_wm-audio%3d96000.norewind.m3u8"</v>
      </c>
      <c r="M1603" t="str">
        <f>VLOOKUP(A1603,logos!$A$2:$A$10004,1,FALSE)</f>
        <v>BBC Radio WM</v>
      </c>
    </row>
    <row r="1604" spans="1:13" hidden="1" x14ac:dyDescent="0.55000000000000004">
      <c r="A1604" t="s">
        <v>2862</v>
      </c>
      <c r="B1604" t="s">
        <v>1682</v>
      </c>
      <c r="C1604" t="s">
        <v>2599</v>
      </c>
      <c r="D1604" t="s">
        <v>1657</v>
      </c>
      <c r="E1604" t="s">
        <v>2611</v>
      </c>
      <c r="F1604" t="str">
        <f t="shared" si="25"/>
        <v>"C:\Program Files\VideoLAN\VLC\vlc.exe" "http://as-hls-ww-live.akamaized.net/pool_904/live/ww/bbc_radio_york/bbc_radio_york.isml/bbc_radio_york-audio%3d96000.norewind.m3u8"</v>
      </c>
      <c r="M1604" t="e">
        <f>VLOOKUP(A1604,logos!$A$2:$A$10004,1,FALSE)</f>
        <v>#N/A</v>
      </c>
    </row>
    <row r="1605" spans="1:13" hidden="1" x14ac:dyDescent="0.55000000000000004">
      <c r="A1605" t="s">
        <v>214</v>
      </c>
      <c r="B1605" t="s">
        <v>1682</v>
      </c>
      <c r="C1605" t="s">
        <v>2603</v>
      </c>
      <c r="D1605" t="s">
        <v>1657</v>
      </c>
      <c r="E1605" t="s">
        <v>2611</v>
      </c>
      <c r="F1605" t="str">
        <f t="shared" si="25"/>
        <v>"C:\Program Files\VideoLAN\VLC\vlc.exe" "http://as-hls-ww-live.akamaized.net/pool_904/live/ww/bbc_three_counties_radio/bbc_three_counties_radio.isml/bbc_three_counties_radio-audio%3d96000.norewind.m3u8"</v>
      </c>
      <c r="M1605" t="str">
        <f>VLOOKUP(A1605,logos!$A$2:$A$10004,1,FALSE)</f>
        <v>BBC Three Counties Radio</v>
      </c>
    </row>
    <row r="1606" spans="1:13" hidden="1" x14ac:dyDescent="0.55000000000000004">
      <c r="A1606" t="s">
        <v>216</v>
      </c>
      <c r="B1606" t="s">
        <v>1682</v>
      </c>
      <c r="C1606" t="s">
        <v>2607</v>
      </c>
      <c r="D1606" t="s">
        <v>1657</v>
      </c>
      <c r="E1606" t="s">
        <v>2611</v>
      </c>
      <c r="F1606" t="str">
        <f t="shared" si="25"/>
        <v>"C:\Program Files\VideoLAN\VLC\vlc.exe" "http://as-hls-ww-live.akamaized.net/pool_904/live/ww/bbc_world_service/bbc_world_service.isml/bbc_world_service-audio%3d96000.norewind.m3u8"</v>
      </c>
      <c r="M1606" t="str">
        <f>VLOOKUP(A1606,logos!$A$2:$A$10004,1,FALSE)</f>
        <v>BBC World Service</v>
      </c>
    </row>
    <row r="1607" spans="1:13" hidden="1" x14ac:dyDescent="0.55000000000000004">
      <c r="A1607" t="s">
        <v>1661</v>
      </c>
      <c r="B1607" t="s">
        <v>1662</v>
      </c>
      <c r="C1607" t="s">
        <v>4903</v>
      </c>
      <c r="E1607" t="s">
        <v>5359</v>
      </c>
      <c r="F1607" t="str">
        <f t="shared" si="25"/>
        <v>"C:\Program Files\VideoLAN\VLC\vlc.exe" "http://stream.rcs.revma.com/0kv9v43t87zuv.m3u"</v>
      </c>
      <c r="M1607" t="e">
        <f>VLOOKUP(A1607,logos!$A$2:$A$10004,1,FALSE)</f>
        <v>#N/A</v>
      </c>
    </row>
    <row r="1608" spans="1:13" hidden="1" x14ac:dyDescent="0.55000000000000004">
      <c r="A1608" t="s">
        <v>27</v>
      </c>
      <c r="B1608" t="s">
        <v>1668</v>
      </c>
      <c r="C1608" t="s">
        <v>4904</v>
      </c>
      <c r="E1608" t="s">
        <v>5359</v>
      </c>
      <c r="F1608" t="str">
        <f t="shared" si="25"/>
        <v>"C:\Program Files\VideoLAN\VLC\vlc.exe" "http://81.136.155.183:8000/45Radio32k.m3u"</v>
      </c>
      <c r="M1608" t="e">
        <f>VLOOKUP(A1608,logos!$A$2:$A$10004,1,FALSE)</f>
        <v>#N/A</v>
      </c>
    </row>
    <row r="1609" spans="1:13" hidden="1" x14ac:dyDescent="0.55000000000000004">
      <c r="A1609" t="s">
        <v>30</v>
      </c>
      <c r="B1609" t="s">
        <v>1662</v>
      </c>
      <c r="C1609" t="s">
        <v>4905</v>
      </c>
      <c r="E1609" t="s">
        <v>5359</v>
      </c>
      <c r="F1609" t="str">
        <f t="shared" si="25"/>
        <v>"C:\Program Files\VideoLAN\VLC\vlc.exe" "http://www.radiofeeds.net/playlists/80srhythm.m3u"</v>
      </c>
      <c r="M1609" t="e">
        <f>VLOOKUP(A1609,logos!$A$2:$A$10004,1,FALSE)</f>
        <v>#N/A</v>
      </c>
    </row>
    <row r="1610" spans="1:13" hidden="1" x14ac:dyDescent="0.55000000000000004">
      <c r="A1610" t="s">
        <v>34</v>
      </c>
      <c r="B1610" t="s">
        <v>1662</v>
      </c>
      <c r="C1610" t="s">
        <v>4906</v>
      </c>
      <c r="E1610" t="s">
        <v>5359</v>
      </c>
      <c r="F1610" t="str">
        <f t="shared" si="25"/>
        <v>"C:\Program Files\VideoLAN\VLC\vlc.exe" "http://www.radiofeeds.net/playlists/bauerflash.pls?station=absoluteclassicrock-aac.m3u"</v>
      </c>
      <c r="M1610" t="str">
        <f>VLOOKUP(A1610,logos!$A$2:$A$10004,1,FALSE)</f>
        <v>Absolute Classic Rock</v>
      </c>
    </row>
    <row r="1611" spans="1:13" hidden="1" x14ac:dyDescent="0.55000000000000004">
      <c r="A1611" t="s">
        <v>34</v>
      </c>
      <c r="B1611" t="s">
        <v>1663</v>
      </c>
      <c r="C1611" t="s">
        <v>4907</v>
      </c>
      <c r="E1611" t="s">
        <v>5359</v>
      </c>
      <c r="F1611" t="str">
        <f t="shared" si="25"/>
        <v>"C:\Program Files\VideoLAN\VLC\vlc.exe" "http://www.radiofeeds.net/playlists/bauerflash.pls?station=absoluteclassicrockhigh-aac"</v>
      </c>
      <c r="M1611" t="str">
        <f>VLOOKUP(A1611,logos!$A$2:$A$10004,1,FALSE)</f>
        <v>Absolute Classic Rock</v>
      </c>
    </row>
    <row r="1612" spans="1:13" hidden="1" x14ac:dyDescent="0.55000000000000004">
      <c r="A1612" t="s">
        <v>38</v>
      </c>
      <c r="B1612" t="s">
        <v>1662</v>
      </c>
      <c r="C1612" t="s">
        <v>4908</v>
      </c>
      <c r="E1612" t="s">
        <v>5359</v>
      </c>
      <c r="F1612" t="str">
        <f t="shared" si="25"/>
        <v>"C:\Program Files\VideoLAN\VLC\vlc.exe" "http://www.radiofeeds.net/playlists/bauerflash.pls?station=absoluteradio-aac"</v>
      </c>
      <c r="M1612" t="str">
        <f>VLOOKUP(A1612,logos!$A$2:$A$10004,1,FALSE)</f>
        <v>Absolute Radio</v>
      </c>
    </row>
    <row r="1613" spans="1:13" hidden="1" x14ac:dyDescent="0.55000000000000004">
      <c r="A1613" t="s">
        <v>38</v>
      </c>
      <c r="B1613" t="s">
        <v>1663</v>
      </c>
      <c r="C1613" t="s">
        <v>4909</v>
      </c>
      <c r="E1613" t="s">
        <v>5359</v>
      </c>
      <c r="F1613" t="str">
        <f t="shared" si="25"/>
        <v>"C:\Program Files\VideoLAN\VLC\vlc.exe" "http://www.radiofeeds.net/playlists/bauerflash.pls?station=absoluteradiohigh-aac"</v>
      </c>
      <c r="M1613" t="str">
        <f>VLOOKUP(A1613,logos!$A$2:$A$10004,1,FALSE)</f>
        <v>Absolute Radio</v>
      </c>
    </row>
    <row r="1614" spans="1:13" hidden="1" x14ac:dyDescent="0.55000000000000004">
      <c r="A1614" t="s">
        <v>40</v>
      </c>
      <c r="B1614" t="s">
        <v>1662</v>
      </c>
      <c r="C1614" t="s">
        <v>4910</v>
      </c>
      <c r="E1614" t="s">
        <v>5359</v>
      </c>
      <c r="F1614" t="str">
        <f t="shared" si="25"/>
        <v>"C:\Program Files\VideoLAN\VLC\vlc.exe" "http://www.radiofeeds.net/playlists/bauerflash.pls?station=absolute60s-aac"</v>
      </c>
      <c r="M1614" t="str">
        <f>VLOOKUP(A1614,logos!$A$2:$A$10004,1,FALSE)</f>
        <v>Absolute Radio 60s</v>
      </c>
    </row>
    <row r="1615" spans="1:13" hidden="1" x14ac:dyDescent="0.55000000000000004">
      <c r="A1615" t="s">
        <v>40</v>
      </c>
      <c r="B1615" t="s">
        <v>1663</v>
      </c>
      <c r="C1615" t="s">
        <v>4911</v>
      </c>
      <c r="E1615" t="s">
        <v>5359</v>
      </c>
      <c r="F1615" t="str">
        <f t="shared" si="25"/>
        <v>"C:\Program Files\VideoLAN\VLC\vlc.exe" "http://www.radiofeeds.net/playlists/bauerflash.pls?station=absolute60shigh-aac"</v>
      </c>
      <c r="M1615" t="str">
        <f>VLOOKUP(A1615,logos!$A$2:$A$10004,1,FALSE)</f>
        <v>Absolute Radio 60s</v>
      </c>
    </row>
    <row r="1616" spans="1:13" hidden="1" x14ac:dyDescent="0.55000000000000004">
      <c r="A1616" t="s">
        <v>42</v>
      </c>
      <c r="B1616" t="s">
        <v>1662</v>
      </c>
      <c r="C1616" t="s">
        <v>4912</v>
      </c>
      <c r="E1616" t="s">
        <v>5359</v>
      </c>
      <c r="F1616" t="str">
        <f t="shared" si="25"/>
        <v>"C:\Program Files\VideoLAN\VLC\vlc.exe" "http://www.radiofeeds.net/playlists/bauerflash.pls?station=absolute70s-aac"</v>
      </c>
      <c r="M1616" t="str">
        <f>VLOOKUP(A1616,logos!$A$2:$A$10004,1,FALSE)</f>
        <v>Absolute Radio 70s</v>
      </c>
    </row>
    <row r="1617" spans="1:13" hidden="1" x14ac:dyDescent="0.55000000000000004">
      <c r="A1617" t="s">
        <v>42</v>
      </c>
      <c r="B1617" t="s">
        <v>1663</v>
      </c>
      <c r="C1617" t="s">
        <v>4913</v>
      </c>
      <c r="E1617" t="s">
        <v>5359</v>
      </c>
      <c r="F1617" t="str">
        <f t="shared" si="25"/>
        <v>"C:\Program Files\VideoLAN\VLC\vlc.exe" "http://www.radiofeeds.net/playlists/bauerflash.pls?station=absolute70shigh-aac"</v>
      </c>
      <c r="M1617" t="str">
        <f>VLOOKUP(A1617,logos!$A$2:$A$10004,1,FALSE)</f>
        <v>Absolute Radio 70s</v>
      </c>
    </row>
    <row r="1618" spans="1:13" hidden="1" x14ac:dyDescent="0.55000000000000004">
      <c r="A1618" t="s">
        <v>4811</v>
      </c>
      <c r="B1618" t="s">
        <v>1662</v>
      </c>
      <c r="C1618" t="s">
        <v>4914</v>
      </c>
      <c r="E1618" t="s">
        <v>5359</v>
      </c>
      <c r="F1618" t="str">
        <f t="shared" si="25"/>
        <v>"C:\Program Files\VideoLAN\VLC\vlc.exe" "http://www.radiofeeds.net/playlists/bauerflash.pls?station=absolute80s-aac"</v>
      </c>
      <c r="M1618" t="str">
        <f>VLOOKUP(A1618,logos!$A$2:$A$10004,1,FALSE)</f>
        <v>Absolute Radio 80s</v>
      </c>
    </row>
    <row r="1619" spans="1:13" hidden="1" x14ac:dyDescent="0.55000000000000004">
      <c r="A1619" t="s">
        <v>4811</v>
      </c>
      <c r="B1619" t="s">
        <v>1663</v>
      </c>
      <c r="C1619" t="s">
        <v>4915</v>
      </c>
      <c r="E1619" t="s">
        <v>5359</v>
      </c>
      <c r="F1619" t="str">
        <f t="shared" si="25"/>
        <v>"C:\Program Files\VideoLAN\VLC\vlc.exe" "http://www.radiofeeds.net/playlists/bauerflash.pls?station=absolute80shigh-aac"</v>
      </c>
      <c r="M1619" t="str">
        <f>VLOOKUP(A1619,logos!$A$2:$A$10004,1,FALSE)</f>
        <v>Absolute Radio 80s</v>
      </c>
    </row>
    <row r="1620" spans="1:13" hidden="1" x14ac:dyDescent="0.55000000000000004">
      <c r="A1620" t="s">
        <v>46</v>
      </c>
      <c r="B1620" t="s">
        <v>1662</v>
      </c>
      <c r="C1620" t="s">
        <v>4916</v>
      </c>
      <c r="E1620" t="s">
        <v>5359</v>
      </c>
      <c r="F1620" t="str">
        <f t="shared" si="25"/>
        <v>"C:\Program Files\VideoLAN\VLC\vlc.exe" "http://www.radiofeeds.net/playlists/bauerflash.pls?station=absolute90s-aac"</v>
      </c>
      <c r="M1620" t="str">
        <f>VLOOKUP(A1620,logos!$A$2:$A$10004,1,FALSE)</f>
        <v>Absolute Radio 90s</v>
      </c>
    </row>
    <row r="1621" spans="1:13" hidden="1" x14ac:dyDescent="0.55000000000000004">
      <c r="A1621" t="s">
        <v>46</v>
      </c>
      <c r="B1621" t="s">
        <v>1663</v>
      </c>
      <c r="C1621" t="s">
        <v>4917</v>
      </c>
      <c r="E1621" t="s">
        <v>5359</v>
      </c>
      <c r="F1621" t="str">
        <f t="shared" si="25"/>
        <v>"C:\Program Files\VideoLAN\VLC\vlc.exe" "http://www.radiofeeds.net/playlists/bauerflash.pls?station=absolute90shigh-aac"</v>
      </c>
      <c r="M1621" t="str">
        <f>VLOOKUP(A1621,logos!$A$2:$A$10004,1,FALSE)</f>
        <v>Absolute Radio 90s</v>
      </c>
    </row>
    <row r="1622" spans="1:13" hidden="1" x14ac:dyDescent="0.55000000000000004">
      <c r="A1622" t="s">
        <v>48</v>
      </c>
      <c r="B1622" t="s">
        <v>1662</v>
      </c>
      <c r="C1622" t="s">
        <v>4918</v>
      </c>
      <c r="E1622" t="s">
        <v>5359</v>
      </c>
      <c r="F1622" t="str">
        <f t="shared" si="25"/>
        <v>"C:\Program Files\VideoLAN\VLC\vlc.exe" "http://www.radiofeeds.net/playlists/bauerflash.pls?station=absolute00s-aac"</v>
      </c>
      <c r="M1622" t="str">
        <f>VLOOKUP(A1622,logos!$A$2:$A$10004,1,FALSE)</f>
        <v>Absolute Radio 00s</v>
      </c>
    </row>
    <row r="1623" spans="1:13" hidden="1" x14ac:dyDescent="0.55000000000000004">
      <c r="A1623" t="s">
        <v>48</v>
      </c>
      <c r="B1623" t="s">
        <v>1663</v>
      </c>
      <c r="C1623" t="s">
        <v>4919</v>
      </c>
      <c r="E1623" t="s">
        <v>5359</v>
      </c>
      <c r="F1623" t="str">
        <f t="shared" si="25"/>
        <v>"C:\Program Files\VideoLAN\VLC\vlc.exe" "http://www.radiofeeds.net/playlists/bauerflash.pls?station=absolute00shigh-aac"</v>
      </c>
      <c r="M1623" t="str">
        <f>VLOOKUP(A1623,logos!$A$2:$A$10004,1,FALSE)</f>
        <v>Absolute Radio 00s</v>
      </c>
    </row>
    <row r="1624" spans="1:13" hidden="1" x14ac:dyDescent="0.55000000000000004">
      <c r="A1624" t="s">
        <v>50</v>
      </c>
      <c r="B1624" t="s">
        <v>1662</v>
      </c>
      <c r="C1624" t="s">
        <v>4920</v>
      </c>
      <c r="E1624" t="s">
        <v>5359</v>
      </c>
      <c r="F1624" t="str">
        <f t="shared" si="25"/>
        <v>"C:\Program Files\VideoLAN\VLC\vlc.exe" "http://www.radiofeeds.net/playlists/bauerflash.pls?station=absolute10s-aac"</v>
      </c>
      <c r="M1624" t="str">
        <f>VLOOKUP(A1624,logos!$A$2:$A$10004,1,FALSE)</f>
        <v>Absolute Radio 10s</v>
      </c>
    </row>
    <row r="1625" spans="1:13" hidden="1" x14ac:dyDescent="0.55000000000000004">
      <c r="A1625" t="s">
        <v>50</v>
      </c>
      <c r="B1625" t="s">
        <v>1663</v>
      </c>
      <c r="C1625" t="s">
        <v>4921</v>
      </c>
      <c r="E1625" t="s">
        <v>5359</v>
      </c>
      <c r="F1625" t="str">
        <f t="shared" si="25"/>
        <v>"C:\Program Files\VideoLAN\VLC\vlc.exe" "http://www.radiofeeds.net/playlists/bauerflash.pls?station=absolute10shigh-aac"</v>
      </c>
      <c r="M1625" t="str">
        <f>VLOOKUP(A1625,logos!$A$2:$A$10004,1,FALSE)</f>
        <v>Absolute Radio 10s</v>
      </c>
    </row>
    <row r="1626" spans="1:13" hidden="1" x14ac:dyDescent="0.55000000000000004">
      <c r="A1626" t="s">
        <v>1545</v>
      </c>
      <c r="B1626" t="s">
        <v>1662</v>
      </c>
      <c r="C1626" t="s">
        <v>4922</v>
      </c>
      <c r="E1626" t="s">
        <v>5359</v>
      </c>
      <c r="F1626" t="str">
        <f t="shared" si="25"/>
        <v>"C:\Program Files\VideoLAN\VLC\vlc.exe" "http://www.radiofeeds.net/playlists/bauer.pls?station=webcast3-aac"</v>
      </c>
      <c r="M1626" t="str">
        <f>VLOOKUP(A1626,logos!$A$2:$A$10004,1,FALSE)</f>
        <v>Absolute Radio 20s</v>
      </c>
    </row>
    <row r="1627" spans="1:13" hidden="1" x14ac:dyDescent="0.55000000000000004">
      <c r="A1627" t="s">
        <v>1545</v>
      </c>
      <c r="B1627" t="s">
        <v>1663</v>
      </c>
      <c r="C1627" t="s">
        <v>4923</v>
      </c>
      <c r="E1627" t="s">
        <v>5359</v>
      </c>
      <c r="F1627" t="str">
        <f t="shared" si="25"/>
        <v>"C:\Program Files\VideoLAN\VLC\vlc.exe" "http://www.radiofeeds.net/playlists/bauer.pls?station=webcast3high-aac"</v>
      </c>
      <c r="M1627" t="str">
        <f>VLOOKUP(A1627,logos!$A$2:$A$10004,1,FALSE)</f>
        <v>Absolute Radio 20s</v>
      </c>
    </row>
    <row r="1628" spans="1:13" hidden="1" x14ac:dyDescent="0.55000000000000004">
      <c r="A1628" t="s">
        <v>52</v>
      </c>
      <c r="B1628" t="s">
        <v>1662</v>
      </c>
      <c r="C1628" t="s">
        <v>4924</v>
      </c>
      <c r="E1628" t="s">
        <v>5359</v>
      </c>
      <c r="F1628" t="str">
        <f t="shared" si="25"/>
        <v>"C:\Program Files\VideoLAN\VLC\vlc.exe" "http://www.radiofeeds.net/playlists/bauer.pls?station=absolutecountry-aac"</v>
      </c>
      <c r="M1628" t="str">
        <f>VLOOKUP(A1628,logos!$A$2:$A$10004,1,FALSE)</f>
        <v>Absolute Radio Country</v>
      </c>
    </row>
    <row r="1629" spans="1:13" hidden="1" x14ac:dyDescent="0.55000000000000004">
      <c r="A1629" t="s">
        <v>52</v>
      </c>
      <c r="B1629" t="s">
        <v>1663</v>
      </c>
      <c r="C1629" t="s">
        <v>4925</v>
      </c>
      <c r="E1629" t="s">
        <v>5359</v>
      </c>
      <c r="F1629" t="str">
        <f t="shared" si="25"/>
        <v>"C:\Program Files\VideoLAN\VLC\vlc.exe" "http://www.radiofeeds.net/playlists/bauer.pls?station=absolutecountryhigh-aac"</v>
      </c>
      <c r="M1629" t="str">
        <f>VLOOKUP(A1629,logos!$A$2:$A$10004,1,FALSE)</f>
        <v>Absolute Radio Country</v>
      </c>
    </row>
    <row r="1630" spans="1:13" hidden="1" x14ac:dyDescent="0.55000000000000004">
      <c r="A1630" t="s">
        <v>54</v>
      </c>
      <c r="B1630" t="s">
        <v>1664</v>
      </c>
      <c r="C1630" t="s">
        <v>4926</v>
      </c>
      <c r="E1630" t="s">
        <v>5359</v>
      </c>
      <c r="F1630" t="str">
        <f t="shared" si="25"/>
        <v>"C:\Program Files\VideoLAN\VLC\vlc.exe" "http://www.radiofeeds.net/playlists/sharptemp.pls?station=actualradio-aac"</v>
      </c>
      <c r="M1630" t="e">
        <f>VLOOKUP(A1630,logos!$A$2:$A$10004,1,FALSE)</f>
        <v>#N/A</v>
      </c>
    </row>
    <row r="1631" spans="1:13" hidden="1" x14ac:dyDescent="0.55000000000000004">
      <c r="A1631" t="s">
        <v>66</v>
      </c>
      <c r="B1631" t="s">
        <v>1662</v>
      </c>
      <c r="C1631" t="s">
        <v>4927</v>
      </c>
      <c r="E1631" t="s">
        <v>5359</v>
      </c>
      <c r="F1631" t="str">
        <f t="shared" si="25"/>
        <v>"C:\Program Files\VideoLAN\VLC\vlc.exe" "http://centauri.shoutca.st:8284/listen.pls?sid=2"</v>
      </c>
      <c r="M1631" t="e">
        <f>VLOOKUP(A1631,logos!$A$2:$A$10004,1,FALSE)</f>
        <v>#N/A</v>
      </c>
    </row>
    <row r="1632" spans="1:13" hidden="1" x14ac:dyDescent="0.55000000000000004">
      <c r="A1632" t="s">
        <v>68</v>
      </c>
      <c r="B1632" t="s">
        <v>1665</v>
      </c>
      <c r="C1632" t="s">
        <v>4928</v>
      </c>
      <c r="E1632" t="s">
        <v>5359</v>
      </c>
      <c r="F1632" t="str">
        <f t="shared" si="25"/>
        <v>"C:\Program Files\VideoLAN\VLC\vlc.exe" "http://www.radiofeeds.net/playlists/argyllaaclow.m3u"</v>
      </c>
      <c r="M1632" t="e">
        <f>VLOOKUP(A1632,logos!$A$2:$A$10004,1,FALSE)</f>
        <v>#N/A</v>
      </c>
    </row>
    <row r="1633" spans="1:13" hidden="1" x14ac:dyDescent="0.55000000000000004">
      <c r="A1633" t="s">
        <v>68</v>
      </c>
      <c r="B1633" t="s">
        <v>1666</v>
      </c>
      <c r="C1633" t="s">
        <v>4929</v>
      </c>
      <c r="E1633" t="s">
        <v>5359</v>
      </c>
      <c r="F1633" t="str">
        <f t="shared" si="25"/>
        <v>"C:\Program Files\VideoLAN\VLC\vlc.exe" "http://www.radiofeeds.net/playlists/argyllaachigh.m3u"</v>
      </c>
      <c r="M1633" t="e">
        <f>VLOOKUP(A1633,logos!$A$2:$A$10004,1,FALSE)</f>
        <v>#N/A</v>
      </c>
    </row>
    <row r="1634" spans="1:13" hidden="1" x14ac:dyDescent="0.55000000000000004">
      <c r="A1634" t="s">
        <v>73</v>
      </c>
      <c r="B1634" t="s">
        <v>1662</v>
      </c>
      <c r="C1634" t="s">
        <v>4930</v>
      </c>
      <c r="E1634" t="s">
        <v>5359</v>
      </c>
      <c r="F1634" t="str">
        <f t="shared" si="25"/>
        <v>"C:\Program Files\VideoLAN\VLC\vlc.exe" "http://www.radiofeeds.net/playlists/sharptemp.pls?station=aspenwaiteprem-aac"</v>
      </c>
      <c r="M1634" t="str">
        <f>VLOOKUP(A1634,logos!$A$2:$A$10004,1,FALSE)</f>
        <v>Aspen Waite Radio</v>
      </c>
    </row>
    <row r="1635" spans="1:13" hidden="1" x14ac:dyDescent="0.55000000000000004">
      <c r="A1635" t="s">
        <v>79</v>
      </c>
      <c r="B1635" t="s">
        <v>1662</v>
      </c>
      <c r="C1635" t="s">
        <v>4931</v>
      </c>
      <c r="E1635" t="s">
        <v>5359</v>
      </c>
      <c r="F1635" t="str">
        <f t="shared" si="25"/>
        <v>"C:\Program Files\VideoLAN\VLC\vlc.exe" "http://www.radiofeeds.net/playlists/sharptemp.pls?station=mangovibe-aac"</v>
      </c>
      <c r="M1635" t="e">
        <f>VLOOKUP(A1635,logos!$A$2:$A$10004,1,FALSE)</f>
        <v>#N/A</v>
      </c>
    </row>
    <row r="1636" spans="1:13" hidden="1" x14ac:dyDescent="0.55000000000000004">
      <c r="A1636" t="s">
        <v>1667</v>
      </c>
      <c r="B1636" t="s">
        <v>1668</v>
      </c>
      <c r="C1636" t="s">
        <v>4932</v>
      </c>
      <c r="E1636" t="s">
        <v>5359</v>
      </c>
      <c r="F1636" t="str">
        <f t="shared" si="25"/>
        <v>"C:\Program Files\VideoLAN\VLC\vlc.exe" "http://streaming.radio.co/sc599f67d7/low.m3u"</v>
      </c>
      <c r="M1636" t="e">
        <f>VLOOKUP(A1636,logos!$A$2:$A$10004,1,FALSE)</f>
        <v>#N/A</v>
      </c>
    </row>
    <row r="1637" spans="1:13" hidden="1" x14ac:dyDescent="0.55000000000000004">
      <c r="A1637" t="s">
        <v>1667</v>
      </c>
      <c r="B1637" t="s">
        <v>1669</v>
      </c>
      <c r="C1637" t="s">
        <v>4933</v>
      </c>
      <c r="E1637" t="s">
        <v>5359</v>
      </c>
      <c r="F1637" t="str">
        <f t="shared" si="25"/>
        <v>"C:\Program Files\VideoLAN\VLC\vlc.exe" "http://streaming.radio.co/sc599f67d7/listen.m3u"</v>
      </c>
      <c r="M1637" t="e">
        <f>VLOOKUP(A1637,logos!$A$2:$A$10004,1,FALSE)</f>
        <v>#N/A</v>
      </c>
    </row>
    <row r="1638" spans="1:13" hidden="1" x14ac:dyDescent="0.55000000000000004">
      <c r="A1638" t="s">
        <v>86</v>
      </c>
      <c r="B1638" t="s">
        <v>1662</v>
      </c>
      <c r="C1638" t="s">
        <v>4934</v>
      </c>
      <c r="E1638" t="s">
        <v>5359</v>
      </c>
      <c r="F1638" t="str">
        <f t="shared" si="25"/>
        <v>"C:\Program Files\VideoLAN\VLC\vlc.exe" "http://hydra.shoutca.st:8064/stream2.m3u"</v>
      </c>
      <c r="M1638" t="str">
        <f>VLOOKUP(A1638,logos!$A$2:$A$10004,1,FALSE)</f>
        <v>Bay Trust Radio</v>
      </c>
    </row>
    <row r="1639" spans="1:13" hidden="1" x14ac:dyDescent="0.55000000000000004">
      <c r="A1639" t="s">
        <v>105</v>
      </c>
      <c r="B1639" t="s">
        <v>1670</v>
      </c>
      <c r="C1639" t="s">
        <v>4935</v>
      </c>
      <c r="E1639" t="s">
        <v>5359</v>
      </c>
      <c r="F1639" t="str">
        <f t="shared" si="25"/>
        <v>"C:\Program Files\VideoLAN\VLC\vlc.exe" "http://www.radiofeeds.net/playlists/bbcradio3aac.pls"</v>
      </c>
      <c r="M1639" t="str">
        <f>VLOOKUP(A1639,logos!$A$2:$A$10004,1,FALSE)</f>
        <v>BBC Radio 3</v>
      </c>
    </row>
    <row r="1640" spans="1:13" hidden="1" x14ac:dyDescent="0.55000000000000004">
      <c r="A1640" t="s">
        <v>226</v>
      </c>
      <c r="B1640" t="s">
        <v>1671</v>
      </c>
      <c r="C1640" t="s">
        <v>4936</v>
      </c>
      <c r="E1640" t="s">
        <v>5359</v>
      </c>
      <c r="F1640" t="str">
        <f t="shared" si="25"/>
        <v>"C:\Program Files\VideoLAN\VLC\vlc.exe" "http://stream.beyondradio.co.uk:8000/ulow.m3u"</v>
      </c>
      <c r="M1640" t="str">
        <f>VLOOKUP(A1640,logos!$A$2:$A$10004,1,FALSE)</f>
        <v>Beyond Radio</v>
      </c>
    </row>
    <row r="1641" spans="1:13" hidden="1" x14ac:dyDescent="0.55000000000000004">
      <c r="A1641" t="s">
        <v>226</v>
      </c>
      <c r="B1641" t="s">
        <v>1668</v>
      </c>
      <c r="C1641" t="s">
        <v>4937</v>
      </c>
      <c r="E1641" t="s">
        <v>5359</v>
      </c>
      <c r="F1641" t="str">
        <f t="shared" si="25"/>
        <v>"C:\Program Files\VideoLAN\VLC\vlc.exe" "http://stream.beyondradio.co.uk:8000/low.m3u"</v>
      </c>
      <c r="M1641" t="str">
        <f>VLOOKUP(A1641,logos!$A$2:$A$10004,1,FALSE)</f>
        <v>Beyond Radio</v>
      </c>
    </row>
    <row r="1642" spans="1:13" hidden="1" x14ac:dyDescent="0.55000000000000004">
      <c r="A1642" t="s">
        <v>226</v>
      </c>
      <c r="B1642" t="s">
        <v>1669</v>
      </c>
      <c r="C1642" t="s">
        <v>4938</v>
      </c>
      <c r="E1642" t="s">
        <v>5359</v>
      </c>
      <c r="F1642" t="str">
        <f t="shared" si="25"/>
        <v>"C:\Program Files\VideoLAN\VLC\vlc.exe" "http://stream.beyondradio.co.uk:8000/high.m3u"</v>
      </c>
      <c r="M1642" t="str">
        <f>VLOOKUP(A1642,logos!$A$2:$A$10004,1,FALSE)</f>
        <v>Beyond Radio</v>
      </c>
    </row>
    <row r="1643" spans="1:13" hidden="1" x14ac:dyDescent="0.55000000000000004">
      <c r="A1643" t="s">
        <v>2616</v>
      </c>
      <c r="B1643" t="s">
        <v>1662</v>
      </c>
      <c r="C1643" t="s">
        <v>4939</v>
      </c>
      <c r="E1643" t="s">
        <v>5359</v>
      </c>
      <c r="F1643" t="str">
        <f t="shared" si="25"/>
        <v>"C:\Program Files\VideoLAN\VLC\vlc.exe" "http://icy-e-01.sharp-stream.com/ssvcbfbs11.aac.m3u"</v>
      </c>
      <c r="M1643" t="e">
        <f>VLOOKUP(A1643,logos!$A$2:$A$10004,1,FALSE)</f>
        <v>#N/A</v>
      </c>
    </row>
    <row r="1644" spans="1:13" hidden="1" x14ac:dyDescent="0.55000000000000004">
      <c r="A1644" t="s">
        <v>2617</v>
      </c>
      <c r="B1644" t="s">
        <v>1665</v>
      </c>
      <c r="C1644" t="s">
        <v>4940</v>
      </c>
      <c r="E1644" t="s">
        <v>5359</v>
      </c>
      <c r="F1644" t="str">
        <f t="shared" si="25"/>
        <v>"C:\Program Files\VideoLAN\VLC\vlc.exe" "http://icy-e-01.sharp-stream.com/ssvcbfbs1.aac.m3u"</v>
      </c>
      <c r="M1644" t="e">
        <f>VLOOKUP(A1644,logos!$A$2:$A$10004,1,FALSE)</f>
        <v>#N/A</v>
      </c>
    </row>
    <row r="1645" spans="1:13" hidden="1" x14ac:dyDescent="0.55000000000000004">
      <c r="A1645" t="s">
        <v>233</v>
      </c>
      <c r="B1645" t="s">
        <v>1665</v>
      </c>
      <c r="C1645" t="s">
        <v>4941</v>
      </c>
      <c r="E1645" t="s">
        <v>5359</v>
      </c>
      <c r="F1645" t="str">
        <f t="shared" si="25"/>
        <v>"C:\Program Files\VideoLAN\VLC\vlc.exe" "http://icy-e-01.sharp-stream.com/ssvcbfbs20.aac.m3u"</v>
      </c>
      <c r="M1645" t="e">
        <f>VLOOKUP(A1645,logos!$A$2:$A$10004,1,FALSE)</f>
        <v>#N/A</v>
      </c>
    </row>
    <row r="1646" spans="1:13" hidden="1" x14ac:dyDescent="0.55000000000000004">
      <c r="A1646" t="s">
        <v>235</v>
      </c>
      <c r="B1646" t="s">
        <v>1665</v>
      </c>
      <c r="C1646" t="s">
        <v>4942</v>
      </c>
      <c r="E1646" t="s">
        <v>5359</v>
      </c>
      <c r="F1646" t="str">
        <f t="shared" si="25"/>
        <v>"C:\Program Files\VideoLAN\VLC\vlc.exe" "http://icy-e-01.sharp-stream.com/ssvcbfbs24.aac.m3u"</v>
      </c>
      <c r="M1646" t="e">
        <f>VLOOKUP(A1646,logos!$A$2:$A$10004,1,FALSE)</f>
        <v>#N/A</v>
      </c>
    </row>
    <row r="1647" spans="1:13" hidden="1" x14ac:dyDescent="0.55000000000000004">
      <c r="A1647" t="s">
        <v>237</v>
      </c>
      <c r="B1647" t="s">
        <v>1665</v>
      </c>
      <c r="C1647" t="s">
        <v>4943</v>
      </c>
      <c r="E1647" t="s">
        <v>5359</v>
      </c>
      <c r="F1647" t="str">
        <f t="shared" si="25"/>
        <v>"C:\Program Files\VideoLAN\VLC\vlc.exe" "http://icy-e-01.sharp-stream.com/ssvcbfbs22.aac.m3u"</v>
      </c>
      <c r="M1647" t="e">
        <f>VLOOKUP(A1647,logos!$A$2:$A$10004,1,FALSE)</f>
        <v>#N/A</v>
      </c>
    </row>
    <row r="1648" spans="1:13" hidden="1" x14ac:dyDescent="0.55000000000000004">
      <c r="A1648" t="s">
        <v>239</v>
      </c>
      <c r="B1648" t="s">
        <v>1665</v>
      </c>
      <c r="C1648" t="s">
        <v>4944</v>
      </c>
      <c r="E1648" t="s">
        <v>5359</v>
      </c>
      <c r="F1648" t="str">
        <f t="shared" si="25"/>
        <v>"C:\Program Files\VideoLAN\VLC\vlc.exe" "http://icy-e-01.sharp-stream.com/ssvcbfbs3.aac.m3u"</v>
      </c>
      <c r="M1648" t="e">
        <f>VLOOKUP(A1648,logos!$A$2:$A$10004,1,FALSE)</f>
        <v>#N/A</v>
      </c>
    </row>
    <row r="1649" spans="1:13" hidden="1" x14ac:dyDescent="0.55000000000000004">
      <c r="A1649" t="s">
        <v>241</v>
      </c>
      <c r="B1649" t="s">
        <v>1665</v>
      </c>
      <c r="C1649" t="s">
        <v>4945</v>
      </c>
      <c r="E1649" t="s">
        <v>5359</v>
      </c>
      <c r="F1649" t="str">
        <f t="shared" si="25"/>
        <v>"C:\Program Files\VideoLAN\VLC\vlc.exe" "http://icy-e-01.sharp-stream.com/ssvcbfbs21.aac.m3u"</v>
      </c>
      <c r="M1649" t="e">
        <f>VLOOKUP(A1649,logos!$A$2:$A$10004,1,FALSE)</f>
        <v>#N/A</v>
      </c>
    </row>
    <row r="1650" spans="1:13" hidden="1" x14ac:dyDescent="0.55000000000000004">
      <c r="A1650" t="s">
        <v>1672</v>
      </c>
      <c r="B1650" t="s">
        <v>1666</v>
      </c>
      <c r="C1650" t="s">
        <v>4946</v>
      </c>
      <c r="E1650" t="s">
        <v>5359</v>
      </c>
      <c r="F1650" t="str">
        <f t="shared" si="25"/>
        <v>"C:\Program Files\VideoLAN\VLC\vlc.exe" "http://s4.citrus3.com:8366/stream.m3u"</v>
      </c>
      <c r="M1650" t="e">
        <f>VLOOKUP(A1650,logos!$A$2:$A$10004,1,FALSE)</f>
        <v>#N/A</v>
      </c>
    </row>
    <row r="1651" spans="1:13" hidden="1" x14ac:dyDescent="0.55000000000000004">
      <c r="A1651" t="s">
        <v>243</v>
      </c>
      <c r="B1651" t="s">
        <v>1662</v>
      </c>
      <c r="C1651" t="s">
        <v>4947</v>
      </c>
      <c r="E1651" t="s">
        <v>5359</v>
      </c>
      <c r="F1651" t="str">
        <f t="shared" si="25"/>
        <v>"C:\Program Files\VideoLAN\VLC\vlc.exe" "http://www.radiofeeds.net/playlists/sharptemp.pls?station=65_boom_light_48_aac"</v>
      </c>
      <c r="M1651" t="str">
        <f>VLOOKUP(A1651,logos!$A$2:$A$10004,1,FALSE)</f>
        <v>Boom Light</v>
      </c>
    </row>
    <row r="1652" spans="1:13" hidden="1" x14ac:dyDescent="0.55000000000000004">
      <c r="A1652" t="s">
        <v>243</v>
      </c>
      <c r="B1652" t="s">
        <v>1668</v>
      </c>
      <c r="C1652" t="s">
        <v>4948</v>
      </c>
      <c r="E1652" t="s">
        <v>5359</v>
      </c>
      <c r="F1652" t="str">
        <f t="shared" si="25"/>
        <v>"C:\Program Files\VideoLAN\VLC\vlc.exe" "http://www.radiofeeds.net/playlists/sharptemp.pls?station=65_boom_light_64_aac"</v>
      </c>
      <c r="M1652" t="str">
        <f>VLOOKUP(A1652,logos!$A$2:$A$10004,1,FALSE)</f>
        <v>Boom Light</v>
      </c>
    </row>
    <row r="1653" spans="1:13" hidden="1" x14ac:dyDescent="0.55000000000000004">
      <c r="A1653" t="s">
        <v>243</v>
      </c>
      <c r="B1653" t="s">
        <v>1666</v>
      </c>
      <c r="C1653" t="s">
        <v>4949</v>
      </c>
      <c r="E1653" t="s">
        <v>5359</v>
      </c>
      <c r="F1653" t="str">
        <f t="shared" si="25"/>
        <v>"C:\Program Files\VideoLAN\VLC\vlc.exe" "http://www.radiofeeds.net/playlists/sharptemp.pls?station=65_boom_light_256_aac"</v>
      </c>
      <c r="M1653" t="str">
        <f>VLOOKUP(A1653,logos!$A$2:$A$10004,1,FALSE)</f>
        <v>Boom Light</v>
      </c>
    </row>
    <row r="1654" spans="1:13" hidden="1" x14ac:dyDescent="0.55000000000000004">
      <c r="A1654" t="s">
        <v>245</v>
      </c>
      <c r="B1654" t="s">
        <v>1662</v>
      </c>
      <c r="C1654" t="s">
        <v>4950</v>
      </c>
      <c r="E1654" t="s">
        <v>5359</v>
      </c>
      <c r="F1654" t="str">
        <f t="shared" si="25"/>
        <v>"C:\Program Files\VideoLAN\VLC\vlc.exe" "http://www.radiofeeds.net/playlists/sharptemp.pls?station=65_boom_radio_live_48"</v>
      </c>
      <c r="M1654" t="str">
        <f>VLOOKUP(A1654,logos!$A$2:$A$10004,1,FALSE)</f>
        <v>Boom Radio</v>
      </c>
    </row>
    <row r="1655" spans="1:13" hidden="1" x14ac:dyDescent="0.55000000000000004">
      <c r="A1655" t="s">
        <v>245</v>
      </c>
      <c r="B1655" t="s">
        <v>1668</v>
      </c>
      <c r="C1655" t="s">
        <v>4951</v>
      </c>
      <c r="E1655" t="s">
        <v>5359</v>
      </c>
      <c r="F1655" t="str">
        <f t="shared" si="25"/>
        <v>"C:\Program Files\VideoLAN\VLC\vlc.exe" "http://www.radiofeeds.net/playlists/sharptemp.pls?station=65_boom_radio_live_64"</v>
      </c>
      <c r="M1655" t="str">
        <f>VLOOKUP(A1655,logos!$A$2:$A$10004,1,FALSE)</f>
        <v>Boom Radio</v>
      </c>
    </row>
    <row r="1656" spans="1:13" hidden="1" x14ac:dyDescent="0.55000000000000004">
      <c r="A1656" t="s">
        <v>245</v>
      </c>
      <c r="B1656" t="s">
        <v>1669</v>
      </c>
      <c r="C1656" t="s">
        <v>4952</v>
      </c>
      <c r="E1656" t="s">
        <v>5359</v>
      </c>
      <c r="F1656" t="str">
        <f t="shared" si="25"/>
        <v>"C:\Program Files\VideoLAN\VLC\vlc.exe" "http://www.radiofeeds.net/playlists/sharptemp.pls?station=65_boom_radio_live_192"</v>
      </c>
      <c r="M1656" t="str">
        <f>VLOOKUP(A1656,logos!$A$2:$A$10004,1,FALSE)</f>
        <v>Boom Radio</v>
      </c>
    </row>
    <row r="1657" spans="1:13" hidden="1" x14ac:dyDescent="0.55000000000000004">
      <c r="A1657" t="s">
        <v>2618</v>
      </c>
      <c r="B1657" t="s">
        <v>1662</v>
      </c>
      <c r="C1657" t="s">
        <v>4953</v>
      </c>
      <c r="E1657" t="s">
        <v>5359</v>
      </c>
      <c r="F1657" t="str">
        <f t="shared" si="25"/>
        <v>"C:\Program Files\VideoLAN\VLC\vlc.exe" "http://www.radiofeeds.net/playlists/sharptemp.pls?station=tcbridge-aac"</v>
      </c>
      <c r="M1657" t="e">
        <f>VLOOKUP(A1657,logos!$A$2:$A$10004,1,FALSE)</f>
        <v>#N/A</v>
      </c>
    </row>
    <row r="1658" spans="1:13" hidden="1" x14ac:dyDescent="0.55000000000000004">
      <c r="A1658" t="s">
        <v>253</v>
      </c>
      <c r="B1658" t="s">
        <v>1668</v>
      </c>
      <c r="C1658" t="s">
        <v>4954</v>
      </c>
      <c r="E1658" t="s">
        <v>5359</v>
      </c>
      <c r="F1658" t="str">
        <f t="shared" si="25"/>
        <v>"C:\Program Files\VideoLAN\VLC\vlc.exe" "http://stream4.hippynet.co.uk:8008/mobile.m3u"</v>
      </c>
      <c r="M1658" t="e">
        <f>VLOOKUP(A1658,logos!$A$2:$A$10004,1,FALSE)</f>
        <v>#N/A</v>
      </c>
    </row>
    <row r="1659" spans="1:13" hidden="1" x14ac:dyDescent="0.55000000000000004">
      <c r="A1659" t="s">
        <v>1673</v>
      </c>
      <c r="B1659" t="s">
        <v>1662</v>
      </c>
      <c r="C1659" t="s">
        <v>4955</v>
      </c>
      <c r="E1659" t="s">
        <v>5359</v>
      </c>
      <c r="F1659" t="str">
        <f t="shared" si="25"/>
        <v>"C:\Program Files\VideoLAN\VLC\vlc.exe" "http://aries.streaming.zfast.co.uk:8128/listen.pls?sid=1"</v>
      </c>
      <c r="M1659" t="str">
        <f>VLOOKUP(A1659,logos!$A$2:$A$10004,1,FALSE)</f>
        <v>CandoFM</v>
      </c>
    </row>
    <row r="1660" spans="1:13" hidden="1" x14ac:dyDescent="0.55000000000000004">
      <c r="A1660" t="s">
        <v>2619</v>
      </c>
      <c r="B1660" t="s">
        <v>1662</v>
      </c>
      <c r="C1660" t="s">
        <v>4956</v>
      </c>
      <c r="E1660" t="s">
        <v>5359</v>
      </c>
      <c r="F1660" t="str">
        <f t="shared" si="25"/>
        <v>"C:\Program Files\VideoLAN\VLC\vlc.exe" "http://icecast.thisisdax.com/CapitalCymru.m3u"</v>
      </c>
      <c r="M1660" t="str">
        <f>VLOOKUP(A1660,logos!$A$2:$A$10004,1,FALSE)</f>
        <v>Capital (Anglesey &amp; Gwynedd)</v>
      </c>
    </row>
    <row r="1661" spans="1:13" hidden="1" x14ac:dyDescent="0.55000000000000004">
      <c r="A1661" t="s">
        <v>2620</v>
      </c>
      <c r="B1661" t="s">
        <v>1662</v>
      </c>
      <c r="C1661" t="s">
        <v>4957</v>
      </c>
      <c r="E1661" t="s">
        <v>5359</v>
      </c>
      <c r="F1661" t="str">
        <f t="shared" si="25"/>
        <v>"C:\Program Files\VideoLAN\VLC\vlc.exe" "http://icecast.thisisdax.com/CapitalLiverpool.m3u"</v>
      </c>
      <c r="M1661" t="str">
        <f>VLOOKUP(A1661,logos!$A$2:$A$10004,1,FALSE)</f>
        <v>Capital (Liverpool)</v>
      </c>
    </row>
    <row r="1662" spans="1:13" hidden="1" x14ac:dyDescent="0.55000000000000004">
      <c r="A1662" t="s">
        <v>2621</v>
      </c>
      <c r="B1662" t="s">
        <v>1662</v>
      </c>
      <c r="C1662" t="s">
        <v>4958</v>
      </c>
      <c r="E1662" t="s">
        <v>5359</v>
      </c>
      <c r="F1662" t="str">
        <f t="shared" si="25"/>
        <v>"C:\Program Files\VideoLAN\VLC\vlc.exe" "http://icecast.thisisdax.com/Capital.m3u"</v>
      </c>
      <c r="M1662" t="str">
        <f>VLOOKUP(A1662,logos!$A$2:$A$10004,1,FALSE)</f>
        <v>Capital (London)</v>
      </c>
    </row>
    <row r="1663" spans="1:13" hidden="1" x14ac:dyDescent="0.55000000000000004">
      <c r="A1663" t="s">
        <v>2622</v>
      </c>
      <c r="B1663" t="s">
        <v>1662</v>
      </c>
      <c r="C1663" t="s">
        <v>4959</v>
      </c>
      <c r="E1663" t="s">
        <v>5359</v>
      </c>
      <c r="F1663" t="str">
        <f t="shared" si="25"/>
        <v>"C:\Program Files\VideoLAN\VLC\vlc.exe" "http://icecast.thisisdax.com/CapitalBirmingham.m3u"</v>
      </c>
      <c r="M1663" t="str">
        <f>VLOOKUP(A1663,logos!$A$2:$A$10004,1,FALSE)</f>
        <v>Capital (Midlands) (Birmingham)</v>
      </c>
    </row>
    <row r="1664" spans="1:13" hidden="1" x14ac:dyDescent="0.55000000000000004">
      <c r="A1664" t="s">
        <v>2623</v>
      </c>
      <c r="B1664" t="s">
        <v>1662</v>
      </c>
      <c r="C1664" t="s">
        <v>4960</v>
      </c>
      <c r="E1664" t="s">
        <v>5359</v>
      </c>
      <c r="F1664" t="str">
        <f t="shared" si="25"/>
        <v>"C:\Program Files\VideoLAN\VLC\vlc.exe" "http://icecast.thisisdax.com/CapitalCoventry.m3u"</v>
      </c>
      <c r="M1664" t="str">
        <f>VLOOKUP(A1664,logos!$A$2:$A$10004,1,FALSE)</f>
        <v>Capital (Midlands) (Coventry)</v>
      </c>
    </row>
    <row r="1665" spans="1:13" hidden="1" x14ac:dyDescent="0.55000000000000004">
      <c r="A1665" t="s">
        <v>2624</v>
      </c>
      <c r="B1665" t="s">
        <v>1662</v>
      </c>
      <c r="C1665" t="s">
        <v>4961</v>
      </c>
      <c r="E1665" t="s">
        <v>5359</v>
      </c>
      <c r="F1665" t="str">
        <f t="shared" si="25"/>
        <v>"C:\Program Files\VideoLAN\VLC\vlc.exe" "http://icecast.thisisdax.com/CapitalDerbyshire.m3u"</v>
      </c>
      <c r="M1665" t="str">
        <f>VLOOKUP(A1665,logos!$A$2:$A$10004,1,FALSE)</f>
        <v>Capital (Midlands) (Derbyshire)</v>
      </c>
    </row>
    <row r="1666" spans="1:13" hidden="1" x14ac:dyDescent="0.55000000000000004">
      <c r="A1666" t="s">
        <v>2625</v>
      </c>
      <c r="B1666" t="s">
        <v>1662</v>
      </c>
      <c r="C1666" t="s">
        <v>4962</v>
      </c>
      <c r="E1666" t="s">
        <v>5359</v>
      </c>
      <c r="F1666" t="str">
        <f t="shared" si="25"/>
        <v>"C:\Program Files\VideoLAN\VLC\vlc.exe" "http://icecast.thisisdax.com/CapitalLeicestershire.m3u"</v>
      </c>
      <c r="M1666" t="str">
        <f>VLOOKUP(A1666,logos!$A$2:$A$10004,1,FALSE)</f>
        <v>Capital (Midlands) (Leicestershire)</v>
      </c>
    </row>
    <row r="1667" spans="1:13" hidden="1" x14ac:dyDescent="0.55000000000000004">
      <c r="A1667" t="s">
        <v>2626</v>
      </c>
      <c r="B1667" t="s">
        <v>1662</v>
      </c>
      <c r="C1667" t="s">
        <v>4963</v>
      </c>
      <c r="E1667" t="s">
        <v>5359</v>
      </c>
      <c r="F1667" t="str">
        <f t="shared" ref="F1667:F1730" si="26">"""C:\Program Files\VideoLAN\VLC\vlc.exe"" """&amp;C1667&amp;""""</f>
        <v>"C:\Program Files\VideoLAN\VLC\vlc.exe" "http://icecast.thisisdax.com/CapitalNorthOxfordshire.m3u"</v>
      </c>
      <c r="M1667" t="str">
        <f>VLOOKUP(A1667,logos!$A$2:$A$10004,1,FALSE)</f>
        <v>Capital (Midlands) (North Oxfordshire)</v>
      </c>
    </row>
    <row r="1668" spans="1:13" hidden="1" x14ac:dyDescent="0.55000000000000004">
      <c r="A1668" t="s">
        <v>2627</v>
      </c>
      <c r="B1668" t="s">
        <v>1662</v>
      </c>
      <c r="C1668" t="s">
        <v>4964</v>
      </c>
      <c r="E1668" t="s">
        <v>5359</v>
      </c>
      <c r="F1668" t="str">
        <f t="shared" si="26"/>
        <v>"C:\Program Files\VideoLAN\VLC\vlc.exe" "http://icecast.thisisdax.com/CapitalNottinghamshire.m3u"</v>
      </c>
      <c r="M1668" t="str">
        <f>VLOOKUP(A1668,logos!$A$2:$A$10004,1,FALSE)</f>
        <v>Capital (Midlands) (Nottinghamshire)</v>
      </c>
    </row>
    <row r="1669" spans="1:13" hidden="1" x14ac:dyDescent="0.55000000000000004">
      <c r="A1669" t="s">
        <v>2628</v>
      </c>
      <c r="B1669" t="s">
        <v>1662</v>
      </c>
      <c r="C1669" t="s">
        <v>4965</v>
      </c>
      <c r="E1669" t="s">
        <v>5359</v>
      </c>
      <c r="F1669" t="str">
        <f t="shared" si="26"/>
        <v>"C:\Program Files\VideoLAN\VLC\vlc.exe" "http://icecast.thisisdax.com/CapitalRugby.m3u"</v>
      </c>
      <c r="M1669" t="str">
        <f>VLOOKUP(A1669,logos!$A$2:$A$10004,1,FALSE)</f>
        <v>Capital (Midlands) (Rugby)</v>
      </c>
    </row>
    <row r="1670" spans="1:13" hidden="1" x14ac:dyDescent="0.55000000000000004">
      <c r="A1670" t="s">
        <v>2629</v>
      </c>
      <c r="B1670" t="s">
        <v>1662</v>
      </c>
      <c r="C1670" t="s">
        <v>4966</v>
      </c>
      <c r="E1670" t="s">
        <v>5359</v>
      </c>
      <c r="F1670" t="str">
        <f t="shared" si="26"/>
        <v>"C:\Program Files\VideoLAN\VLC\vlc.exe" "http://icecast.thisisdax.com/CapitalSouthEastStaffordshire.m3u"</v>
      </c>
      <c r="M1670" t="str">
        <f>VLOOKUP(A1670,logos!$A$2:$A$10004,1,FALSE)</f>
        <v>Capital (Midlands) (South East Staffordshire)</v>
      </c>
    </row>
    <row r="1671" spans="1:13" hidden="1" x14ac:dyDescent="0.55000000000000004">
      <c r="A1671" t="s">
        <v>2630</v>
      </c>
      <c r="B1671" t="s">
        <v>1662</v>
      </c>
      <c r="C1671" t="s">
        <v>4967</v>
      </c>
      <c r="E1671" t="s">
        <v>5359</v>
      </c>
      <c r="F1671" t="str">
        <f t="shared" si="26"/>
        <v>"C:\Program Files\VideoLAN\VLC\vlc.exe" "http://icecast.thisisdax.com/CapitalStratford.m3u"</v>
      </c>
      <c r="M1671" t="str">
        <f>VLOOKUP(A1671,logos!$A$2:$A$10004,1,FALSE)</f>
        <v>Capital (Midlands) (Stratford-upon-Avon)</v>
      </c>
    </row>
    <row r="1672" spans="1:13" hidden="1" x14ac:dyDescent="0.55000000000000004">
      <c r="A1672" t="s">
        <v>2631</v>
      </c>
      <c r="B1672" t="s">
        <v>1662</v>
      </c>
      <c r="C1672" t="s">
        <v>4968</v>
      </c>
      <c r="E1672" t="s">
        <v>5359</v>
      </c>
      <c r="F1672" t="str">
        <f t="shared" si="26"/>
        <v>"C:\Program Files\VideoLAN\VLC\vlc.exe" "http://icecast.thisisdax.com/CapitalWarwick.m3u"</v>
      </c>
      <c r="M1672" t="str">
        <f>VLOOKUP(A1672,logos!$A$2:$A$10004,1,FALSE)</f>
        <v>Capital (Midlands) (Warwick)</v>
      </c>
    </row>
    <row r="1673" spans="1:13" hidden="1" x14ac:dyDescent="0.55000000000000004">
      <c r="A1673" t="s">
        <v>2632</v>
      </c>
      <c r="B1673" t="s">
        <v>1662</v>
      </c>
      <c r="C1673" t="s">
        <v>4969</v>
      </c>
      <c r="E1673" t="s">
        <v>5359</v>
      </c>
      <c r="F1673" t="str">
        <f t="shared" si="26"/>
        <v>"C:\Program Files\VideoLAN\VLC\vlc.exe" "http://icecast.thisisdax.com/CapitalTeesside.m3u"</v>
      </c>
      <c r="M1673" t="str">
        <f>VLOOKUP(A1673,logos!$A$2:$A$10004,1,FALSE)</f>
        <v>Capital (North East England) (Teesside)</v>
      </c>
    </row>
    <row r="1674" spans="1:13" hidden="1" x14ac:dyDescent="0.55000000000000004">
      <c r="A1674" t="s">
        <v>2633</v>
      </c>
      <c r="B1674" t="s">
        <v>1662</v>
      </c>
      <c r="C1674" t="s">
        <v>4970</v>
      </c>
      <c r="E1674" t="s">
        <v>5359</v>
      </c>
      <c r="F1674" t="str">
        <f t="shared" si="26"/>
        <v>"C:\Program Files\VideoLAN\VLC\vlc.exe" "http://icecast.thisisdax.com/CapitalTyneWear.m3u"</v>
      </c>
      <c r="M1674" t="str">
        <f>VLOOKUP(A1674,logos!$A$2:$A$10004,1,FALSE)</f>
        <v>Capital (North East England) (Tyne &amp; Wear)</v>
      </c>
    </row>
    <row r="1675" spans="1:13" hidden="1" x14ac:dyDescent="0.55000000000000004">
      <c r="A1675" t="s">
        <v>2634</v>
      </c>
      <c r="B1675" t="s">
        <v>1662</v>
      </c>
      <c r="C1675" t="s">
        <v>4971</v>
      </c>
      <c r="E1675" t="s">
        <v>5359</v>
      </c>
      <c r="F1675" t="str">
        <f t="shared" si="26"/>
        <v>"C:\Program Files\VideoLAN\VLC\vlc.exe" "http://icecast.thisisdax.com/CapitalWalesCoast.m3u"</v>
      </c>
      <c r="M1675" t="str">
        <f>VLOOKUP(A1675,logos!$A$2:$A$10004,1,FALSE)</f>
        <v>Capital (North West &amp; North Wales) (North Wales Coast)</v>
      </c>
    </row>
    <row r="1676" spans="1:13" hidden="1" x14ac:dyDescent="0.55000000000000004">
      <c r="A1676" t="s">
        <v>2635</v>
      </c>
      <c r="B1676" t="s">
        <v>1662</v>
      </c>
      <c r="C1676" t="s">
        <v>4972</v>
      </c>
      <c r="E1676" t="s">
        <v>5359</v>
      </c>
      <c r="F1676" t="str">
        <f t="shared" si="26"/>
        <v>"C:\Program Files\VideoLAN\VLC\vlc.exe" "http://icecast.thisisdax.com/CapitalWirral.m3u"</v>
      </c>
      <c r="M1676" t="str">
        <f>VLOOKUP(A1676,logos!$A$2:$A$10004,1,FALSE)</f>
        <v>Capital (North West &amp; North Wales) (The Wirral)</v>
      </c>
    </row>
    <row r="1677" spans="1:13" hidden="1" x14ac:dyDescent="0.55000000000000004">
      <c r="A1677" t="s">
        <v>2636</v>
      </c>
      <c r="B1677" t="s">
        <v>1662</v>
      </c>
      <c r="C1677" t="s">
        <v>4973</v>
      </c>
      <c r="E1677" t="s">
        <v>5359</v>
      </c>
      <c r="F1677" t="str">
        <f t="shared" si="26"/>
        <v>"C:\Program Files\VideoLAN\VLC\vlc.exe" "http://icecast.thisisdax.com/CapitalWrexham.m3u"</v>
      </c>
      <c r="M1677" t="str">
        <f>VLOOKUP(A1677,logos!$A$2:$A$10004,1,FALSE)</f>
        <v>Capital (North West &amp; North Wales) (Wrexham &amp; Cheshire)</v>
      </c>
    </row>
    <row r="1678" spans="1:13" hidden="1" x14ac:dyDescent="0.55000000000000004">
      <c r="A1678" t="s">
        <v>2637</v>
      </c>
      <c r="B1678" t="s">
        <v>1662</v>
      </c>
      <c r="C1678" t="s">
        <v>4974</v>
      </c>
      <c r="E1678" t="s">
        <v>5359</v>
      </c>
      <c r="F1678" t="str">
        <f t="shared" si="26"/>
        <v>"C:\Program Files\VideoLAN\VLC\vlc.exe" "http://icecast.thisisdax.com/CapitalBurnley.m3u"</v>
      </c>
      <c r="M1678" t="str">
        <f>VLOOKUP(A1678,logos!$A$2:$A$10004,1,FALSE)</f>
        <v>Capital (North West England) (Burnley &amp; Pendle)</v>
      </c>
    </row>
    <row r="1679" spans="1:13" hidden="1" x14ac:dyDescent="0.55000000000000004">
      <c r="A1679" t="s">
        <v>2638</v>
      </c>
      <c r="B1679" t="s">
        <v>1662</v>
      </c>
      <c r="C1679" t="s">
        <v>4975</v>
      </c>
      <c r="E1679" t="s">
        <v>5359</v>
      </c>
      <c r="F1679" t="str">
        <f t="shared" si="26"/>
        <v>"C:\Program Files\VideoLAN\VLC\vlc.exe" "http://icecast.thisisdax.com/CapitalManchester.m3u"</v>
      </c>
      <c r="M1679" t="str">
        <f>VLOOKUP(A1679,logos!$A$2:$A$10004,1,FALSE)</f>
        <v>Capital (North West England) (Manchester)</v>
      </c>
    </row>
    <row r="1680" spans="1:13" hidden="1" x14ac:dyDescent="0.55000000000000004">
      <c r="A1680" t="s">
        <v>2639</v>
      </c>
      <c r="B1680" t="s">
        <v>1662</v>
      </c>
      <c r="C1680" t="s">
        <v>4976</v>
      </c>
      <c r="E1680" t="s">
        <v>5359</v>
      </c>
      <c r="F1680" t="str">
        <f t="shared" si="26"/>
        <v>"C:\Program Files\VideoLAN\VLC\vlc.exe" "http://icecast.thisisdax.com/CapitalPreston.m3u"</v>
      </c>
      <c r="M1680" t="str">
        <f>VLOOKUP(A1680,logos!$A$2:$A$10004,1,FALSE)</f>
        <v>Capital (North West England) (Preston &amp; Blackburn)</v>
      </c>
    </row>
    <row r="1681" spans="1:13" hidden="1" x14ac:dyDescent="0.55000000000000004">
      <c r="A1681" t="s">
        <v>2640</v>
      </c>
      <c r="B1681" t="s">
        <v>1662</v>
      </c>
      <c r="C1681" t="s">
        <v>4977</v>
      </c>
      <c r="E1681" t="s">
        <v>5359</v>
      </c>
      <c r="F1681" t="str">
        <f t="shared" si="26"/>
        <v>"C:\Program Files\VideoLAN\VLC\vlc.exe" "http://icecast.thisisdax.com/CapitalEdinburgh.m3u"</v>
      </c>
      <c r="M1681" t="str">
        <f>VLOOKUP(A1681,logos!$A$2:$A$10004,1,FALSE)</f>
        <v>Capital (Scotland) (East)</v>
      </c>
    </row>
    <row r="1682" spans="1:13" hidden="1" x14ac:dyDescent="0.55000000000000004">
      <c r="A1682" t="s">
        <v>2641</v>
      </c>
      <c r="B1682" t="s">
        <v>1662</v>
      </c>
      <c r="C1682" t="s">
        <v>4978</v>
      </c>
      <c r="E1682" t="s">
        <v>5359</v>
      </c>
      <c r="F1682" t="str">
        <f t="shared" si="26"/>
        <v>"C:\Program Files\VideoLAN\VLC\vlc.exe" "http://icecast.thisisdax.com/CapitalGlasgow.m3u"</v>
      </c>
      <c r="M1682" t="str">
        <f>VLOOKUP(A1682,logos!$A$2:$A$10004,1,FALSE)</f>
        <v>Capital (Scotland) (West)</v>
      </c>
    </row>
    <row r="1683" spans="1:13" hidden="1" x14ac:dyDescent="0.55000000000000004">
      <c r="A1683" t="s">
        <v>2642</v>
      </c>
      <c r="B1683" t="s">
        <v>1662</v>
      </c>
      <c r="C1683" t="s">
        <v>4979</v>
      </c>
      <c r="E1683" t="s">
        <v>5359</v>
      </c>
      <c r="F1683" t="str">
        <f t="shared" si="26"/>
        <v>"C:\Program Files\VideoLAN\VLC\vlc.exe" "http://icecast.thisisdax.com/CapitalBrighton.m3u"</v>
      </c>
      <c r="M1683" t="str">
        <f>VLOOKUP(A1683,logos!$A$2:$A$10004,1,FALSE)</f>
        <v>Capital (South) (Brighton)</v>
      </c>
    </row>
    <row r="1684" spans="1:13" hidden="1" x14ac:dyDescent="0.55000000000000004">
      <c r="A1684" t="s">
        <v>2643</v>
      </c>
      <c r="B1684" t="s">
        <v>1662</v>
      </c>
      <c r="C1684" t="s">
        <v>4980</v>
      </c>
      <c r="E1684" t="s">
        <v>5359</v>
      </c>
      <c r="F1684" t="str">
        <f t="shared" si="26"/>
        <v>"C:\Program Files\VideoLAN\VLC\vlc.exe" "http://icecast.thisisdax.com/CapitalSouthCoast.m3u"</v>
      </c>
      <c r="M1684" t="str">
        <f>VLOOKUP(A1684,logos!$A$2:$A$10004,1,FALSE)</f>
        <v>Capital (South) (South Coast)</v>
      </c>
    </row>
    <row r="1685" spans="1:13" hidden="1" x14ac:dyDescent="0.55000000000000004">
      <c r="A1685" t="s">
        <v>2644</v>
      </c>
      <c r="B1685" t="s">
        <v>1662</v>
      </c>
      <c r="C1685" t="s">
        <v>4981</v>
      </c>
      <c r="E1685" t="s">
        <v>5359</v>
      </c>
      <c r="F1685" t="str">
        <f t="shared" si="26"/>
        <v>"C:\Program Files\VideoLAN\VLC\vlc.exe" "http://icecast.thisisdax.com/CapitalSouthWales.m3u"</v>
      </c>
      <c r="M1685" t="str">
        <f>VLOOKUP(A1685,logos!$A$2:$A$10004,1,FALSE)</f>
        <v>Capital (South Wales)</v>
      </c>
    </row>
    <row r="1686" spans="1:13" hidden="1" x14ac:dyDescent="0.55000000000000004">
      <c r="A1686" t="s">
        <v>2645</v>
      </c>
      <c r="B1686" t="s">
        <v>1662</v>
      </c>
      <c r="C1686" t="s">
        <v>4982</v>
      </c>
      <c r="E1686" t="s">
        <v>5359</v>
      </c>
      <c r="F1686" t="str">
        <f t="shared" si="26"/>
        <v>"C:\Program Files\VideoLAN\VLC\vlc.exe" "http://icecast.thisisdax.com/CapitalUK.m3u"</v>
      </c>
      <c r="M1686" t="str">
        <f>VLOOKUP(A1686,logos!$A$2:$A$10004,1,FALSE)</f>
        <v>Capital (UK)</v>
      </c>
    </row>
    <row r="1687" spans="1:13" hidden="1" x14ac:dyDescent="0.55000000000000004">
      <c r="A1687" t="s">
        <v>2646</v>
      </c>
      <c r="B1687" t="s">
        <v>1662</v>
      </c>
      <c r="C1687" t="s">
        <v>4983</v>
      </c>
      <c r="E1687" t="s">
        <v>5359</v>
      </c>
      <c r="F1687" t="str">
        <f t="shared" si="26"/>
        <v>"C:\Program Files\VideoLAN\VLC\vlc.exe" "http://icecast.thisisdax.com/CapitalYorkshireEast.m3u"</v>
      </c>
      <c r="M1687" t="str">
        <f>VLOOKUP(A1687,logos!$A$2:$A$10004,1,FALSE)</f>
        <v>Capital (Yorkshire) (East)</v>
      </c>
    </row>
    <row r="1688" spans="1:13" hidden="1" x14ac:dyDescent="0.55000000000000004">
      <c r="A1688" t="s">
        <v>2647</v>
      </c>
      <c r="B1688" t="s">
        <v>1662</v>
      </c>
      <c r="C1688" t="s">
        <v>4984</v>
      </c>
      <c r="E1688" t="s">
        <v>5359</v>
      </c>
      <c r="F1688" t="str">
        <f t="shared" si="26"/>
        <v>"C:\Program Files\VideoLAN\VLC\vlc.exe" "http://icecast.thisisdax.com/CapitalYorkshireSouthWest.m3u"</v>
      </c>
      <c r="M1688" t="str">
        <f>VLOOKUP(A1688,logos!$A$2:$A$10004,1,FALSE)</f>
        <v>Capital (Yorkshire) (South &amp; West)</v>
      </c>
    </row>
    <row r="1689" spans="1:13" hidden="1" x14ac:dyDescent="0.55000000000000004">
      <c r="A1689" t="s">
        <v>314</v>
      </c>
      <c r="B1689" t="s">
        <v>1662</v>
      </c>
      <c r="C1689" t="s">
        <v>4985</v>
      </c>
      <c r="E1689" t="s">
        <v>5359</v>
      </c>
      <c r="F1689" t="str">
        <f t="shared" si="26"/>
        <v>"C:\Program Files\VideoLAN\VLC\vlc.exe" "http://media-ice.musicradio.com/CapitalDance.m3u"</v>
      </c>
      <c r="M1689" t="str">
        <f>VLOOKUP(A1689,logos!$A$2:$A$10004,1,FALSE)</f>
        <v>Capital Dance</v>
      </c>
    </row>
    <row r="1690" spans="1:13" hidden="1" x14ac:dyDescent="0.55000000000000004">
      <c r="A1690" t="s">
        <v>2648</v>
      </c>
      <c r="B1690" t="s">
        <v>1662</v>
      </c>
      <c r="C1690" t="s">
        <v>4986</v>
      </c>
      <c r="E1690" t="s">
        <v>5359</v>
      </c>
      <c r="F1690" t="str">
        <f t="shared" si="26"/>
        <v>"C:\Program Files\VideoLAN\VLC\vlc.exe" "http://icecast.thisisdax.com/CapitalXTRALondon.m3u"</v>
      </c>
      <c r="M1690" t="str">
        <f>VLOOKUP(A1690,logos!$A$2:$A$10004,1,FALSE)</f>
        <v>Capital XTRA (London)</v>
      </c>
    </row>
    <row r="1691" spans="1:13" hidden="1" x14ac:dyDescent="0.55000000000000004">
      <c r="A1691" t="s">
        <v>2649</v>
      </c>
      <c r="B1691" t="s">
        <v>1662</v>
      </c>
      <c r="C1691" t="s">
        <v>4987</v>
      </c>
      <c r="E1691" t="s">
        <v>5359</v>
      </c>
      <c r="F1691" t="str">
        <f t="shared" si="26"/>
        <v>"C:\Program Files\VideoLAN\VLC\vlc.exe" "http://icecast.thisisdax.com/CapitalXTRANational.m3u"</v>
      </c>
      <c r="M1691" t="str">
        <f>VLOOKUP(A1691,logos!$A$2:$A$10004,1,FALSE)</f>
        <v>Capital XTRA (UK)</v>
      </c>
    </row>
    <row r="1692" spans="1:13" hidden="1" x14ac:dyDescent="0.55000000000000004">
      <c r="A1692" t="s">
        <v>320</v>
      </c>
      <c r="B1692" t="s">
        <v>1662</v>
      </c>
      <c r="C1692" t="s">
        <v>4988</v>
      </c>
      <c r="E1692" t="s">
        <v>5359</v>
      </c>
      <c r="F1692" t="str">
        <f t="shared" si="26"/>
        <v>"C:\Program Files\VideoLAN\VLC\vlc.exe" "http://icecast.thisisdax.com/CapitalXTRAReloaded.m3u"</v>
      </c>
      <c r="M1692" t="str">
        <f>VLOOKUP(A1692,logos!$A$2:$A$10004,1,FALSE)</f>
        <v>Capital XTRA Reloaded</v>
      </c>
    </row>
    <row r="1693" spans="1:13" hidden="1" x14ac:dyDescent="0.55000000000000004">
      <c r="A1693" t="s">
        <v>322</v>
      </c>
      <c r="B1693" t="s">
        <v>1662</v>
      </c>
      <c r="C1693" t="s">
        <v>4989</v>
      </c>
      <c r="E1693" t="s">
        <v>5359</v>
      </c>
      <c r="F1693" t="str">
        <f t="shared" si="26"/>
        <v>"C:\Program Files\VideoLAN\VLC\vlc.exe" "http://www.radiofeeds.net/playlists/sharptemp.pls?station=120_care_radio_48_aac"</v>
      </c>
      <c r="M1693" t="e">
        <f>VLOOKUP(A1693,logos!$A$2:$A$10004,1,FALSE)</f>
        <v>#N/A</v>
      </c>
    </row>
    <row r="1694" spans="1:13" hidden="1" x14ac:dyDescent="0.55000000000000004">
      <c r="A1694" t="s">
        <v>1674</v>
      </c>
      <c r="B1694" t="s">
        <v>1662</v>
      </c>
      <c r="C1694" t="s">
        <v>4990</v>
      </c>
      <c r="E1694" t="s">
        <v>5359</v>
      </c>
      <c r="F1694" t="str">
        <f t="shared" si="26"/>
        <v>"C:\Program Files\VideoLAN\VLC\vlc.exe" "http://webradio.radiomonitor.com/m3u/CentralFM.m3u"</v>
      </c>
      <c r="M1694" t="e">
        <f>VLOOKUP(A1694,logos!$A$2:$A$10004,1,FALSE)</f>
        <v>#N/A</v>
      </c>
    </row>
    <row r="1695" spans="1:13" hidden="1" x14ac:dyDescent="0.55000000000000004">
      <c r="A1695" t="s">
        <v>2650</v>
      </c>
      <c r="B1695" t="s">
        <v>1662</v>
      </c>
      <c r="C1695" t="s">
        <v>4991</v>
      </c>
      <c r="E1695" t="s">
        <v>5359</v>
      </c>
      <c r="F1695" t="str">
        <f t="shared" si="26"/>
        <v>"C:\Program Files\VideoLAN\VLC\vlc.exe" "http://stream.central.radio:8000/low.m3u"</v>
      </c>
      <c r="M1695" t="e">
        <f>VLOOKUP(A1695,logos!$A$2:$A$10004,1,FALSE)</f>
        <v>#N/A</v>
      </c>
    </row>
    <row r="1696" spans="1:13" hidden="1" x14ac:dyDescent="0.55000000000000004">
      <c r="A1696" t="s">
        <v>2650</v>
      </c>
      <c r="B1696" t="s">
        <v>1669</v>
      </c>
      <c r="C1696" t="s">
        <v>4992</v>
      </c>
      <c r="E1696" t="s">
        <v>5359</v>
      </c>
      <c r="F1696" t="str">
        <f t="shared" si="26"/>
        <v>"C:\Program Files\VideoLAN\VLC\vlc.exe" "http://stream.central.radio:8000/high.m3u"</v>
      </c>
      <c r="M1696" t="e">
        <f>VLOOKUP(A1696,logos!$A$2:$A$10004,1,FALSE)</f>
        <v>#N/A</v>
      </c>
    </row>
    <row r="1697" spans="1:13" hidden="1" x14ac:dyDescent="0.55000000000000004">
      <c r="A1697" t="s">
        <v>2651</v>
      </c>
      <c r="B1697" t="s">
        <v>1662</v>
      </c>
      <c r="C1697" t="s">
        <v>4993</v>
      </c>
      <c r="E1697" t="s">
        <v>5359</v>
      </c>
      <c r="F1697" t="str">
        <f t="shared" si="26"/>
        <v>"C:\Program Files\VideoLAN\VLC\vlc.exe" "http://www.radiofeeds.net/playlists/bauer.pls?station=cfm-aac"</v>
      </c>
      <c r="M1697" t="str">
        <f>VLOOKUP(A1697,logos!$A$2:$A$10004,1,FALSE)</f>
        <v>CFM (East)</v>
      </c>
    </row>
    <row r="1698" spans="1:13" hidden="1" x14ac:dyDescent="0.55000000000000004">
      <c r="A1698" t="s">
        <v>336</v>
      </c>
      <c r="B1698" t="s">
        <v>1669</v>
      </c>
      <c r="C1698" t="s">
        <v>4994</v>
      </c>
      <c r="E1698" t="s">
        <v>5359</v>
      </c>
      <c r="F1698" t="str">
        <f t="shared" si="26"/>
        <v>"C:\Program Files\VideoLAN\VLC\vlc.exe" "http://stream.rcs.revma.com/wzc639un1qzuv.m3u"</v>
      </c>
      <c r="M1698" t="str">
        <f>VLOOKUP(A1698,logos!$A$2:$A$10004,1,FALSE)</f>
        <v>Channel 103</v>
      </c>
    </row>
    <row r="1699" spans="1:13" hidden="1" x14ac:dyDescent="0.55000000000000004">
      <c r="A1699" t="s">
        <v>339</v>
      </c>
      <c r="B1699" t="s">
        <v>1662</v>
      </c>
      <c r="C1699" t="s">
        <v>4995</v>
      </c>
      <c r="E1699" t="s">
        <v>5359</v>
      </c>
      <c r="F1699" t="str">
        <f t="shared" si="26"/>
        <v>"C:\Program Files\VideoLAN\VLC\vlc.exe" "http://www.radiofeeds.net/playlists/sharptemp.pls?station=cheesyfm-aac"</v>
      </c>
      <c r="M1699" t="e">
        <f>VLOOKUP(A1699,logos!$A$2:$A$10004,1,FALSE)</f>
        <v>#N/A</v>
      </c>
    </row>
    <row r="1700" spans="1:13" hidden="1" x14ac:dyDescent="0.55000000000000004">
      <c r="A1700" t="s">
        <v>2652</v>
      </c>
      <c r="B1700" t="s">
        <v>1662</v>
      </c>
      <c r="C1700" t="s">
        <v>4996</v>
      </c>
      <c r="E1700" t="s">
        <v>5359</v>
      </c>
      <c r="F1700" t="str">
        <f t="shared" si="26"/>
        <v>"C:\Program Files\VideoLAN\VLC\vlc.exe" "http://icecast.thisisdax.com/ClassicFM.m3u"</v>
      </c>
      <c r="M1700" t="str">
        <f>VLOOKUP(A1700,logos!$A$2:$A$10004,1,FALSE)</f>
        <v>Classic FM (UK)</v>
      </c>
    </row>
    <row r="1701" spans="1:13" hidden="1" x14ac:dyDescent="0.55000000000000004">
      <c r="A1701" t="s">
        <v>2653</v>
      </c>
      <c r="B1701" t="s">
        <v>1662</v>
      </c>
      <c r="C1701" t="s">
        <v>4997</v>
      </c>
      <c r="E1701" t="s">
        <v>5359</v>
      </c>
      <c r="F1701" t="str">
        <f t="shared" si="26"/>
        <v>"C:\Program Files\VideoLAN\VLC\vlc.exe" "http://stream.radiojar.com/q8wauz467reuv.m3u"</v>
      </c>
      <c r="M1701" t="e">
        <f>VLOOKUP(A1701,logos!$A$2:$A$10004,1,FALSE)</f>
        <v>#N/A</v>
      </c>
    </row>
    <row r="1702" spans="1:13" hidden="1" x14ac:dyDescent="0.55000000000000004">
      <c r="A1702" t="s">
        <v>2653</v>
      </c>
      <c r="B1702" t="s">
        <v>1663</v>
      </c>
      <c r="C1702" t="s">
        <v>4998</v>
      </c>
      <c r="E1702" t="s">
        <v>5359</v>
      </c>
      <c r="F1702" t="str">
        <f t="shared" si="26"/>
        <v>"C:\Program Files\VideoLAN\VLC\vlc.exe" "http://stream.radiojar.com/xgbg3anx3zquv.m3u"</v>
      </c>
      <c r="M1702" t="e">
        <f>VLOOKUP(A1702,logos!$A$2:$A$10004,1,FALSE)</f>
        <v>#N/A</v>
      </c>
    </row>
    <row r="1703" spans="1:13" hidden="1" x14ac:dyDescent="0.55000000000000004">
      <c r="A1703" t="s">
        <v>347</v>
      </c>
      <c r="B1703" t="s">
        <v>1662</v>
      </c>
      <c r="C1703" t="s">
        <v>4999</v>
      </c>
      <c r="E1703" t="s">
        <v>5359</v>
      </c>
      <c r="F1703" t="str">
        <f t="shared" si="26"/>
        <v>"C:\Program Files\VideoLAN\VLC\vlc.exe" "http://www.radiofeeds.net/playlists/bauer.pls?station=clyde1-aac"</v>
      </c>
      <c r="M1703" t="str">
        <f>VLOOKUP(A1703,logos!$A$2:$A$10004,1,FALSE)</f>
        <v>Clyde 1</v>
      </c>
    </row>
    <row r="1704" spans="1:13" hidden="1" x14ac:dyDescent="0.55000000000000004">
      <c r="A1704" t="s">
        <v>349</v>
      </c>
      <c r="B1704" t="s">
        <v>1662</v>
      </c>
      <c r="C1704" t="s">
        <v>5000</v>
      </c>
      <c r="E1704" t="s">
        <v>5359</v>
      </c>
      <c r="F1704" t="str">
        <f t="shared" si="26"/>
        <v>"C:\Program Files\VideoLAN\VLC\vlc.exe" "http://www.radiofeeds.net/playlists/bauer.pls?station=clyde2-aac"</v>
      </c>
      <c r="M1704" t="str">
        <f>VLOOKUP(A1704,logos!$A$2:$A$10004,1,FALSE)</f>
        <v>Clyde 2</v>
      </c>
    </row>
    <row r="1705" spans="1:13" hidden="1" x14ac:dyDescent="0.55000000000000004">
      <c r="A1705" t="s">
        <v>355</v>
      </c>
      <c r="B1705" t="s">
        <v>1662</v>
      </c>
      <c r="C1705" t="s">
        <v>5001</v>
      </c>
      <c r="E1705" t="s">
        <v>5359</v>
      </c>
      <c r="F1705" t="str">
        <f t="shared" si="26"/>
        <v>"C:\Program Files\VideoLAN\VLC\vlc.exe" "http://www.radiofeeds.net/playlists/bauer.pls?station=coolfm-aac"</v>
      </c>
      <c r="M1705" t="str">
        <f>VLOOKUP(A1705,logos!$A$2:$A$10004,1,FALSE)</f>
        <v>Cool FM</v>
      </c>
    </row>
    <row r="1706" spans="1:13" hidden="1" x14ac:dyDescent="0.55000000000000004">
      <c r="A1706" t="s">
        <v>2654</v>
      </c>
      <c r="B1706" t="s">
        <v>1668</v>
      </c>
      <c r="C1706" t="s">
        <v>5002</v>
      </c>
      <c r="E1706" t="s">
        <v>5359</v>
      </c>
      <c r="F1706" t="str">
        <f t="shared" si="26"/>
        <v>"C:\Program Files\VideoLAN\VLC\vlc.exe" "http://www.radiofeeds.net/playlists/sharptemp.pls?station=chriscountry-aac"</v>
      </c>
      <c r="M1706" t="e">
        <f>VLOOKUP(A1706,logos!$A$2:$A$10004,1,FALSE)</f>
        <v>#N/A</v>
      </c>
    </row>
    <row r="1707" spans="1:13" hidden="1" x14ac:dyDescent="0.55000000000000004">
      <c r="A1707" t="s">
        <v>367</v>
      </c>
      <c r="B1707" t="s">
        <v>1663</v>
      </c>
      <c r="C1707" t="s">
        <v>5003</v>
      </c>
      <c r="E1707" t="s">
        <v>5359</v>
      </c>
      <c r="F1707" t="str">
        <f t="shared" si="26"/>
        <v>"C:\Program Files\VideoLAN\VLC\vlc.exe" "http://dab.decadanceradio.net:8000/brighton.aac.m3u"</v>
      </c>
      <c r="M1707" t="e">
        <f>VLOOKUP(A1707,logos!$A$2:$A$10004,1,FALSE)</f>
        <v>#N/A</v>
      </c>
    </row>
    <row r="1708" spans="1:13" hidden="1" x14ac:dyDescent="0.55000000000000004">
      <c r="A1708" t="s">
        <v>377</v>
      </c>
      <c r="B1708" t="s">
        <v>1662</v>
      </c>
      <c r="C1708" t="s">
        <v>5004</v>
      </c>
      <c r="E1708" t="s">
        <v>5359</v>
      </c>
      <c r="F1708" t="str">
        <f t="shared" si="26"/>
        <v>"C:\Program Files\VideoLAN\VLC\vlc.exe" "http://www.radiofeeds.net/playlists/bauer.pls?station=downtowncountry-aac"</v>
      </c>
      <c r="M1708" t="str">
        <f>VLOOKUP(A1708,logos!$A$2:$A$10004,1,FALSE)</f>
        <v>Downtown Country</v>
      </c>
    </row>
    <row r="1709" spans="1:13" hidden="1" x14ac:dyDescent="0.55000000000000004">
      <c r="A1709" t="s">
        <v>379</v>
      </c>
      <c r="B1709" t="s">
        <v>1662</v>
      </c>
      <c r="C1709" t="s">
        <v>5005</v>
      </c>
      <c r="E1709" t="s">
        <v>5359</v>
      </c>
      <c r="F1709" t="str">
        <f t="shared" si="26"/>
        <v>"C:\Program Files\VideoLAN\VLC\vlc.exe" "http://www.radiofeeds.net/playlists/bauer.pls?station=downtown-aac"</v>
      </c>
      <c r="M1709" t="str">
        <f>VLOOKUP(A1709,logos!$A$2:$A$10004,1,FALSE)</f>
        <v>Downtown Radio</v>
      </c>
    </row>
    <row r="1710" spans="1:13" hidden="1" x14ac:dyDescent="0.55000000000000004">
      <c r="A1710" t="s">
        <v>381</v>
      </c>
      <c r="B1710" t="s">
        <v>1662</v>
      </c>
      <c r="C1710" t="s">
        <v>5006</v>
      </c>
      <c r="E1710" t="s">
        <v>5359</v>
      </c>
      <c r="F1710" t="str">
        <f t="shared" si="26"/>
        <v>"C:\Program Files\VideoLAN\VLC\vlc.exe" "http://www.radiofeeds.net/playlists/sharptemp.pls?station=tcnationdigital-aac"</v>
      </c>
      <c r="M1710" t="e">
        <f>VLOOKUP(A1710,logos!$A$2:$A$10004,1,FALSE)</f>
        <v>#N/A</v>
      </c>
    </row>
    <row r="1711" spans="1:13" hidden="1" x14ac:dyDescent="0.55000000000000004">
      <c r="A1711" t="s">
        <v>1675</v>
      </c>
      <c r="B1711" t="s">
        <v>1662</v>
      </c>
      <c r="C1711" t="s">
        <v>5007</v>
      </c>
      <c r="E1711" t="s">
        <v>5359</v>
      </c>
      <c r="F1711" t="str">
        <f t="shared" si="26"/>
        <v>"C:\Program Files\VideoLAN\VLC\vlc.exe" "http://stream.rcs.revma.com/69v2m2q5xhruv.m3u"</v>
      </c>
      <c r="M1711" t="e">
        <f>VLOOKUP(A1711,logos!$A$2:$A$10004,1,FALSE)</f>
        <v>#N/A</v>
      </c>
    </row>
    <row r="1712" spans="1:13" hidden="1" x14ac:dyDescent="0.55000000000000004">
      <c r="A1712" t="s">
        <v>384</v>
      </c>
      <c r="B1712" t="s">
        <v>1662</v>
      </c>
      <c r="C1712" t="s">
        <v>5008</v>
      </c>
      <c r="E1712" t="s">
        <v>5359</v>
      </c>
      <c r="F1712" t="str">
        <f t="shared" si="26"/>
        <v>"C:\Program Files\VideoLAN\VLC\vlc.exe" "http://fra-ranger01.dedicateware.com:18010/mobile.m3u"</v>
      </c>
      <c r="M1712" t="e">
        <f>VLOOKUP(A1712,logos!$A$2:$A$10004,1,FALSE)</f>
        <v>#N/A</v>
      </c>
    </row>
    <row r="1713" spans="1:13" hidden="1" x14ac:dyDescent="0.55000000000000004">
      <c r="A1713" t="s">
        <v>2655</v>
      </c>
      <c r="B1713" t="s">
        <v>1662</v>
      </c>
      <c r="C1713" t="s">
        <v>5009</v>
      </c>
      <c r="E1713" t="s">
        <v>5359</v>
      </c>
      <c r="F1713" t="str">
        <f t="shared" si="26"/>
        <v>"C:\Program Files\VideoLAN\VLC\vlc.exe" "http://www.radiofeeds.net/playlists/sharptemp.pls?station=nationeasyports-aac"</v>
      </c>
      <c r="M1713" t="e">
        <f>VLOOKUP(A1713,logos!$A$2:$A$10004,1,FALSE)</f>
        <v>#N/A</v>
      </c>
    </row>
    <row r="1714" spans="1:13" hidden="1" x14ac:dyDescent="0.55000000000000004">
      <c r="A1714" t="s">
        <v>2656</v>
      </c>
      <c r="B1714" t="s">
        <v>1662</v>
      </c>
      <c r="C1714" t="s">
        <v>5010</v>
      </c>
      <c r="E1714" t="s">
        <v>5359</v>
      </c>
      <c r="F1714" t="str">
        <f t="shared" si="26"/>
        <v>"C:\Program Files\VideoLAN\VLC\vlc.exe" "http://www.radiofeeds.net/playlists/sharptemp.pls?station=nationeasysoton-aac"</v>
      </c>
      <c r="M1714" t="e">
        <f>VLOOKUP(A1714,logos!$A$2:$A$10004,1,FALSE)</f>
        <v>#N/A</v>
      </c>
    </row>
    <row r="1715" spans="1:13" hidden="1" x14ac:dyDescent="0.55000000000000004">
      <c r="A1715" t="s">
        <v>2657</v>
      </c>
      <c r="B1715" t="s">
        <v>1662</v>
      </c>
      <c r="C1715" t="s">
        <v>5011</v>
      </c>
      <c r="E1715" t="s">
        <v>5359</v>
      </c>
      <c r="F1715" t="str">
        <f t="shared" si="26"/>
        <v>"C:\Program Files\VideoLAN\VLC\vlc.exe" "http://www.radiofeeds.net/playlists/sharptemp.pls?station=breezyradiouk-aac"</v>
      </c>
      <c r="M1715" t="e">
        <f>VLOOKUP(A1715,logos!$A$2:$A$10004,1,FALSE)</f>
        <v>#N/A</v>
      </c>
    </row>
    <row r="1716" spans="1:13" hidden="1" x14ac:dyDescent="0.55000000000000004">
      <c r="A1716" t="s">
        <v>2658</v>
      </c>
      <c r="B1716" t="s">
        <v>1662</v>
      </c>
      <c r="C1716" t="s">
        <v>5012</v>
      </c>
      <c r="E1716" t="s">
        <v>5359</v>
      </c>
      <c r="F1716" t="str">
        <f t="shared" si="26"/>
        <v>"C:\Program Files\VideoLAN\VLC\vlc.exe" "http://www.radiofeeds.net/playlists/sharptemp.pls?station=tcbay-aac"</v>
      </c>
      <c r="M1716" t="e">
        <f>VLOOKUP(A1716,logos!$A$2:$A$10004,1,FALSE)</f>
        <v>#N/A</v>
      </c>
    </row>
    <row r="1717" spans="1:13" hidden="1" x14ac:dyDescent="0.55000000000000004">
      <c r="A1717" t="s">
        <v>403</v>
      </c>
      <c r="B1717" t="s">
        <v>1668</v>
      </c>
      <c r="C1717" t="s">
        <v>5013</v>
      </c>
      <c r="E1717" t="s">
        <v>5359</v>
      </c>
      <c r="F1717" t="str">
        <f t="shared" si="26"/>
        <v>"C:\Program Files\VideoLAN\VLC\vlc.exe" "http://www.radiofeeds.net/playlists/eirewaveaac.m3u"</v>
      </c>
      <c r="M1717" t="e">
        <f>VLOOKUP(A1717,logos!$A$2:$A$10004,1,FALSE)</f>
        <v>#N/A</v>
      </c>
    </row>
    <row r="1718" spans="1:13" hidden="1" x14ac:dyDescent="0.55000000000000004">
      <c r="A1718" t="s">
        <v>1676</v>
      </c>
      <c r="B1718" t="s">
        <v>1668</v>
      </c>
      <c r="C1718" t="s">
        <v>5014</v>
      </c>
      <c r="E1718" t="s">
        <v>5359</v>
      </c>
      <c r="F1718" t="str">
        <f t="shared" si="26"/>
        <v>"C:\Program Files\VideoLAN\VLC\vlc.exe" "http://www.radiofeeds.net/playlists/ewtn.m3u"</v>
      </c>
      <c r="M1718" t="e">
        <f>VLOOKUP(A1718,logos!$A$2:$A$10004,1,FALSE)</f>
        <v>#N/A</v>
      </c>
    </row>
    <row r="1719" spans="1:13" hidden="1" x14ac:dyDescent="0.55000000000000004">
      <c r="A1719" t="s">
        <v>412</v>
      </c>
      <c r="B1719" t="s">
        <v>1662</v>
      </c>
      <c r="C1719" t="s">
        <v>5015</v>
      </c>
      <c r="E1719" t="s">
        <v>5359</v>
      </c>
      <c r="F1719" t="str">
        <f t="shared" si="26"/>
        <v>"C:\Program Files\VideoLAN\VLC\vlc.exe" "http://icy-e-01.sharp-stream.com/fixradio.aac.m3u"</v>
      </c>
      <c r="M1719" t="e">
        <f>VLOOKUP(A1719,logos!$A$2:$A$10004,1,FALSE)</f>
        <v>#N/A</v>
      </c>
    </row>
    <row r="1720" spans="1:13" hidden="1" x14ac:dyDescent="0.55000000000000004">
      <c r="A1720" t="s">
        <v>414</v>
      </c>
      <c r="B1720" t="s">
        <v>1662</v>
      </c>
      <c r="C1720" t="s">
        <v>5016</v>
      </c>
      <c r="E1720" t="s">
        <v>5359</v>
      </c>
      <c r="F1720" t="str">
        <f t="shared" si="26"/>
        <v>"C:\Program Files\VideoLAN\VLC\vlc.exe" "http://www.radiofeeds.net/playlists/bauer.pls?station=forth1-aac"</v>
      </c>
      <c r="M1720" t="str">
        <f>VLOOKUP(A1720,logos!$A$2:$A$10004,1,FALSE)</f>
        <v>Forth 1</v>
      </c>
    </row>
    <row r="1721" spans="1:13" hidden="1" x14ac:dyDescent="0.55000000000000004">
      <c r="A1721" t="s">
        <v>416</v>
      </c>
      <c r="B1721" t="s">
        <v>1662</v>
      </c>
      <c r="C1721" t="s">
        <v>5017</v>
      </c>
      <c r="E1721" t="s">
        <v>5359</v>
      </c>
      <c r="F1721" t="str">
        <f t="shared" si="26"/>
        <v>"C:\Program Files\VideoLAN\VLC\vlc.exe" "http://www.radiofeeds.net/playlists/bauer.pls?station=forth2-aac"</v>
      </c>
      <c r="M1721" t="str">
        <f>VLOOKUP(A1721,logos!$A$2:$A$10004,1,FALSE)</f>
        <v>Forth 2</v>
      </c>
    </row>
    <row r="1722" spans="1:13" hidden="1" x14ac:dyDescent="0.55000000000000004">
      <c r="A1722" t="s">
        <v>2659</v>
      </c>
      <c r="B1722" t="s">
        <v>1677</v>
      </c>
      <c r="C1722" t="s">
        <v>5018</v>
      </c>
      <c r="E1722" t="s">
        <v>5359</v>
      </c>
      <c r="F1722" t="str">
        <f t="shared" si="26"/>
        <v>"C:\Program Files\VideoLAN\VLC\vlc.exe" "http://www.radiofeeds.net/playlists/maxxwave.pls?station=fossehinckleyhq"</v>
      </c>
      <c r="M1722" t="e">
        <f>VLOOKUP(A1722,logos!$A$2:$A$10004,1,FALSE)</f>
        <v>#N/A</v>
      </c>
    </row>
    <row r="1723" spans="1:13" hidden="1" x14ac:dyDescent="0.55000000000000004">
      <c r="A1723" t="s">
        <v>2660</v>
      </c>
      <c r="B1723" t="s">
        <v>1677</v>
      </c>
      <c r="C1723" t="s">
        <v>5019</v>
      </c>
      <c r="E1723" t="s">
        <v>5359</v>
      </c>
      <c r="F1723" t="str">
        <f t="shared" si="26"/>
        <v>"C:\Program Files\VideoLAN\VLC\vlc.exe" "http://www.radiofeeds.net/playlists/maxxwave.pls?station=fosseloughbrohq"</v>
      </c>
      <c r="M1723" t="e">
        <f>VLOOKUP(A1723,logos!$A$2:$A$10004,1,FALSE)</f>
        <v>#N/A</v>
      </c>
    </row>
    <row r="1724" spans="1:13" hidden="1" x14ac:dyDescent="0.55000000000000004">
      <c r="A1724" t="s">
        <v>1576</v>
      </c>
      <c r="B1724" t="s">
        <v>1662</v>
      </c>
      <c r="C1724" t="s">
        <v>5020</v>
      </c>
      <c r="E1724" t="s">
        <v>5359</v>
      </c>
      <c r="F1724" t="str">
        <f t="shared" si="26"/>
        <v>"C:\Program Files\VideoLAN\VLC\vlc.exe" "http://www.radiofeeds.net/playlists/bauer.pls?station=freebirmingham-aac"</v>
      </c>
      <c r="M1724" t="str">
        <f>VLOOKUP(A1724,logos!$A$2:$A$10004,1,FALSE)</f>
        <v>Free Radio (Birmingham)</v>
      </c>
    </row>
    <row r="1725" spans="1:13" hidden="1" x14ac:dyDescent="0.55000000000000004">
      <c r="A1725" t="s">
        <v>1577</v>
      </c>
      <c r="B1725" t="s">
        <v>1662</v>
      </c>
      <c r="C1725" t="s">
        <v>5021</v>
      </c>
      <c r="E1725" t="s">
        <v>5359</v>
      </c>
      <c r="F1725" t="str">
        <f t="shared" si="26"/>
        <v>"C:\Program Files\VideoLAN\VLC\vlc.exe" "http://www.radiofeeds.net/playlists/bauer.pls?station=freeblackcountry-aac"</v>
      </c>
      <c r="M1725" t="str">
        <f>VLOOKUP(A1725,logos!$A$2:$A$10004,1,FALSE)</f>
        <v>Free Radio (Black Country)</v>
      </c>
    </row>
    <row r="1726" spans="1:13" hidden="1" x14ac:dyDescent="0.55000000000000004">
      <c r="A1726" t="s">
        <v>1578</v>
      </c>
      <c r="B1726" t="s">
        <v>1662</v>
      </c>
      <c r="C1726" t="s">
        <v>5022</v>
      </c>
      <c r="E1726" t="s">
        <v>5359</v>
      </c>
      <c r="F1726" t="str">
        <f t="shared" si="26"/>
        <v>"C:\Program Files\VideoLAN\VLC\vlc.exe" "http://www.radiofeeds.net/playlists/bauer.pls?station=freecoventry-aac"</v>
      </c>
      <c r="M1726" t="str">
        <f>VLOOKUP(A1726,logos!$A$2:$A$10004,1,FALSE)</f>
        <v>Free Radio (Coventry &amp; Warwickshire)</v>
      </c>
    </row>
    <row r="1727" spans="1:13" hidden="1" x14ac:dyDescent="0.55000000000000004">
      <c r="A1727" t="s">
        <v>2661</v>
      </c>
      <c r="B1727" t="s">
        <v>1662</v>
      </c>
      <c r="C1727" t="s">
        <v>5023</v>
      </c>
      <c r="E1727" t="s">
        <v>5359</v>
      </c>
      <c r="F1727" t="str">
        <f t="shared" si="26"/>
        <v>"C:\Program Files\VideoLAN\VLC\vlc.exe" "http://www.radiofeeds.net/playlists/bauer.pls?station=freehereford-aac"</v>
      </c>
      <c r="M1727" t="e">
        <f>VLOOKUP(A1727,logos!$A$2:$A$10004,1,FALSE)</f>
        <v>#N/A</v>
      </c>
    </row>
    <row r="1728" spans="1:13" hidden="1" x14ac:dyDescent="0.55000000000000004">
      <c r="A1728" t="s">
        <v>1580</v>
      </c>
      <c r="B1728" t="s">
        <v>1662</v>
      </c>
      <c r="C1728" t="s">
        <v>5024</v>
      </c>
      <c r="E1728" t="s">
        <v>5359</v>
      </c>
      <c r="F1728" t="str">
        <f t="shared" si="26"/>
        <v>"C:\Program Files\VideoLAN\VLC\vlc.exe" "http://www.radiofeeds.net/playlists/bauer.pls?station=freeshropshire-aac"</v>
      </c>
      <c r="M1728" t="str">
        <f>VLOOKUP(A1728,logos!$A$2:$A$10004,1,FALSE)</f>
        <v>Free Radio (Shropshire)</v>
      </c>
    </row>
    <row r="1729" spans="1:13" hidden="1" x14ac:dyDescent="0.55000000000000004">
      <c r="A1729" t="s">
        <v>1678</v>
      </c>
      <c r="B1729" t="s">
        <v>1679</v>
      </c>
      <c r="C1729" t="s">
        <v>5025</v>
      </c>
      <c r="E1729" t="s">
        <v>5359</v>
      </c>
      <c r="F1729" t="str">
        <f t="shared" si="26"/>
        <v>"C:\Program Files\VideoLAN\VLC\vlc.exe" "http://www.friskradio.com:8000/stream1.m3u"</v>
      </c>
      <c r="M1729" t="e">
        <f>VLOOKUP(A1729,logos!$A$2:$A$10004,1,FALSE)</f>
        <v>#N/A</v>
      </c>
    </row>
    <row r="1730" spans="1:13" hidden="1" x14ac:dyDescent="0.55000000000000004">
      <c r="A1730" t="s">
        <v>428</v>
      </c>
      <c r="B1730" t="s">
        <v>1662</v>
      </c>
      <c r="C1730" t="s">
        <v>5026</v>
      </c>
      <c r="E1730" t="s">
        <v>5359</v>
      </c>
      <c r="F1730" t="str">
        <f t="shared" si="26"/>
        <v>"C:\Program Files\VideoLAN\VLC\vlc.exe" "http://www.radiofeeds.net/playlists/sharptemp.pls?station=funkids-aac"</v>
      </c>
      <c r="M1730" t="e">
        <f>VLOOKUP(A1730,logos!$A$2:$A$10004,1,FALSE)</f>
        <v>#N/A</v>
      </c>
    </row>
    <row r="1731" spans="1:13" hidden="1" x14ac:dyDescent="0.55000000000000004">
      <c r="A1731" t="s">
        <v>430</v>
      </c>
      <c r="B1731" t="s">
        <v>1668</v>
      </c>
      <c r="C1731" t="s">
        <v>5027</v>
      </c>
      <c r="E1731" t="s">
        <v>5359</v>
      </c>
      <c r="F1731" t="str">
        <f t="shared" ref="F1731:F1794" si="27">"""C:\Program Files\VideoLAN\VLC\vlc.exe"" """&amp;C1731&amp;""""</f>
        <v>"C:\Program Files\VideoLAN\VLC\vlc.exe" "http://www.radiofeeds.net/playlists/sharptemp.pls?station=funkidsjunior-aac"</v>
      </c>
      <c r="M1731" t="e">
        <f>VLOOKUP(A1731,logos!$A$2:$A$10004,1,FALSE)</f>
        <v>#N/A</v>
      </c>
    </row>
    <row r="1732" spans="1:13" hidden="1" x14ac:dyDescent="0.55000000000000004">
      <c r="A1732" t="s">
        <v>432</v>
      </c>
      <c r="B1732" t="s">
        <v>1668</v>
      </c>
      <c r="C1732" t="s">
        <v>5028</v>
      </c>
      <c r="E1732" t="s">
        <v>5359</v>
      </c>
      <c r="F1732" t="str">
        <f t="shared" si="27"/>
        <v>"C:\Program Files\VideoLAN\VLC\vlc.exe" "http://stream.rcs.revma.com/06806khmh5zuv.m3u"</v>
      </c>
      <c r="M1732" t="str">
        <f>VLOOKUP(A1732,logos!$A$2:$A$10004,1,FALSE)</f>
        <v>Fun Kids Naps</v>
      </c>
    </row>
    <row r="1733" spans="1:13" hidden="1" x14ac:dyDescent="0.55000000000000004">
      <c r="A1733" t="s">
        <v>434</v>
      </c>
      <c r="B1733" t="s">
        <v>1662</v>
      </c>
      <c r="C1733" t="s">
        <v>5029</v>
      </c>
      <c r="E1733" t="s">
        <v>5359</v>
      </c>
      <c r="F1733" t="str">
        <f t="shared" si="27"/>
        <v>"C:\Program Files\VideoLAN\VLC\vlc.exe" "http://stream.rcs.revma.com/d3xb3hq3tm0uv.m3u"</v>
      </c>
      <c r="M1733" t="e">
        <f>VLOOKUP(A1733,logos!$A$2:$A$10004,1,FALSE)</f>
        <v>#N/A</v>
      </c>
    </row>
    <row r="1734" spans="1:13" hidden="1" x14ac:dyDescent="0.55000000000000004">
      <c r="A1734" t="s">
        <v>2662</v>
      </c>
      <c r="B1734" t="s">
        <v>1662</v>
      </c>
      <c r="C1734" t="s">
        <v>5030</v>
      </c>
      <c r="E1734" t="s">
        <v>5359</v>
      </c>
      <c r="F1734" t="str">
        <f t="shared" si="27"/>
        <v>"C:\Program Files\VideoLAN\VLC\vlc.exe" "http://www.radiofeeds.net/playlists/sharptemp.pls?station=467_gaydio_birmingham_48_aac"</v>
      </c>
      <c r="M1734" t="e">
        <f>VLOOKUP(A1734,logos!$A$2:$A$10004,1,FALSE)</f>
        <v>#N/A</v>
      </c>
    </row>
    <row r="1735" spans="1:13" hidden="1" x14ac:dyDescent="0.55000000000000004">
      <c r="A1735" t="s">
        <v>2663</v>
      </c>
      <c r="B1735" t="s">
        <v>1662</v>
      </c>
      <c r="C1735" t="s">
        <v>5031</v>
      </c>
      <c r="E1735" t="s">
        <v>5359</v>
      </c>
      <c r="F1735" t="str">
        <f t="shared" si="27"/>
        <v>"C:\Program Files\VideoLAN\VLC\vlc.exe" "http://www.radiofeeds.net/playlists/sharptemp.pls?station=76_gaydio_scotland_48_aac"</v>
      </c>
      <c r="M1735" t="e">
        <f>VLOOKUP(A1735,logos!$A$2:$A$10004,1,FALSE)</f>
        <v>#N/A</v>
      </c>
    </row>
    <row r="1736" spans="1:13" hidden="1" x14ac:dyDescent="0.55000000000000004">
      <c r="A1736" t="s">
        <v>2664</v>
      </c>
      <c r="B1736" t="s">
        <v>1662</v>
      </c>
      <c r="C1736" t="s">
        <v>5032</v>
      </c>
      <c r="E1736" t="s">
        <v>5359</v>
      </c>
      <c r="F1736" t="str">
        <f t="shared" si="27"/>
        <v>"C:\Program Files\VideoLAN\VLC\vlc.exe" "http://www.radiofeeds.net/playlists/sharptemp.pls?station=472_gaydio_london_48_aac"</v>
      </c>
      <c r="M1736" t="e">
        <f>VLOOKUP(A1736,logos!$A$2:$A$10004,1,FALSE)</f>
        <v>#N/A</v>
      </c>
    </row>
    <row r="1737" spans="1:13" hidden="1" x14ac:dyDescent="0.55000000000000004">
      <c r="A1737" t="s">
        <v>2665</v>
      </c>
      <c r="B1737" t="s">
        <v>1662</v>
      </c>
      <c r="C1737" t="s">
        <v>5033</v>
      </c>
      <c r="E1737" t="s">
        <v>5359</v>
      </c>
      <c r="F1737" t="str">
        <f t="shared" si="27"/>
        <v>"C:\Program Files\VideoLAN\VLC\vlc.exe" "http://www.radiofeeds.net/playlists/sharptemp.pls?station=gaydiouk-aac"</v>
      </c>
      <c r="M1737" t="e">
        <f>VLOOKUP(A1737,logos!$A$2:$A$10004,1,FALSE)</f>
        <v>#N/A</v>
      </c>
    </row>
    <row r="1738" spans="1:13" hidden="1" x14ac:dyDescent="0.55000000000000004">
      <c r="A1738" t="s">
        <v>449</v>
      </c>
      <c r="B1738" t="s">
        <v>1662</v>
      </c>
      <c r="C1738" t="s">
        <v>5034</v>
      </c>
      <c r="E1738" t="s">
        <v>5359</v>
      </c>
      <c r="F1738" t="str">
        <f t="shared" si="27"/>
        <v>"C:\Program Files\VideoLAN\VLC\vlc.exe" "http://www.radiofeeds.net/playlists/sharptemp.pls?station=gbnews-aac"</v>
      </c>
      <c r="M1738" t="e">
        <f>VLOOKUP(A1738,logos!$A$2:$A$10004,1,FALSE)</f>
        <v>#N/A</v>
      </c>
    </row>
    <row r="1739" spans="1:13" hidden="1" x14ac:dyDescent="0.55000000000000004">
      <c r="A1739" t="s">
        <v>451</v>
      </c>
      <c r="B1739" t="s">
        <v>1662</v>
      </c>
      <c r="C1739" t="s">
        <v>5035</v>
      </c>
      <c r="E1739" t="s">
        <v>5359</v>
      </c>
      <c r="F1739" t="str">
        <f t="shared" si="27"/>
        <v>"C:\Program Files\VideoLAN\VLC\vlc.exe" "http://www.radiofeeds.net/playlists/bauer.pls?station=gem106-aac.m3u"</v>
      </c>
      <c r="M1739" t="str">
        <f>VLOOKUP(A1739,logos!$A$2:$A$10004,1,FALSE)</f>
        <v>Gem</v>
      </c>
    </row>
    <row r="1740" spans="1:13" hidden="1" x14ac:dyDescent="0.55000000000000004">
      <c r="A1740" t="s">
        <v>453</v>
      </c>
      <c r="B1740" t="s">
        <v>1668</v>
      </c>
      <c r="C1740" t="s">
        <v>5036</v>
      </c>
      <c r="E1740" t="s">
        <v>5359</v>
      </c>
      <c r="F1740" t="str">
        <f t="shared" si="27"/>
        <v>"C:\Program Files\VideoLAN\VLC\vlc.exe" "http://stream.getradio.co.uk/aac64.m3u"</v>
      </c>
      <c r="M1740" t="e">
        <f>VLOOKUP(A1740,logos!$A$2:$A$10004,1,FALSE)</f>
        <v>#N/A</v>
      </c>
    </row>
    <row r="1741" spans="1:13" hidden="1" x14ac:dyDescent="0.55000000000000004">
      <c r="A1741" t="s">
        <v>453</v>
      </c>
      <c r="B1741" t="s">
        <v>1663</v>
      </c>
      <c r="C1741" t="s">
        <v>5037</v>
      </c>
      <c r="E1741" t="s">
        <v>5359</v>
      </c>
      <c r="F1741" t="str">
        <f t="shared" si="27"/>
        <v>"C:\Program Files\VideoLAN\VLC\vlc.exe" "http://stream.getradio.co.uk/aac.m3u"</v>
      </c>
      <c r="M1741" t="e">
        <f>VLOOKUP(A1741,logos!$A$2:$A$10004,1,FALSE)</f>
        <v>#N/A</v>
      </c>
    </row>
    <row r="1742" spans="1:13" hidden="1" x14ac:dyDescent="0.55000000000000004">
      <c r="A1742" t="s">
        <v>459</v>
      </c>
      <c r="B1742" t="s">
        <v>1662</v>
      </c>
      <c r="C1742" t="s">
        <v>5038</v>
      </c>
      <c r="E1742" t="s">
        <v>5359</v>
      </c>
      <c r="F1742" t="str">
        <f t="shared" si="27"/>
        <v>"C:\Program Files\VideoLAN\VLC\vlc.exe" "http://icecast.thisisdax.com/Gold.m3u"</v>
      </c>
      <c r="M1742" t="str">
        <f>VLOOKUP(A1742,logos!$A$2:$A$10004,1,FALSE)</f>
        <v>Gold</v>
      </c>
    </row>
    <row r="1743" spans="1:13" hidden="1" x14ac:dyDescent="0.55000000000000004">
      <c r="A1743" t="s">
        <v>459</v>
      </c>
      <c r="B1743" t="s">
        <v>1669</v>
      </c>
      <c r="C1743" t="s">
        <v>5039</v>
      </c>
      <c r="E1743" t="s">
        <v>5359</v>
      </c>
      <c r="F1743" t="str">
        <f t="shared" si="27"/>
        <v>"C:\Program Files\VideoLAN\VLC\vlc.exe" "http://media-ice.musicradio.com/GoldAdwHD.m3u"</v>
      </c>
      <c r="M1743" t="str">
        <f>VLOOKUP(A1743,logos!$A$2:$A$10004,1,FALSE)</f>
        <v>Gold</v>
      </c>
    </row>
    <row r="1744" spans="1:13" hidden="1" x14ac:dyDescent="0.55000000000000004">
      <c r="A1744" t="s">
        <v>463</v>
      </c>
      <c r="B1744" t="s">
        <v>1662</v>
      </c>
      <c r="C1744" t="s">
        <v>5040</v>
      </c>
      <c r="E1744" t="s">
        <v>5359</v>
      </c>
      <c r="F1744" t="str">
        <f t="shared" si="27"/>
        <v>"C:\Program Files\VideoLAN\VLC\vlc.exe" "http://stream.rcs.revma.com/xb30qqsuvrhvv.m3u"</v>
      </c>
      <c r="M1744" t="e">
        <f>VLOOKUP(A1744,logos!$A$2:$A$10004,1,FALSE)</f>
        <v>#N/A</v>
      </c>
    </row>
    <row r="1745" spans="1:13" hidden="1" x14ac:dyDescent="0.55000000000000004">
      <c r="A1745" t="s">
        <v>2666</v>
      </c>
      <c r="B1745" t="s">
        <v>1662</v>
      </c>
      <c r="C1745" t="s">
        <v>5041</v>
      </c>
      <c r="E1745" t="s">
        <v>5359</v>
      </c>
      <c r="F1745" t="str">
        <f t="shared" si="27"/>
        <v>"C:\Program Files\VideoLAN\VLC\vlc.exe" "http://www.radiofeeds.net/playlists/bauer.pls?station=net2essex-aac"</v>
      </c>
      <c r="M1745" t="str">
        <f>VLOOKUP(A1745,logos!$A$2:$A$10004,1,FALSE)</f>
        <v>Greatest Hits Radio (East) (Essex)</v>
      </c>
    </row>
    <row r="1746" spans="1:13" hidden="1" x14ac:dyDescent="0.55000000000000004">
      <c r="A1746" t="s">
        <v>2667</v>
      </c>
      <c r="B1746" t="s">
        <v>1662</v>
      </c>
      <c r="C1746" t="s">
        <v>5042</v>
      </c>
      <c r="E1746" t="s">
        <v>5359</v>
      </c>
      <c r="F1746" t="str">
        <f t="shared" si="27"/>
        <v>"C:\Program Files\VideoLAN\VLC\vlc.exe" "http://www.radiofeeds.net/playlists/bauer.pls?station=net2suffolk-aac"</v>
      </c>
      <c r="M1746" t="str">
        <f>VLOOKUP(A1746,logos!$A$2:$A$10004,1,FALSE)</f>
        <v>Greatest Hits Radio (East) (Ipswich &amp; Suffolk)</v>
      </c>
    </row>
    <row r="1747" spans="1:13" hidden="1" x14ac:dyDescent="0.55000000000000004">
      <c r="A1747" t="s">
        <v>2668</v>
      </c>
      <c r="B1747" t="s">
        <v>1662</v>
      </c>
      <c r="C1747" t="s">
        <v>5043</v>
      </c>
      <c r="E1747" t="s">
        <v>5359</v>
      </c>
      <c r="F1747" t="str">
        <f t="shared" si="27"/>
        <v>"C:\Program Files\VideoLAN\VLC\vlc.exe" "http://www.radiofeeds.net/playlists/bauer.pls?station=net2norfolk-aac"</v>
      </c>
      <c r="M1747" t="str">
        <f>VLOOKUP(A1747,logos!$A$2:$A$10004,1,FALSE)</f>
        <v>Greatest Hits Radio (East) (Norfolk &amp; North Suffolk)</v>
      </c>
    </row>
    <row r="1748" spans="1:13" hidden="1" x14ac:dyDescent="0.55000000000000004">
      <c r="A1748" t="s">
        <v>2669</v>
      </c>
      <c r="B1748" t="s">
        <v>1662</v>
      </c>
      <c r="C1748" t="s">
        <v>5044</v>
      </c>
      <c r="E1748" t="s">
        <v>5359</v>
      </c>
      <c r="F1748" t="str">
        <f t="shared" si="27"/>
        <v>"C:\Program Files\VideoLAN\VLC\vlc.exe" "http://www.radiofeeds.net/playlists/bauer.pls?station=net2westnorfolk-aac"</v>
      </c>
      <c r="M1748" t="str">
        <f>VLOOKUP(A1748,logos!$A$2:$A$10004,1,FALSE)</f>
        <v>Greatest Hits Radio (East) (West Norfolk)</v>
      </c>
    </row>
    <row r="1749" spans="1:13" hidden="1" x14ac:dyDescent="0.55000000000000004">
      <c r="A1749" t="s">
        <v>1590</v>
      </c>
      <c r="B1749" t="s">
        <v>1662</v>
      </c>
      <c r="C1749" t="s">
        <v>5045</v>
      </c>
      <c r="E1749" t="s">
        <v>5359</v>
      </c>
      <c r="F1749" t="str">
        <f t="shared" si="27"/>
        <v>"C:\Program Files\VideoLAN\VLC\vlc.exe" "http://www.radiofeeds.net/playlists/bauer.pls?station=net2london-aac"</v>
      </c>
      <c r="M1749" t="str">
        <f>VLOOKUP(A1749,logos!$A$2:$A$10004,1,FALSE)</f>
        <v>Greatest Hits Radio (London)</v>
      </c>
    </row>
    <row r="1750" spans="1:13" hidden="1" x14ac:dyDescent="0.55000000000000004">
      <c r="A1750" t="s">
        <v>2670</v>
      </c>
      <c r="B1750" t="s">
        <v>1662</v>
      </c>
      <c r="C1750" t="s">
        <v>5046</v>
      </c>
      <c r="E1750" t="s">
        <v>5359</v>
      </c>
      <c r="F1750" t="str">
        <f t="shared" si="27"/>
        <v>"C:\Program Files\VideoLAN\VLC\vlc.exe" "http://www.radiofeeds.net/playlists/bauer.pls?station=net2westmidlands-aac"</v>
      </c>
      <c r="M1750" t="str">
        <f>VLOOKUP(A1750,logos!$A$2:$A$10004,1,FALSE)</f>
        <v>Greatest Hits Radio (Midlands) (Birmingham &amp; the West Midlands)</v>
      </c>
    </row>
    <row r="1751" spans="1:13" hidden="1" x14ac:dyDescent="0.55000000000000004">
      <c r="A1751" t="s">
        <v>2671</v>
      </c>
      <c r="B1751" t="s">
        <v>1662</v>
      </c>
      <c r="C1751" t="s">
        <v>5047</v>
      </c>
      <c r="E1751" t="s">
        <v>5359</v>
      </c>
      <c r="F1751" t="str">
        <f t="shared" si="27"/>
        <v>"C:\Program Files\VideoLAN\VLC\vlc.exe" "http://www.radiofeeds.net/playlists/bauer.pls?station=net2wolverhampton-aac"</v>
      </c>
      <c r="M1751" t="str">
        <f>VLOOKUP(A1751,logos!$A$2:$A$10004,1,FALSE)</f>
        <v>Greatest Hits Radio (Midlands) (Black Country &amp; Shropshire) (Black Country)</v>
      </c>
    </row>
    <row r="1752" spans="1:13" hidden="1" x14ac:dyDescent="0.55000000000000004">
      <c r="A1752" t="s">
        <v>2672</v>
      </c>
      <c r="B1752" t="s">
        <v>1662</v>
      </c>
      <c r="C1752" t="s">
        <v>5048</v>
      </c>
      <c r="E1752" t="s">
        <v>5359</v>
      </c>
      <c r="F1752" t="str">
        <f t="shared" si="27"/>
        <v>"C:\Program Files\VideoLAN\VLC\vlc.exe" "http://www.radiofeeds.net/playlists/bauer.pls?station=net2coventry-aac"</v>
      </c>
      <c r="M1752" t="str">
        <f>VLOOKUP(A1752,logos!$A$2:$A$10004,1,FALSE)</f>
        <v>Greatest Hits Radio (Midlands) (Coventry &amp; Warwickshire)</v>
      </c>
    </row>
    <row r="1753" spans="1:13" hidden="1" x14ac:dyDescent="0.55000000000000004">
      <c r="A1753" t="s">
        <v>2673</v>
      </c>
      <c r="B1753" t="s">
        <v>1662</v>
      </c>
      <c r="C1753" t="s">
        <v>5049</v>
      </c>
      <c r="E1753" t="s">
        <v>5359</v>
      </c>
      <c r="F1753" t="str">
        <f t="shared" si="27"/>
        <v>"C:\Program Files\VideoLAN\VLC\vlc.exe" "http://www.radiofeeds.net/playlists/bauer.pls?station=net2eastmidlands-aac"</v>
      </c>
      <c r="M1753" t="str">
        <f>VLOOKUP(A1753,logos!$A$2:$A$10004,1,FALSE)</f>
        <v>Greatest Hits Radio (Midlands) (East Midlands)</v>
      </c>
    </row>
    <row r="1754" spans="1:13" hidden="1" x14ac:dyDescent="0.55000000000000004">
      <c r="A1754" t="s">
        <v>2674</v>
      </c>
      <c r="B1754" t="s">
        <v>1662</v>
      </c>
      <c r="C1754" t="s">
        <v>5050</v>
      </c>
      <c r="E1754" t="s">
        <v>5359</v>
      </c>
      <c r="F1754" t="str">
        <f t="shared" si="27"/>
        <v>"C:\Program Files\VideoLAN\VLC\vlc.exe" "http://www.radiofeeds.net/playlists/bauer.pls?station=net2worcester-aac"</v>
      </c>
      <c r="M1754" t="str">
        <f>VLOOKUP(A1754,logos!$A$2:$A$10004,1,FALSE)</f>
        <v>Greatest Hits Radio (Midlands) (Herefordshire &amp; Worcestershire)</v>
      </c>
    </row>
    <row r="1755" spans="1:13" hidden="1" x14ac:dyDescent="0.55000000000000004">
      <c r="A1755" t="s">
        <v>2675</v>
      </c>
      <c r="B1755" t="s">
        <v>1662</v>
      </c>
      <c r="C1755" t="s">
        <v>5051</v>
      </c>
      <c r="E1755" t="s">
        <v>5359</v>
      </c>
      <c r="F1755" t="str">
        <f t="shared" si="27"/>
        <v>"C:\Program Files\VideoLAN\VLC\vlc.exe" "http://www.radiofeeds.net/playlists/bauer.pls?station=net2derbyshire-aac"</v>
      </c>
      <c r="M1755" t="str">
        <f>VLOOKUP(A1755,logos!$A$2:$A$10004,1,FALSE)</f>
        <v>Greatest Hits Radio (Midlands) (South Derbyshire)</v>
      </c>
    </row>
    <row r="1756" spans="1:13" hidden="1" x14ac:dyDescent="0.55000000000000004">
      <c r="A1756" t="s">
        <v>2676</v>
      </c>
      <c r="B1756" t="s">
        <v>1662</v>
      </c>
      <c r="C1756" t="s">
        <v>5052</v>
      </c>
      <c r="E1756" t="s">
        <v>5359</v>
      </c>
      <c r="F1756" t="str">
        <f t="shared" si="27"/>
        <v>"C:\Program Files\VideoLAN\VLC\vlc.exe" "http://www.radiofeeds.net/playlists/bauer.pls?station=net2stoke-aac"</v>
      </c>
      <c r="M1756" t="str">
        <f>VLOOKUP(A1756,logos!$A$2:$A$10004,1,FALSE)</f>
        <v>Greatest Hits Radio (Midlands) (Staffordshire &amp; Cheshire)</v>
      </c>
    </row>
    <row r="1757" spans="1:13" hidden="1" x14ac:dyDescent="0.55000000000000004">
      <c r="A1757" t="s">
        <v>2677</v>
      </c>
      <c r="B1757" t="s">
        <v>1662</v>
      </c>
      <c r="C1757" t="s">
        <v>5053</v>
      </c>
      <c r="E1757" t="s">
        <v>5359</v>
      </c>
      <c r="F1757" t="str">
        <f t="shared" si="27"/>
        <v>"C:\Program Files\VideoLAN\VLC\vlc.exe" "http://www.radiofeeds.net/playlists/bauer.pls?station=net2rutland-aac"</v>
      </c>
      <c r="M1757" t="str">
        <f>VLOOKUP(A1757,logos!$A$2:$A$10004,1,FALSE)</f>
        <v>Greatest Hits Radio (Midlands) (Stamford &amp; Rutland)</v>
      </c>
    </row>
    <row r="1758" spans="1:13" hidden="1" x14ac:dyDescent="0.55000000000000004">
      <c r="A1758" t="s">
        <v>2678</v>
      </c>
      <c r="B1758" t="s">
        <v>1662</v>
      </c>
      <c r="C1758" t="s">
        <v>5054</v>
      </c>
      <c r="E1758" t="s">
        <v>5359</v>
      </c>
      <c r="F1758" t="str">
        <f t="shared" si="27"/>
        <v>"C:\Program Files\VideoLAN\VLC\vlc.exe" "http://www.radiofeeds.net/playlists/bauer.pls?station=magic1170-aac"</v>
      </c>
      <c r="M1758" t="str">
        <f>VLOOKUP(A1758,logos!$A$2:$A$10004,1,FALSE)</f>
        <v>Greatest Hits Radio (North East) (Teesside)</v>
      </c>
    </row>
    <row r="1759" spans="1:13" hidden="1" x14ac:dyDescent="0.55000000000000004">
      <c r="A1759" t="s">
        <v>2679</v>
      </c>
      <c r="B1759" t="s">
        <v>1662</v>
      </c>
      <c r="C1759" t="s">
        <v>5055</v>
      </c>
      <c r="E1759" t="s">
        <v>5359</v>
      </c>
      <c r="F1759" t="str">
        <f t="shared" si="27"/>
        <v>"C:\Program Files\VideoLAN\VLC\vlc.exe" "http://www.radiofeeds.net/playlists/bauer.pls?station=magic1152n-aac"</v>
      </c>
      <c r="M1759" t="str">
        <f>VLOOKUP(A1759,logos!$A$2:$A$10004,1,FALSE)</f>
        <v>Greatest Hits Radio (North East) (Tyne &amp; Wear)</v>
      </c>
    </row>
    <row r="1760" spans="1:13" hidden="1" x14ac:dyDescent="0.55000000000000004">
      <c r="A1760" t="s">
        <v>2680</v>
      </c>
      <c r="B1760" t="s">
        <v>1662</v>
      </c>
      <c r="C1760" t="s">
        <v>5056</v>
      </c>
      <c r="E1760" t="s">
        <v>5359</v>
      </c>
      <c r="F1760" t="str">
        <f t="shared" si="27"/>
        <v>"C:\Program Files\VideoLAN\VLC\vlc.exe" "http://www.radiofeeds.net/playlists/bauer.pls?station=net2cumbria-aac"</v>
      </c>
      <c r="M1760" t="str">
        <f>VLOOKUP(A1760,logos!$A$2:$A$10004,1,FALSE)</f>
        <v>Greatest Hits Radio (North West) (Cumbria)</v>
      </c>
    </row>
    <row r="1761" spans="1:13" hidden="1" x14ac:dyDescent="0.55000000000000004">
      <c r="A1761" t="s">
        <v>2681</v>
      </c>
      <c r="B1761" t="s">
        <v>1662</v>
      </c>
      <c r="C1761" t="s">
        <v>5057</v>
      </c>
      <c r="E1761" t="s">
        <v>5359</v>
      </c>
      <c r="F1761" t="str">
        <f t="shared" si="27"/>
        <v>"C:\Program Files\VideoLAN\VLC\vlc.exe" "http://www.radiofeeds.net/playlists/bauer.pls?station=magic999-aac"</v>
      </c>
      <c r="M1761" t="str">
        <f>VLOOKUP(A1761,logos!$A$2:$A$10004,1,FALSE)</f>
        <v>Greatest Hits Radio (North West) (Lancashire) (DAB)</v>
      </c>
    </row>
    <row r="1762" spans="1:13" hidden="1" x14ac:dyDescent="0.55000000000000004">
      <c r="A1762" t="s">
        <v>2682</v>
      </c>
      <c r="B1762" t="s">
        <v>1662</v>
      </c>
      <c r="C1762" t="s">
        <v>5058</v>
      </c>
      <c r="E1762" t="s">
        <v>5359</v>
      </c>
      <c r="F1762" t="str">
        <f t="shared" si="27"/>
        <v>"C:\Program Files\VideoLAN\VLC\vlc.exe" "http://www.radiofeeds.net/playlists/bauer.pls?station=magic1548-aac"</v>
      </c>
      <c r="M1762" t="str">
        <f>VLOOKUP(A1762,logos!$A$2:$A$10004,1,FALSE)</f>
        <v>Greatest Hits Radio (North West) (Liverpool &amp; the North West) (Liverpool)</v>
      </c>
    </row>
    <row r="1763" spans="1:13" hidden="1" x14ac:dyDescent="0.55000000000000004">
      <c r="A1763" t="s">
        <v>2683</v>
      </c>
      <c r="B1763" t="s">
        <v>1662</v>
      </c>
      <c r="C1763" t="s">
        <v>5059</v>
      </c>
      <c r="E1763" t="s">
        <v>5359</v>
      </c>
      <c r="F1763" t="str">
        <f t="shared" si="27"/>
        <v>"C:\Program Files\VideoLAN\VLC\vlc.exe" "http://www.radiofeeds.net/playlists/bauer.pls?station=magic1152m-aac"</v>
      </c>
      <c r="M1763" t="str">
        <f>VLOOKUP(A1763,logos!$A$2:$A$10004,1,FALSE)</f>
        <v>Greatest Hits Radio (North West) (Manchester &amp; the North West) (DAB &amp; Oldham)</v>
      </c>
    </row>
    <row r="1764" spans="1:13" hidden="1" x14ac:dyDescent="0.55000000000000004">
      <c r="A1764" t="s">
        <v>2684</v>
      </c>
      <c r="B1764" t="s">
        <v>1662</v>
      </c>
      <c r="C1764" t="s">
        <v>5060</v>
      </c>
      <c r="E1764" t="s">
        <v>5359</v>
      </c>
      <c r="F1764" t="str">
        <f t="shared" si="27"/>
        <v>"C:\Program Files\VideoLAN\VLC\vlc.exe" "http://www.radiofeeds.net/playlists/bauer.pls?station=net2stockport-aac"</v>
      </c>
      <c r="M1764" t="str">
        <f>VLOOKUP(A1764,logos!$A$2:$A$10004,1,FALSE)</f>
        <v>Greatest Hits Radio (North West) (South Manchester)</v>
      </c>
    </row>
    <row r="1765" spans="1:13" hidden="1" x14ac:dyDescent="0.55000000000000004">
      <c r="A1765" t="s">
        <v>2685</v>
      </c>
      <c r="B1765" t="s">
        <v>1662</v>
      </c>
      <c r="C1765" t="s">
        <v>5061</v>
      </c>
      <c r="E1765" t="s">
        <v>5359</v>
      </c>
      <c r="F1765" t="str">
        <f t="shared" si="27"/>
        <v>"C:\Program Files\VideoLAN\VLC\vlc.exe" "http://www.radiofeeds.net/playlists/bauer.pls?station=net2wigan-aac"</v>
      </c>
      <c r="M1765" t="str">
        <f>VLOOKUP(A1765,logos!$A$2:$A$10004,1,FALSE)</f>
        <v>Greatest Hits Radio (North West) (Wigan &amp; St Helens)</v>
      </c>
    </row>
    <row r="1766" spans="1:13" hidden="1" x14ac:dyDescent="0.55000000000000004">
      <c r="A1766" t="s">
        <v>2686</v>
      </c>
      <c r="B1766" t="s">
        <v>1662</v>
      </c>
      <c r="C1766" t="s">
        <v>5062</v>
      </c>
      <c r="E1766" t="s">
        <v>5359</v>
      </c>
      <c r="F1766" t="str">
        <f t="shared" si="27"/>
        <v>"C:\Program Files\VideoLAN\VLC\vlc.exe" "http://www.radiofeeds.net/playlists/bauer.pls?station=net2berkshire-aac"</v>
      </c>
      <c r="M1766" t="str">
        <f>VLOOKUP(A1766,logos!$A$2:$A$10004,1,FALSE)</f>
        <v>Greatest Hits Radio (South) (Berkshire &amp; North Hampshire)</v>
      </c>
    </row>
    <row r="1767" spans="1:13" hidden="1" x14ac:dyDescent="0.55000000000000004">
      <c r="A1767" t="s">
        <v>2687</v>
      </c>
      <c r="B1767" t="s">
        <v>1662</v>
      </c>
      <c r="C1767" t="s">
        <v>5063</v>
      </c>
      <c r="E1767" t="s">
        <v>5359</v>
      </c>
      <c r="F1767" t="str">
        <f t="shared" si="27"/>
        <v>"C:\Program Files\VideoLAN\VLC\vlc.exe" "http://www.radiofeeds.net/playlists/bauer.pls?station=net2bournemouth-aac"</v>
      </c>
      <c r="M1767" t="str">
        <f>VLOOKUP(A1767,logos!$A$2:$A$10004,1,FALSE)</f>
        <v>Greatest Hits Radio (South) (Bournemouth &amp; Poole)</v>
      </c>
    </row>
    <row r="1768" spans="1:13" hidden="1" x14ac:dyDescent="0.55000000000000004">
      <c r="A1768" t="s">
        <v>2688</v>
      </c>
      <c r="B1768" t="s">
        <v>1662</v>
      </c>
      <c r="C1768" t="s">
        <v>5064</v>
      </c>
      <c r="E1768" t="s">
        <v>5359</v>
      </c>
      <c r="F1768" t="str">
        <f t="shared" si="27"/>
        <v>"C:\Program Files\VideoLAN\VLC\vlc.exe" "http://www.radiofeeds.net/playlists/bauer.pls?station=net2aylesbury-aac"</v>
      </c>
      <c r="M1768" t="str">
        <f>VLOOKUP(A1768,logos!$A$2:$A$10004,1,FALSE)</f>
        <v>Greatest Hits Radio (South) (Bucks, Beds &amp; Herts)</v>
      </c>
    </row>
    <row r="1769" spans="1:13" hidden="1" x14ac:dyDescent="0.55000000000000004">
      <c r="A1769" t="s">
        <v>2689</v>
      </c>
      <c r="B1769" t="s">
        <v>1662</v>
      </c>
      <c r="C1769" t="s">
        <v>5065</v>
      </c>
      <c r="E1769" t="s">
        <v>5359</v>
      </c>
      <c r="F1769" t="str">
        <f t="shared" si="27"/>
        <v>"C:\Program Files\VideoLAN\VLC\vlc.exe" "http://www.radiofeeds.net/playlists/bauer.pls?station=net2dorset-aac"</v>
      </c>
      <c r="M1769" t="str">
        <f>VLOOKUP(A1769,logos!$A$2:$A$10004,1,FALSE)</f>
        <v>Greatest Hits Radio (South) (North &amp; West Dorset) (East)</v>
      </c>
    </row>
    <row r="1770" spans="1:13" hidden="1" x14ac:dyDescent="0.55000000000000004">
      <c r="A1770" t="s">
        <v>2690</v>
      </c>
      <c r="B1770" t="s">
        <v>1662</v>
      </c>
      <c r="C1770" t="s">
        <v>5066</v>
      </c>
      <c r="E1770" t="s">
        <v>5359</v>
      </c>
      <c r="F1770" t="str">
        <f t="shared" si="27"/>
        <v>"C:\Program Files\VideoLAN\VLC\vlc.exe" "http://www.radiofeeds.net/playlists/bauer.pls?station=net2salisbury-aac"</v>
      </c>
      <c r="M1770" t="str">
        <f>VLOOKUP(A1770,logos!$A$2:$A$10004,1,FALSE)</f>
        <v>Greatest Hits Radio (South) (Salisbury)</v>
      </c>
    </row>
    <row r="1771" spans="1:13" hidden="1" x14ac:dyDescent="0.55000000000000004">
      <c r="A1771" t="s">
        <v>2691</v>
      </c>
      <c r="B1771" t="s">
        <v>1662</v>
      </c>
      <c r="C1771" t="s">
        <v>5067</v>
      </c>
      <c r="E1771" t="s">
        <v>5359</v>
      </c>
      <c r="F1771" t="str">
        <f t="shared" si="27"/>
        <v>"C:\Program Files\VideoLAN\VLC\vlc.exe" "http://www.radiofeeds.net/playlists/bauer.pls?station=net2southcoast-aac"</v>
      </c>
      <c r="M1771" t="str">
        <f>VLOOKUP(A1771,logos!$A$2:$A$10004,1,FALSE)</f>
        <v>Greatest Hits Radio (South) (South Hampshire &amp; Isle of Wight)</v>
      </c>
    </row>
    <row r="1772" spans="1:13" hidden="1" x14ac:dyDescent="0.55000000000000004">
      <c r="A1772" t="s">
        <v>2692</v>
      </c>
      <c r="B1772" t="s">
        <v>1662</v>
      </c>
      <c r="C1772" t="s">
        <v>5068</v>
      </c>
      <c r="E1772" t="s">
        <v>5359</v>
      </c>
      <c r="F1772" t="str">
        <f t="shared" si="27"/>
        <v>"C:\Program Files\VideoLAN\VLC\vlc.exe" "http://www.radiofeeds.net/playlists/bauer.pls?station=net2surrey-aac"</v>
      </c>
      <c r="M1772" t="str">
        <f>VLOOKUP(A1772,logos!$A$2:$A$10004,1,FALSE)</f>
        <v>Greatest Hits Radio (South) (Surrey &amp; East Hampshire)</v>
      </c>
    </row>
    <row r="1773" spans="1:13" hidden="1" x14ac:dyDescent="0.55000000000000004">
      <c r="A1773" t="s">
        <v>2693</v>
      </c>
      <c r="B1773" t="s">
        <v>1662</v>
      </c>
      <c r="C1773" t="s">
        <v>5069</v>
      </c>
      <c r="E1773" t="s">
        <v>5359</v>
      </c>
      <c r="F1773" t="str">
        <f t="shared" si="27"/>
        <v>"C:\Program Files\VideoLAN\VLC\vlc.exe" "http://www.radiofeeds.net/playlists/bauer.pls?station=net2sussex-aac"</v>
      </c>
      <c r="M1773" t="str">
        <f>VLOOKUP(A1773,logos!$A$2:$A$10004,1,FALSE)</f>
        <v>Greatest Hits Radio (South) (West Sussex) (South)</v>
      </c>
    </row>
    <row r="1774" spans="1:13" hidden="1" x14ac:dyDescent="0.55000000000000004">
      <c r="A1774" t="s">
        <v>1592</v>
      </c>
      <c r="B1774" t="s">
        <v>1662</v>
      </c>
      <c r="C1774" t="s">
        <v>5070</v>
      </c>
      <c r="E1774" t="s">
        <v>5359</v>
      </c>
      <c r="F1774" t="str">
        <f t="shared" si="27"/>
        <v>"C:\Program Files\VideoLAN\VLC\vlc.exe" "http://www.radiofeeds.net/playlists/bauer.pls?station=net2southwales-aac"</v>
      </c>
      <c r="M1774" t="str">
        <f>VLOOKUP(A1774,logos!$A$2:$A$10004,1,FALSE)</f>
        <v>Greatest Hits Radio (South Wales)</v>
      </c>
    </row>
    <row r="1775" spans="1:13" hidden="1" x14ac:dyDescent="0.55000000000000004">
      <c r="A1775" t="s">
        <v>2694</v>
      </c>
      <c r="B1775" t="s">
        <v>1662</v>
      </c>
      <c r="C1775" t="s">
        <v>5071</v>
      </c>
      <c r="E1775" t="s">
        <v>5359</v>
      </c>
      <c r="F1775" t="str">
        <f t="shared" si="27"/>
        <v>"C:\Program Files\VideoLAN\VLC\vlc.exe" "http://www.radiofeeds.net/playlists/bauer.pls?station=net2bath-aac"</v>
      </c>
      <c r="M1775" t="str">
        <f>VLOOKUP(A1775,logos!$A$2:$A$10004,1,FALSE)</f>
        <v>Greatest Hits Radio (South West) (Bath &amp; the South West)</v>
      </c>
    </row>
    <row r="1776" spans="1:13" hidden="1" x14ac:dyDescent="0.55000000000000004">
      <c r="A1776" t="s">
        <v>2695</v>
      </c>
      <c r="B1776" t="s">
        <v>1662</v>
      </c>
      <c r="C1776" t="s">
        <v>5072</v>
      </c>
      <c r="E1776" t="s">
        <v>5359</v>
      </c>
      <c r="F1776" t="str">
        <f t="shared" si="27"/>
        <v>"C:\Program Files\VideoLAN\VLC\vlc.exe" "http://www.radiofeeds.net/playlists/bauer.pls?station=net2bristol-aac"</v>
      </c>
      <c r="M1776" t="str">
        <f>VLOOKUP(A1776,logos!$A$2:$A$10004,1,FALSE)</f>
        <v>Greatest Hits Radio (South West) (Bristol &amp; the South West)</v>
      </c>
    </row>
    <row r="1777" spans="1:13" hidden="1" x14ac:dyDescent="0.55000000000000004">
      <c r="A1777" t="s">
        <v>2696</v>
      </c>
      <c r="B1777" t="s">
        <v>1662</v>
      </c>
      <c r="C1777" t="s">
        <v>5073</v>
      </c>
      <c r="E1777" t="s">
        <v>5359</v>
      </c>
      <c r="F1777" t="str">
        <f t="shared" si="27"/>
        <v>"C:\Program Files\VideoLAN\VLC\vlc.exe" "http://www.radiofeeds.net/playlists/bauer.pls?station=net2cornwall-aac"</v>
      </c>
      <c r="M1777" t="str">
        <f>VLOOKUP(A1777,logos!$A$2:$A$10004,1,FALSE)</f>
        <v>Greatest Hits Radio (South West) (Cornwall)</v>
      </c>
    </row>
    <row r="1778" spans="1:13" hidden="1" x14ac:dyDescent="0.55000000000000004">
      <c r="A1778" t="s">
        <v>2697</v>
      </c>
      <c r="B1778" t="s">
        <v>1662</v>
      </c>
      <c r="C1778" t="s">
        <v>5074</v>
      </c>
      <c r="E1778" t="s">
        <v>5359</v>
      </c>
      <c r="F1778" t="str">
        <f t="shared" si="27"/>
        <v>"C:\Program Files\VideoLAN\VLC\vlc.exe" "http://www.radiofeeds.net/playlists/bauer.pls?station=net2devon-aac"</v>
      </c>
      <c r="M1778" t="str">
        <f>VLOOKUP(A1778,logos!$A$2:$A$10004,1,FALSE)</f>
        <v>Greatest Hits Radio (South West) (Devon)</v>
      </c>
    </row>
    <row r="1779" spans="1:13" hidden="1" x14ac:dyDescent="0.55000000000000004">
      <c r="A1779" t="s">
        <v>2698</v>
      </c>
      <c r="B1779" t="s">
        <v>1662</v>
      </c>
      <c r="C1779" t="s">
        <v>5075</v>
      </c>
      <c r="E1779" t="s">
        <v>5359</v>
      </c>
      <c r="F1779" t="str">
        <f t="shared" si="27"/>
        <v>"C:\Program Files\VideoLAN\VLC\vlc.exe" "http://www.radiofeeds.net/playlists/bauer.pls?station=net2gloucester-aac"</v>
      </c>
      <c r="M1779" t="str">
        <f>VLOOKUP(A1779,logos!$A$2:$A$10004,1,FALSE)</f>
        <v>Greatest Hits Radio (South West) (Gloucestershire)</v>
      </c>
    </row>
    <row r="1780" spans="1:13" hidden="1" x14ac:dyDescent="0.55000000000000004">
      <c r="A1780" t="s">
        <v>2699</v>
      </c>
      <c r="B1780" t="s">
        <v>1662</v>
      </c>
      <c r="C1780" t="s">
        <v>5076</v>
      </c>
      <c r="E1780" t="s">
        <v>5359</v>
      </c>
      <c r="F1780" t="str">
        <f t="shared" si="27"/>
        <v>"C:\Program Files\VideoLAN\VLC\vlc.exe" "http://www.radiofeeds.net/playlists/bauer.pls?station=net2plymouth-aac"</v>
      </c>
      <c r="M1780" t="str">
        <f>VLOOKUP(A1780,logos!$A$2:$A$10004,1,FALSE)</f>
        <v>Greatest Hits Radio (South West) (Plymouth)</v>
      </c>
    </row>
    <row r="1781" spans="1:13" hidden="1" x14ac:dyDescent="0.55000000000000004">
      <c r="A1781" t="s">
        <v>2700</v>
      </c>
      <c r="B1781" t="s">
        <v>1662</v>
      </c>
      <c r="C1781" t="s">
        <v>5077</v>
      </c>
      <c r="E1781" t="s">
        <v>5359</v>
      </c>
      <c r="F1781" t="str">
        <f t="shared" si="27"/>
        <v>"C:\Program Files\VideoLAN\VLC\vlc.exe" "http://www.radiofeeds.net/playlists/bauer.pls?station=net2somerset-aac"</v>
      </c>
      <c r="M1781" t="str">
        <f>VLOOKUP(A1781,logos!$A$2:$A$10004,1,FALSE)</f>
        <v>Greatest Hits Radio (South West) (Somerset)</v>
      </c>
    </row>
    <row r="1782" spans="1:13" hidden="1" x14ac:dyDescent="0.55000000000000004">
      <c r="A1782" t="s">
        <v>2701</v>
      </c>
      <c r="B1782" t="s">
        <v>1662</v>
      </c>
      <c r="C1782" t="s">
        <v>5078</v>
      </c>
      <c r="E1782" t="s">
        <v>5359</v>
      </c>
      <c r="F1782" t="str">
        <f t="shared" si="27"/>
        <v>"C:\Program Files\VideoLAN\VLC\vlc.exe" "http://www.radiofeeds.net/playlists/bauer.pls?station=net2swindon-aac"</v>
      </c>
      <c r="M1782" t="str">
        <f>VLOOKUP(A1782,logos!$A$2:$A$10004,1,FALSE)</f>
        <v>Greatest Hits Radio (South West) (Swindon)</v>
      </c>
    </row>
    <row r="1783" spans="1:13" hidden="1" x14ac:dyDescent="0.55000000000000004">
      <c r="A1783" t="s">
        <v>2702</v>
      </c>
      <c r="B1783" t="s">
        <v>1662</v>
      </c>
      <c r="C1783" t="s">
        <v>5079</v>
      </c>
      <c r="E1783" t="s">
        <v>5359</v>
      </c>
      <c r="F1783" t="str">
        <f t="shared" si="27"/>
        <v>"C:\Program Files\VideoLAN\VLC\vlc.exe" "http://www.radiofeeds.net/playlists/bauer.pls?station=net2national-aac"</v>
      </c>
      <c r="M1783" t="str">
        <f>VLOOKUP(A1783,logos!$A$2:$A$10004,1,FALSE)</f>
        <v>Greatest Hits Radio (UK)</v>
      </c>
    </row>
    <row r="1784" spans="1:13" hidden="1" x14ac:dyDescent="0.55000000000000004">
      <c r="A1784" t="s">
        <v>2703</v>
      </c>
      <c r="B1784" t="s">
        <v>1662</v>
      </c>
      <c r="C1784" t="s">
        <v>5080</v>
      </c>
      <c r="E1784" t="s">
        <v>5359</v>
      </c>
      <c r="F1784" t="str">
        <f t="shared" si="27"/>
        <v>"C:\Program Files\VideoLAN\VLC\vlc.exe" "http://www.radiofeeds.net/playlists/bauer.pls?station=net2hull-aac"</v>
      </c>
      <c r="M1784" t="str">
        <f>VLOOKUP(A1784,logos!$A$2:$A$10004,1,FALSE)</f>
        <v>Greatest Hits Radio (Yorkshire) (East Yorkshire &amp; Northern Lincolnshire)</v>
      </c>
    </row>
    <row r="1785" spans="1:13" hidden="1" x14ac:dyDescent="0.55000000000000004">
      <c r="A1785" t="s">
        <v>2704</v>
      </c>
      <c r="B1785" t="s">
        <v>1662</v>
      </c>
      <c r="C1785" t="s">
        <v>5081</v>
      </c>
      <c r="E1785" t="s">
        <v>5359</v>
      </c>
      <c r="F1785" t="str">
        <f t="shared" si="27"/>
        <v>"C:\Program Files\VideoLAN\VLC\vlc.exe" "http://www.radiofeeds.net/playlists/bauer.pls?station=net2grimsby-aac"</v>
      </c>
      <c r="M1785" t="str">
        <f>VLOOKUP(A1785,logos!$A$2:$A$10004,1,FALSE)</f>
        <v>Greatest Hits Radio (Yorkshire) (Grimsby)</v>
      </c>
    </row>
    <row r="1786" spans="1:13" hidden="1" x14ac:dyDescent="0.55000000000000004">
      <c r="A1786" t="s">
        <v>2705</v>
      </c>
      <c r="B1786" t="s">
        <v>1662</v>
      </c>
      <c r="C1786" t="s">
        <v>5082</v>
      </c>
      <c r="E1786" t="s">
        <v>5359</v>
      </c>
      <c r="F1786" t="str">
        <f t="shared" si="27"/>
        <v>"C:\Program Files\VideoLAN\VLC\vlc.exe" "http://www.radiofeeds.net/playlists/bauer.pls?station=net2harrogate-aac"</v>
      </c>
      <c r="M1786" t="str">
        <f>VLOOKUP(A1786,logos!$A$2:$A$10004,1,FALSE)</f>
        <v>Greatest Hits Radio (Yorkshire) (Harrogate &amp; the Yorkshire Dales) (Harrogate)</v>
      </c>
    </row>
    <row r="1787" spans="1:13" hidden="1" x14ac:dyDescent="0.55000000000000004">
      <c r="A1787" t="s">
        <v>2706</v>
      </c>
      <c r="B1787" t="s">
        <v>1662</v>
      </c>
      <c r="C1787" t="s">
        <v>5083</v>
      </c>
      <c r="E1787" t="s">
        <v>5359</v>
      </c>
      <c r="F1787" t="str">
        <f t="shared" si="27"/>
        <v>"C:\Program Files\VideoLAN\VLC\vlc.exe" "http://www.radiofeeds.net/playlists/bauer.pls?station=net2lincoln-aac"</v>
      </c>
      <c r="M1787" t="str">
        <f>VLOOKUP(A1787,logos!$A$2:$A$10004,1,FALSE)</f>
        <v>Greatest Hits Radio (Yorkshire) (Lincolnshire)</v>
      </c>
    </row>
    <row r="1788" spans="1:13" hidden="1" x14ac:dyDescent="0.55000000000000004">
      <c r="A1788" t="s">
        <v>2707</v>
      </c>
      <c r="B1788" t="s">
        <v>1662</v>
      </c>
      <c r="C1788" t="s">
        <v>5084</v>
      </c>
      <c r="E1788" t="s">
        <v>5359</v>
      </c>
      <c r="F1788" t="str">
        <f t="shared" si="27"/>
        <v>"C:\Program Files\VideoLAN\VLC\vlc.exe" "http://www.radiofeeds.net/playlists/bauer.pls?station=net2chesterfield-aac"</v>
      </c>
      <c r="M1788" t="str">
        <f>VLOOKUP(A1788,logos!$A$2:$A$10004,1,FALSE)</f>
        <v>Greatest Hits Radio (Yorkshire) (North Derbyshire)</v>
      </c>
    </row>
    <row r="1789" spans="1:13" hidden="1" x14ac:dyDescent="0.55000000000000004">
      <c r="A1789" t="s">
        <v>2708</v>
      </c>
      <c r="B1789" t="s">
        <v>1662</v>
      </c>
      <c r="C1789" t="s">
        <v>5085</v>
      </c>
      <c r="E1789" t="s">
        <v>5359</v>
      </c>
      <c r="F1789" t="str">
        <f t="shared" si="27"/>
        <v>"C:\Program Files\VideoLAN\VLC\vlc.exe" "http://www.radiofeeds.net/playlists/bauer.pls?station=magicam-aac"</v>
      </c>
      <c r="M1789" t="str">
        <f>VLOOKUP(A1789,logos!$A$2:$A$10004,1,FALSE)</f>
        <v>Greatest Hits Radio (Yorkshire) (South Yorkshire)</v>
      </c>
    </row>
    <row r="1790" spans="1:13" hidden="1" x14ac:dyDescent="0.55000000000000004">
      <c r="A1790" t="s">
        <v>2709</v>
      </c>
      <c r="B1790" t="s">
        <v>1662</v>
      </c>
      <c r="C1790" t="s">
        <v>5086</v>
      </c>
      <c r="E1790" t="s">
        <v>5359</v>
      </c>
      <c r="F1790" t="str">
        <f t="shared" si="27"/>
        <v>"C:\Program Files\VideoLAN\VLC\vlc.exe" "http://www.radiofeeds.net/playlists/bauer.pls?station=magic828-aac"</v>
      </c>
      <c r="M1790" t="str">
        <f>VLOOKUP(A1790,logos!$A$2:$A$10004,1,FALSE)</f>
        <v>Greatest Hits Radio (Yorkshire) (West Yorkshire) (Leeds)</v>
      </c>
    </row>
    <row r="1791" spans="1:13" hidden="1" x14ac:dyDescent="0.55000000000000004">
      <c r="A1791" t="s">
        <v>2710</v>
      </c>
      <c r="B1791" t="s">
        <v>1662</v>
      </c>
      <c r="C1791" t="s">
        <v>5087</v>
      </c>
      <c r="E1791" t="s">
        <v>5359</v>
      </c>
      <c r="F1791" t="str">
        <f t="shared" si="27"/>
        <v>"C:\Program Files\VideoLAN\VLC\vlc.exe" "http://www.radiofeeds.net/playlists/bauer.pls?station=net2york-aac"</v>
      </c>
      <c r="M1791" t="str">
        <f>VLOOKUP(A1791,logos!$A$2:$A$10004,1,FALSE)</f>
        <v>Greatest Hits Radio (Yorkshire) (York &amp; North Yorkshire) (York)</v>
      </c>
    </row>
    <row r="1792" spans="1:13" hidden="1" x14ac:dyDescent="0.55000000000000004">
      <c r="A1792" t="s">
        <v>2711</v>
      </c>
      <c r="B1792" t="s">
        <v>1662</v>
      </c>
      <c r="C1792" t="s">
        <v>5088</v>
      </c>
      <c r="E1792" t="s">
        <v>5359</v>
      </c>
      <c r="F1792" t="str">
        <f t="shared" si="27"/>
        <v>"C:\Program Files\VideoLAN\VLC\vlc.exe" "http://www.radiofeeds.net/playlists/bauer.pls?station=net2yorkshirecoast-aac"</v>
      </c>
      <c r="M1792" t="str">
        <f>VLOOKUP(A1792,logos!$A$2:$A$10004,1,FALSE)</f>
        <v>Greatest Hits Radio (Yorkshire) (Yorkshire Coast) (Scarborough)</v>
      </c>
    </row>
    <row r="1793" spans="1:13" hidden="1" x14ac:dyDescent="0.55000000000000004">
      <c r="A1793" t="s">
        <v>566</v>
      </c>
      <c r="B1793" t="s">
        <v>1662</v>
      </c>
      <c r="C1793" t="s">
        <v>5089</v>
      </c>
      <c r="E1793" t="s">
        <v>5359</v>
      </c>
      <c r="F1793" t="str">
        <f t="shared" si="27"/>
        <v>"C:\Program Files\VideoLAN\VLC\vlc.exe" "http://www.radiofeeds.net/playlists/bauer.pls?station=hallam-aac"</v>
      </c>
      <c r="M1793" t="str">
        <f>VLOOKUP(A1793,logos!$A$2:$A$10004,1,FALSE)</f>
        <v>Hallam FM</v>
      </c>
    </row>
    <row r="1794" spans="1:13" hidden="1" x14ac:dyDescent="0.55000000000000004">
      <c r="A1794" t="s">
        <v>2712</v>
      </c>
      <c r="B1794" t="s">
        <v>1662</v>
      </c>
      <c r="C1794" t="s">
        <v>5090</v>
      </c>
      <c r="E1794" t="s">
        <v>5359</v>
      </c>
      <c r="F1794" t="str">
        <f t="shared" si="27"/>
        <v>"C:\Program Files\VideoLAN\VLC\vlc.exe" "http://icecast.thisisdax.com/HeartBedfordshire.m3u"</v>
      </c>
      <c r="M1794" t="str">
        <f>VLOOKUP(A1794,logos!$A$2:$A$10004,1,FALSE)</f>
        <v>Heart (East) (Bedfordshire)</v>
      </c>
    </row>
    <row r="1795" spans="1:13" hidden="1" x14ac:dyDescent="0.55000000000000004">
      <c r="A1795" t="s">
        <v>2713</v>
      </c>
      <c r="B1795" t="s">
        <v>1662</v>
      </c>
      <c r="C1795" t="s">
        <v>5091</v>
      </c>
      <c r="E1795" t="s">
        <v>5359</v>
      </c>
      <c r="F1795" t="str">
        <f t="shared" ref="F1795:F1858" si="28">"""C:\Program Files\VideoLAN\VLC\vlc.exe"" """&amp;C1795&amp;""""</f>
        <v>"C:\Program Files\VideoLAN\VLC\vlc.exe" "http://icecast.thisisdax.com/HeartBedsBucksHerts.m3u"</v>
      </c>
      <c r="M1795" t="str">
        <f>VLOOKUP(A1795,logos!$A$2:$A$10004,1,FALSE)</f>
        <v>Heart (East) (Beds, Bucks &amp; Herts)</v>
      </c>
    </row>
    <row r="1796" spans="1:13" hidden="1" x14ac:dyDescent="0.55000000000000004">
      <c r="A1796" t="s">
        <v>2714</v>
      </c>
      <c r="B1796" t="s">
        <v>1662</v>
      </c>
      <c r="C1796" t="s">
        <v>5092</v>
      </c>
      <c r="E1796" t="s">
        <v>5359</v>
      </c>
      <c r="F1796" t="str">
        <f t="shared" si="28"/>
        <v>"C:\Program Files\VideoLAN\VLC\vlc.exe" "http://icecast.thisisdax.com/HeartCambridge.m3u"</v>
      </c>
      <c r="M1796" t="str">
        <f>VLOOKUP(A1796,logos!$A$2:$A$10004,1,FALSE)</f>
        <v>Heart (East) (Cambridge &amp; Newmarket)</v>
      </c>
    </row>
    <row r="1797" spans="1:13" hidden="1" x14ac:dyDescent="0.55000000000000004">
      <c r="A1797" t="s">
        <v>2715</v>
      </c>
      <c r="B1797" t="s">
        <v>1662</v>
      </c>
      <c r="C1797" t="s">
        <v>5093</v>
      </c>
      <c r="E1797" t="s">
        <v>5359</v>
      </c>
      <c r="F1797" t="str">
        <f t="shared" si="28"/>
        <v>"C:\Program Files\VideoLAN\VLC\vlc.exe" "http://icecast.thisisdax.com/HeartColchester.m3u"</v>
      </c>
      <c r="M1797" t="str">
        <f>VLOOKUP(A1797,logos!$A$2:$A$10004,1,FALSE)</f>
        <v>Heart (East) (Colchester)</v>
      </c>
    </row>
    <row r="1798" spans="1:13" hidden="1" x14ac:dyDescent="0.55000000000000004">
      <c r="A1798" t="s">
        <v>2716</v>
      </c>
      <c r="B1798" t="s">
        <v>1662</v>
      </c>
      <c r="C1798" t="s">
        <v>5094</v>
      </c>
      <c r="E1798" t="s">
        <v>5359</v>
      </c>
      <c r="F1798" t="str">
        <f t="shared" si="28"/>
        <v>"C:\Program Files\VideoLAN\VLC\vlc.exe" "http://icecast.thisisdax.com/HeartPeterborough.m3u"</v>
      </c>
      <c r="M1798" t="str">
        <f>VLOOKUP(A1798,logos!$A$2:$A$10004,1,FALSE)</f>
        <v>Heart (East) (Greater Peterborough)</v>
      </c>
    </row>
    <row r="1799" spans="1:13" hidden="1" x14ac:dyDescent="0.55000000000000004">
      <c r="A1799" t="s">
        <v>2717</v>
      </c>
      <c r="B1799" t="s">
        <v>1662</v>
      </c>
      <c r="C1799" t="s">
        <v>5095</v>
      </c>
      <c r="E1799" t="s">
        <v>5359</v>
      </c>
      <c r="F1799" t="str">
        <f t="shared" si="28"/>
        <v>"C:\Program Files\VideoLAN\VLC\vlc.exe" "http://icecast.thisisdax.com/HeartHarlow.m3u"</v>
      </c>
      <c r="M1799" t="str">
        <f>VLOOKUP(A1799,logos!$A$2:$A$10004,1,FALSE)</f>
        <v>Heart (East) (Harlow)</v>
      </c>
    </row>
    <row r="1800" spans="1:13" hidden="1" x14ac:dyDescent="0.55000000000000004">
      <c r="A1800" t="s">
        <v>2718</v>
      </c>
      <c r="B1800" t="s">
        <v>1662</v>
      </c>
      <c r="C1800" t="s">
        <v>5096</v>
      </c>
      <c r="E1800" t="s">
        <v>5359</v>
      </c>
      <c r="F1800" t="str">
        <f t="shared" si="28"/>
        <v>"C:\Program Files\VideoLAN\VLC\vlc.exe" "http://icecast.thisisdax.com/HeartMiltonKeynes.m3u"</v>
      </c>
      <c r="M1800" t="str">
        <f>VLOOKUP(A1800,logos!$A$2:$A$10004,1,FALSE)</f>
        <v>Heart (East) (Milton Keynes)</v>
      </c>
    </row>
    <row r="1801" spans="1:13" hidden="1" x14ac:dyDescent="0.55000000000000004">
      <c r="A1801" t="s">
        <v>2719</v>
      </c>
      <c r="B1801" t="s">
        <v>1662</v>
      </c>
      <c r="C1801" t="s">
        <v>5097</v>
      </c>
      <c r="E1801" t="s">
        <v>5359</v>
      </c>
      <c r="F1801" t="str">
        <f t="shared" si="28"/>
        <v>"C:\Program Files\VideoLAN\VLC\vlc.exe" "http://icecast.thisisdax.com/HeartNorfolk.m3u"</v>
      </c>
      <c r="M1801" t="str">
        <f>VLOOKUP(A1801,logos!$A$2:$A$10004,1,FALSE)</f>
        <v>Heart (East) (Norfolk &amp; North Suffolk)</v>
      </c>
    </row>
    <row r="1802" spans="1:13" hidden="1" x14ac:dyDescent="0.55000000000000004">
      <c r="A1802" t="s">
        <v>2720</v>
      </c>
      <c r="B1802" t="s">
        <v>1662</v>
      </c>
      <c r="C1802" t="s">
        <v>5098</v>
      </c>
      <c r="E1802" t="s">
        <v>5359</v>
      </c>
      <c r="F1802" t="str">
        <f t="shared" si="28"/>
        <v>"C:\Program Files\VideoLAN\VLC\vlc.exe" "http://icecast.thisisdax.com/HeartNorthamptonshire.m3u"</v>
      </c>
      <c r="M1802" t="str">
        <f>VLOOKUP(A1802,logos!$A$2:$A$10004,1,FALSE)</f>
        <v>Heart (East) (Northamptonshire)</v>
      </c>
    </row>
    <row r="1803" spans="1:13" hidden="1" x14ac:dyDescent="0.55000000000000004">
      <c r="A1803" t="s">
        <v>2721</v>
      </c>
      <c r="B1803" t="s">
        <v>1662</v>
      </c>
      <c r="C1803" t="s">
        <v>5099</v>
      </c>
      <c r="E1803" t="s">
        <v>5359</v>
      </c>
      <c r="F1803" t="str">
        <f t="shared" si="28"/>
        <v>"C:\Program Files\VideoLAN\VLC\vlc.exe" "http://icecast.thisisdax.com/HeartEssex.m3u"</v>
      </c>
      <c r="M1803" t="str">
        <f>VLOOKUP(A1803,logos!$A$2:$A$10004,1,FALSE)</f>
        <v>Heart (East) (Southend &amp; Chelmsford)</v>
      </c>
    </row>
    <row r="1804" spans="1:13" hidden="1" x14ac:dyDescent="0.55000000000000004">
      <c r="A1804" t="s">
        <v>2722</v>
      </c>
      <c r="B1804" t="s">
        <v>1662</v>
      </c>
      <c r="C1804" t="s">
        <v>5100</v>
      </c>
      <c r="E1804" t="s">
        <v>5359</v>
      </c>
      <c r="F1804" t="str">
        <f t="shared" si="28"/>
        <v>"C:\Program Files\VideoLAN\VLC\vlc.exe" "http://icecast.thisisdax.com/HeartSuffolk.m3u"</v>
      </c>
      <c r="M1804" t="str">
        <f>VLOOKUP(A1804,logos!$A$2:$A$10004,1,FALSE)</f>
        <v>Heart (East) (Suffolk)</v>
      </c>
    </row>
    <row r="1805" spans="1:13" hidden="1" x14ac:dyDescent="0.55000000000000004">
      <c r="A1805" t="s">
        <v>2723</v>
      </c>
      <c r="B1805" t="s">
        <v>1662</v>
      </c>
      <c r="C1805" t="s">
        <v>5101</v>
      </c>
      <c r="E1805" t="s">
        <v>5359</v>
      </c>
      <c r="F1805" t="str">
        <f t="shared" si="28"/>
        <v>"C:\Program Files\VideoLAN\VLC\vlc.exe" "http://icecast.thisisdax.com/HeartHertsNorth.m3u"</v>
      </c>
      <c r="M1805" t="str">
        <f>VLOOKUP(A1805,logos!$A$2:$A$10004,1,FALSE)</f>
        <v>Heart (Hertfordshire) (North)</v>
      </c>
    </row>
    <row r="1806" spans="1:13" hidden="1" x14ac:dyDescent="0.55000000000000004">
      <c r="A1806" t="s">
        <v>2724</v>
      </c>
      <c r="B1806" t="s">
        <v>1662</v>
      </c>
      <c r="C1806" t="s">
        <v>5102</v>
      </c>
      <c r="E1806" t="s">
        <v>5359</v>
      </c>
      <c r="F1806" t="str">
        <f t="shared" si="28"/>
        <v>"C:\Program Files\VideoLAN\VLC\vlc.exe" "http://icecast.thisisdax.com/HeartWatford.m3u"</v>
      </c>
      <c r="M1806" t="str">
        <f>VLOOKUP(A1806,logos!$A$2:$A$10004,1,FALSE)</f>
        <v>Heart (Hertfordshire) (Watford &amp; Hemel)</v>
      </c>
    </row>
    <row r="1807" spans="1:13" hidden="1" x14ac:dyDescent="0.55000000000000004">
      <c r="A1807" t="s">
        <v>2725</v>
      </c>
      <c r="B1807" t="s">
        <v>1662</v>
      </c>
      <c r="C1807" t="s">
        <v>5103</v>
      </c>
      <c r="E1807" t="s">
        <v>5359</v>
      </c>
      <c r="F1807" t="str">
        <f t="shared" si="28"/>
        <v>"C:\Program Files\VideoLAN\VLC\vlc.exe" "http://icecast.thisisdax.com/HeartLondon.m3u"</v>
      </c>
      <c r="M1807" t="str">
        <f>VLOOKUP(A1807,logos!$A$2:$A$10004,1,FALSE)</f>
        <v>Heart (London)</v>
      </c>
    </row>
    <row r="1808" spans="1:13" hidden="1" x14ac:dyDescent="0.55000000000000004">
      <c r="A1808" t="s">
        <v>2726</v>
      </c>
      <c r="B1808" t="s">
        <v>1662</v>
      </c>
      <c r="C1808" t="s">
        <v>5104</v>
      </c>
      <c r="E1808" t="s">
        <v>5359</v>
      </c>
      <c r="F1808" t="str">
        <f t="shared" si="28"/>
        <v>"C:\Program Files\VideoLAN\VLC\vlc.exe" "http://icecast.thisisdax.com/HeartNorthWales.m3u"</v>
      </c>
      <c r="M1808" t="str">
        <f>VLOOKUP(A1808,logos!$A$2:$A$10004,1,FALSE)</f>
        <v>Heart (North &amp; Mid Wales)</v>
      </c>
    </row>
    <row r="1809" spans="1:13" hidden="1" x14ac:dyDescent="0.55000000000000004">
      <c r="A1809" t="s">
        <v>2727</v>
      </c>
      <c r="B1809" t="s">
        <v>1662</v>
      </c>
      <c r="C1809" t="s">
        <v>5105</v>
      </c>
      <c r="E1809" t="s">
        <v>5359</v>
      </c>
      <c r="F1809" t="str">
        <f t="shared" si="28"/>
        <v>"C:\Program Files\VideoLAN\VLC\vlc.exe" "http://icecast.thisisdax.com/HeartTeesside.m3u"</v>
      </c>
      <c r="M1809" t="str">
        <f>VLOOKUP(A1809,logos!$A$2:$A$10004,1,FALSE)</f>
        <v>Heart (North East England) (Teesside)</v>
      </c>
    </row>
    <row r="1810" spans="1:13" hidden="1" x14ac:dyDescent="0.55000000000000004">
      <c r="A1810" t="s">
        <v>2728</v>
      </c>
      <c r="B1810" t="s">
        <v>1662</v>
      </c>
      <c r="C1810" t="s">
        <v>5106</v>
      </c>
      <c r="E1810" t="s">
        <v>5359</v>
      </c>
      <c r="F1810" t="str">
        <f t="shared" si="28"/>
        <v>"C:\Program Files\VideoLAN\VLC\vlc.exe" "http://icecast.thisisdax.com/HeartTyneWear.m3u"</v>
      </c>
      <c r="M1810" t="str">
        <f>VLOOKUP(A1810,logos!$A$2:$A$10004,1,FALSE)</f>
        <v>Heart (North East England) (Tyne &amp; Wear)</v>
      </c>
    </row>
    <row r="1811" spans="1:13" hidden="1" x14ac:dyDescent="0.55000000000000004">
      <c r="A1811" t="s">
        <v>2729</v>
      </c>
      <c r="B1811" t="s">
        <v>1662</v>
      </c>
      <c r="C1811" t="s">
        <v>5107</v>
      </c>
      <c r="E1811" t="s">
        <v>5359</v>
      </c>
      <c r="F1811" t="str">
        <f t="shared" si="28"/>
        <v>"C:\Program Files\VideoLAN\VLC\vlc.exe" "http://icecast.thisisdax.com/HeartNorthLancsCumbria.m3u"</v>
      </c>
      <c r="M1811" t="str">
        <f>VLOOKUP(A1811,logos!$A$2:$A$10004,1,FALSE)</f>
        <v>Heart (North West England) (North Lancashire &amp; Cumbria)</v>
      </c>
    </row>
    <row r="1812" spans="1:13" hidden="1" x14ac:dyDescent="0.55000000000000004">
      <c r="A1812" t="s">
        <v>2730</v>
      </c>
      <c r="B1812" t="s">
        <v>1662</v>
      </c>
      <c r="C1812" t="s">
        <v>5108</v>
      </c>
      <c r="E1812" t="s">
        <v>5359</v>
      </c>
      <c r="F1812" t="str">
        <f t="shared" si="28"/>
        <v>"C:\Program Files\VideoLAN\VLC\vlc.exe" "http://icecast.thisisdax.com/HeartNorthWest.m3u"</v>
      </c>
      <c r="M1812" t="str">
        <f>VLOOKUP(A1812,logos!$A$2:$A$10004,1,FALSE)</f>
        <v>Heart (North West England) (North West England)</v>
      </c>
    </row>
    <row r="1813" spans="1:13" hidden="1" x14ac:dyDescent="0.55000000000000004">
      <c r="A1813" t="s">
        <v>2731</v>
      </c>
      <c r="B1813" t="s">
        <v>1662</v>
      </c>
      <c r="C1813" t="s">
        <v>5109</v>
      </c>
      <c r="E1813" t="s">
        <v>5359</v>
      </c>
      <c r="F1813" t="str">
        <f t="shared" si="28"/>
        <v>"C:\Program Files\VideoLAN\VLC\vlc.exe" "http://icecast.thisisdax.com/HeartEdinburgh.m3u"</v>
      </c>
      <c r="M1813" t="str">
        <f>VLOOKUP(A1813,logos!$A$2:$A$10004,1,FALSE)</f>
        <v>Heart (Scotland) (East)</v>
      </c>
    </row>
    <row r="1814" spans="1:13" hidden="1" x14ac:dyDescent="0.55000000000000004">
      <c r="A1814" t="s">
        <v>2732</v>
      </c>
      <c r="B1814" t="s">
        <v>1662</v>
      </c>
      <c r="C1814" t="s">
        <v>5110</v>
      </c>
      <c r="E1814" t="s">
        <v>5359</v>
      </c>
      <c r="F1814" t="str">
        <f t="shared" si="28"/>
        <v>"C:\Program Files\VideoLAN\VLC\vlc.exe" "http://icecast.thisisdax.com/HeartGlasgow.m3u"</v>
      </c>
      <c r="M1814" t="str">
        <f>VLOOKUP(A1814,logos!$A$2:$A$10004,1,FALSE)</f>
        <v>Heart (Scotland) (West)</v>
      </c>
    </row>
    <row r="1815" spans="1:13" hidden="1" x14ac:dyDescent="0.55000000000000004">
      <c r="A1815" t="s">
        <v>2733</v>
      </c>
      <c r="B1815" t="s">
        <v>1662</v>
      </c>
      <c r="C1815" t="s">
        <v>5111</v>
      </c>
      <c r="E1815" t="s">
        <v>5359</v>
      </c>
      <c r="F1815" t="str">
        <f t="shared" si="28"/>
        <v>"C:\Program Files\VideoLAN\VLC\vlc.exe" "http://icecast.thisisdax.com/HeartBerkshire.m3u"</v>
      </c>
      <c r="M1815" t="str">
        <f>VLOOKUP(A1815,logos!$A$2:$A$10004,1,FALSE)</f>
        <v>Heart (South) (Berkshire &amp; North Hampshire)</v>
      </c>
    </row>
    <row r="1816" spans="1:13" hidden="1" x14ac:dyDescent="0.55000000000000004">
      <c r="A1816" t="s">
        <v>2734</v>
      </c>
      <c r="B1816" t="s">
        <v>1662</v>
      </c>
      <c r="C1816" t="s">
        <v>5112</v>
      </c>
      <c r="E1816" t="s">
        <v>5359</v>
      </c>
      <c r="F1816" t="str">
        <f t="shared" si="28"/>
        <v>"C:\Program Files\VideoLAN\VLC\vlc.exe" "http://icecast.thisisdax.com/HeartCrawley.m3u"</v>
      </c>
      <c r="M1816" t="str">
        <f>VLOOKUP(A1816,logos!$A$2:$A$10004,1,FALSE)</f>
        <v>Heart (South) (Crawley &amp; Surrey)</v>
      </c>
    </row>
    <row r="1817" spans="1:13" hidden="1" x14ac:dyDescent="0.55000000000000004">
      <c r="A1817" t="s">
        <v>2735</v>
      </c>
      <c r="B1817" t="s">
        <v>1662</v>
      </c>
      <c r="C1817" t="s">
        <v>5113</v>
      </c>
      <c r="E1817" t="s">
        <v>5359</v>
      </c>
      <c r="F1817" t="str">
        <f t="shared" si="28"/>
        <v>"C:\Program Files\VideoLAN\VLC\vlc.exe" "http://icecast.thisisdax.com/HeartDorset.m3u"</v>
      </c>
      <c r="M1817" t="str">
        <f>VLOOKUP(A1817,logos!$A$2:$A$10004,1,FALSE)</f>
        <v>Heart (South) (Dorset &amp; The New Forest)</v>
      </c>
    </row>
    <row r="1818" spans="1:13" hidden="1" x14ac:dyDescent="0.55000000000000004">
      <c r="A1818" t="s">
        <v>2736</v>
      </c>
      <c r="B1818" t="s">
        <v>1662</v>
      </c>
      <c r="C1818" t="s">
        <v>5114</v>
      </c>
      <c r="E1818" t="s">
        <v>5359</v>
      </c>
      <c r="F1818" t="str">
        <f t="shared" si="28"/>
        <v>"C:\Program Files\VideoLAN\VLC\vlc.exe" "http://icecast.thisisdax.com/HeartHampshire.m3u"</v>
      </c>
      <c r="M1818" t="str">
        <f>VLOOKUP(A1818,logos!$A$2:$A$10004,1,FALSE)</f>
        <v>Heart (South) (Hampshire &amp; West Sussex)</v>
      </c>
    </row>
    <row r="1819" spans="1:13" hidden="1" x14ac:dyDescent="0.55000000000000004">
      <c r="A1819" t="s">
        <v>2737</v>
      </c>
      <c r="B1819" t="s">
        <v>1662</v>
      </c>
      <c r="C1819" t="s">
        <v>5115</v>
      </c>
      <c r="E1819" t="s">
        <v>5359</v>
      </c>
      <c r="F1819" t="str">
        <f t="shared" si="28"/>
        <v>"C:\Program Files\VideoLAN\VLC\vlc.exe" "http://icecast.thisisdax.com/HeartKent.m3u"</v>
      </c>
      <c r="M1819" t="str">
        <f>VLOOKUP(A1819,logos!$A$2:$A$10004,1,FALSE)</f>
        <v>Heart (South) (Kent)</v>
      </c>
    </row>
    <row r="1820" spans="1:13" hidden="1" x14ac:dyDescent="0.55000000000000004">
      <c r="A1820" t="s">
        <v>2738</v>
      </c>
      <c r="B1820" t="s">
        <v>1662</v>
      </c>
      <c r="C1820" t="s">
        <v>5116</v>
      </c>
      <c r="E1820" t="s">
        <v>5359</v>
      </c>
      <c r="F1820" t="str">
        <f t="shared" si="28"/>
        <v>"C:\Program Files\VideoLAN\VLC\vlc.exe" "http://icecast.thisisdax.com/HeartOxfordshire.m3u"</v>
      </c>
      <c r="M1820" t="str">
        <f>VLOOKUP(A1820,logos!$A$2:$A$10004,1,FALSE)</f>
        <v>Heart (South) (Oxfordshire)</v>
      </c>
    </row>
    <row r="1821" spans="1:13" hidden="1" x14ac:dyDescent="0.55000000000000004">
      <c r="A1821" t="s">
        <v>2739</v>
      </c>
      <c r="B1821" t="s">
        <v>1662</v>
      </c>
      <c r="C1821" t="s">
        <v>5117</v>
      </c>
      <c r="E1821" t="s">
        <v>5359</v>
      </c>
      <c r="F1821" t="str">
        <f t="shared" si="28"/>
        <v>"C:\Program Files\VideoLAN\VLC\vlc.exe" "http://icecast.thisisdax.com/HeartSussex.m3u"</v>
      </c>
      <c r="M1821" t="str">
        <f>VLOOKUP(A1821,logos!$A$2:$A$10004,1,FALSE)</f>
        <v>Heart (South) (Sussex)</v>
      </c>
    </row>
    <row r="1822" spans="1:13" hidden="1" x14ac:dyDescent="0.55000000000000004">
      <c r="A1822" t="s">
        <v>2740</v>
      </c>
      <c r="B1822" t="s">
        <v>1662</v>
      </c>
      <c r="C1822" t="s">
        <v>5118</v>
      </c>
      <c r="E1822" t="s">
        <v>5359</v>
      </c>
      <c r="F1822" t="str">
        <f t="shared" si="28"/>
        <v>"C:\Program Files\VideoLAN\VLC\vlc.exe" "http://icecast.thisisdax.com/HeartSouthWales.m3u"</v>
      </c>
      <c r="M1822" t="str">
        <f>VLOOKUP(A1822,logos!$A$2:$A$10004,1,FALSE)</f>
        <v>Heart (South Wales) (East)</v>
      </c>
    </row>
    <row r="1823" spans="1:13" hidden="1" x14ac:dyDescent="0.55000000000000004">
      <c r="A1823" t="s">
        <v>2741</v>
      </c>
      <c r="B1823" t="s">
        <v>1662</v>
      </c>
      <c r="C1823" t="s">
        <v>5119</v>
      </c>
      <c r="E1823" t="s">
        <v>5359</v>
      </c>
      <c r="F1823" t="str">
        <f t="shared" si="28"/>
        <v>"C:\Program Files\VideoLAN\VLC\vlc.exe" "http://icecast.thisisdax.com/HeartWestWales.m3u"</v>
      </c>
      <c r="M1823" t="str">
        <f>VLOOKUP(A1823,logos!$A$2:$A$10004,1,FALSE)</f>
        <v>Heart (South Wales) (West)</v>
      </c>
    </row>
    <row r="1824" spans="1:13" hidden="1" x14ac:dyDescent="0.55000000000000004">
      <c r="A1824" t="s">
        <v>2742</v>
      </c>
      <c r="B1824" t="s">
        <v>1662</v>
      </c>
      <c r="C1824" t="s">
        <v>5120</v>
      </c>
      <c r="E1824" t="s">
        <v>5359</v>
      </c>
      <c r="F1824" t="str">
        <f t="shared" si="28"/>
        <v>"C:\Program Files\VideoLAN\VLC\vlc.exe" "http://icecast.thisisdax.com/HeartUK.m3u"</v>
      </c>
      <c r="M1824" t="str">
        <f>VLOOKUP(A1824,logos!$A$2:$A$10004,1,FALSE)</f>
        <v>Heart (UK)</v>
      </c>
    </row>
    <row r="1825" spans="1:13" hidden="1" x14ac:dyDescent="0.55000000000000004">
      <c r="A1825" t="s">
        <v>2742</v>
      </c>
      <c r="B1825" t="s">
        <v>1669</v>
      </c>
      <c r="C1825" t="s">
        <v>5121</v>
      </c>
      <c r="E1825" t="s">
        <v>5359</v>
      </c>
      <c r="F1825" t="str">
        <f t="shared" si="28"/>
        <v>"C:\Program Files\VideoLAN\VLC\vlc.exe" "http://icecast.thisisdax.com/HeartUKAdwHD.m3u"</v>
      </c>
      <c r="M1825" t="str">
        <f>VLOOKUP(A1825,logos!$A$2:$A$10004,1,FALSE)</f>
        <v>Heart (UK)</v>
      </c>
    </row>
    <row r="1826" spans="1:13" hidden="1" x14ac:dyDescent="0.55000000000000004">
      <c r="A1826" t="s">
        <v>2743</v>
      </c>
      <c r="B1826" t="s">
        <v>1662</v>
      </c>
      <c r="C1826" t="s">
        <v>5122</v>
      </c>
      <c r="E1826" t="s">
        <v>5359</v>
      </c>
      <c r="F1826" t="str">
        <f t="shared" si="28"/>
        <v>"C:\Program Files\VideoLAN\VLC\vlc.exe" "http://icecast.thisisdax.com/HeartBath.m3u"</v>
      </c>
      <c r="M1826" t="str">
        <f>VLOOKUP(A1826,logos!$A$2:$A$10004,1,FALSE)</f>
        <v>Heart (West) (Bath)</v>
      </c>
    </row>
    <row r="1827" spans="1:13" hidden="1" x14ac:dyDescent="0.55000000000000004">
      <c r="A1827" t="s">
        <v>2744</v>
      </c>
      <c r="B1827" t="s">
        <v>1662</v>
      </c>
      <c r="C1827" t="s">
        <v>5123</v>
      </c>
      <c r="E1827" t="s">
        <v>5359</v>
      </c>
      <c r="F1827" t="str">
        <f t="shared" si="28"/>
        <v>"C:\Program Files\VideoLAN\VLC\vlc.exe" "http://icecast.thisisdax.com/HeartBristol.m3u"</v>
      </c>
      <c r="M1827" t="str">
        <f>VLOOKUP(A1827,logos!$A$2:$A$10004,1,FALSE)</f>
        <v>Heart (West) (Bristol)</v>
      </c>
    </row>
    <row r="1828" spans="1:13" hidden="1" x14ac:dyDescent="0.55000000000000004">
      <c r="A1828" t="s">
        <v>2745</v>
      </c>
      <c r="B1828" t="s">
        <v>1662</v>
      </c>
      <c r="C1828" t="s">
        <v>5124</v>
      </c>
      <c r="E1828" t="s">
        <v>5359</v>
      </c>
      <c r="F1828" t="str">
        <f t="shared" si="28"/>
        <v>"C:\Program Files\VideoLAN\VLC\vlc.exe" "http://icecast.thisisdax.com/HeartCornwall.m3u"</v>
      </c>
      <c r="M1828" t="str">
        <f>VLOOKUP(A1828,logos!$A$2:$A$10004,1,FALSE)</f>
        <v>Heart (West) (Cornwall)</v>
      </c>
    </row>
    <row r="1829" spans="1:13" hidden="1" x14ac:dyDescent="0.55000000000000004">
      <c r="A1829" t="s">
        <v>2746</v>
      </c>
      <c r="B1829" t="s">
        <v>1662</v>
      </c>
      <c r="C1829" t="s">
        <v>5125</v>
      </c>
      <c r="E1829" t="s">
        <v>5359</v>
      </c>
      <c r="F1829" t="str">
        <f t="shared" si="28"/>
        <v>"C:\Program Files\VideoLAN\VLC\vlc.exe" "http://icecast.thisisdax.com/HeartEastDevon.m3u"</v>
      </c>
      <c r="M1829" t="str">
        <f>VLOOKUP(A1829,logos!$A$2:$A$10004,1,FALSE)</f>
        <v>Heart (West) (Exeter &amp; East Devon)</v>
      </c>
    </row>
    <row r="1830" spans="1:13" hidden="1" x14ac:dyDescent="0.55000000000000004">
      <c r="A1830" t="s">
        <v>2747</v>
      </c>
      <c r="B1830" t="s">
        <v>1662</v>
      </c>
      <c r="C1830" t="s">
        <v>5126</v>
      </c>
      <c r="E1830" t="s">
        <v>5359</v>
      </c>
      <c r="F1830" t="str">
        <f t="shared" si="28"/>
        <v>"C:\Program Files\VideoLAN\VLC\vlc.exe" "http://icecast.thisisdax.com/HeartGloucestershire.m3u"</v>
      </c>
      <c r="M1830" t="str">
        <f>VLOOKUP(A1830,logos!$A$2:$A$10004,1,FALSE)</f>
        <v>Heart (West) (Gloucestershire)</v>
      </c>
    </row>
    <row r="1831" spans="1:13" hidden="1" x14ac:dyDescent="0.55000000000000004">
      <c r="A1831" t="s">
        <v>2748</v>
      </c>
      <c r="B1831" t="s">
        <v>1662</v>
      </c>
      <c r="C1831" t="s">
        <v>5127</v>
      </c>
      <c r="E1831" t="s">
        <v>5359</v>
      </c>
      <c r="F1831" t="str">
        <f t="shared" si="28"/>
        <v>"C:\Program Files\VideoLAN\VLC\vlc.exe" "http://icecast.thisisdax.com/HeartNorthDevon.m3u"</v>
      </c>
      <c r="M1831" t="str">
        <f>VLOOKUP(A1831,logos!$A$2:$A$10004,1,FALSE)</f>
        <v>Heart (West) (North Devon)</v>
      </c>
    </row>
    <row r="1832" spans="1:13" hidden="1" x14ac:dyDescent="0.55000000000000004">
      <c r="A1832" t="s">
        <v>2749</v>
      </c>
      <c r="B1832" t="s">
        <v>1662</v>
      </c>
      <c r="C1832" t="s">
        <v>5128</v>
      </c>
      <c r="E1832" t="s">
        <v>5359</v>
      </c>
      <c r="F1832" t="str">
        <f t="shared" si="28"/>
        <v>"C:\Program Files\VideoLAN\VLC\vlc.exe" "http://icecast.thisisdax.com/HeartPlymouth.m3u"</v>
      </c>
      <c r="M1832" t="str">
        <f>VLOOKUP(A1832,logos!$A$2:$A$10004,1,FALSE)</f>
        <v>Heart (West) (Plymouth)</v>
      </c>
    </row>
    <row r="1833" spans="1:13" hidden="1" x14ac:dyDescent="0.55000000000000004">
      <c r="A1833" t="s">
        <v>2750</v>
      </c>
      <c r="B1833" t="s">
        <v>1662</v>
      </c>
      <c r="C1833" t="s">
        <v>5129</v>
      </c>
      <c r="E1833" t="s">
        <v>5359</v>
      </c>
      <c r="F1833" t="str">
        <f t="shared" si="28"/>
        <v>"C:\Program Files\VideoLAN\VLC\vlc.exe" "http://icecast.thisisdax.com/HeartSomerset.m3u"</v>
      </c>
      <c r="M1833" t="str">
        <f>VLOOKUP(A1833,logos!$A$2:$A$10004,1,FALSE)</f>
        <v>Heart (West) (Somerset)</v>
      </c>
    </row>
    <row r="1834" spans="1:13" hidden="1" x14ac:dyDescent="0.55000000000000004">
      <c r="A1834" t="s">
        <v>2751</v>
      </c>
      <c r="B1834" t="s">
        <v>1662</v>
      </c>
      <c r="C1834" t="s">
        <v>5130</v>
      </c>
      <c r="E1834" t="s">
        <v>5359</v>
      </c>
      <c r="F1834" t="str">
        <f t="shared" si="28"/>
        <v>"C:\Program Files\VideoLAN\VLC\vlc.exe" "http://icecast.thisisdax.com/HeartSouthHams.m3u"</v>
      </c>
      <c r="M1834" t="str">
        <f>VLOOKUP(A1834,logos!$A$2:$A$10004,1,FALSE)</f>
        <v>Heart (West) (South Hams)</v>
      </c>
    </row>
    <row r="1835" spans="1:13" hidden="1" x14ac:dyDescent="0.55000000000000004">
      <c r="A1835" t="s">
        <v>2752</v>
      </c>
      <c r="B1835" t="s">
        <v>1662</v>
      </c>
      <c r="C1835" t="s">
        <v>5131</v>
      </c>
      <c r="E1835" t="s">
        <v>5359</v>
      </c>
      <c r="F1835" t="str">
        <f t="shared" si="28"/>
        <v>"C:\Program Files\VideoLAN\VLC\vlc.exe" "http://icecast.thisisdax.com/HeartTorbay.m3u"</v>
      </c>
      <c r="M1835" t="str">
        <f>VLOOKUP(A1835,logos!$A$2:$A$10004,1,FALSE)</f>
        <v>Heart (West) (Torbay)</v>
      </c>
    </row>
    <row r="1836" spans="1:13" hidden="1" x14ac:dyDescent="0.55000000000000004">
      <c r="A1836" t="s">
        <v>2753</v>
      </c>
      <c r="B1836" t="s">
        <v>1662</v>
      </c>
      <c r="C1836" t="s">
        <v>5132</v>
      </c>
      <c r="E1836" t="s">
        <v>5359</v>
      </c>
      <c r="F1836" t="str">
        <f t="shared" si="28"/>
        <v>"C:\Program Files\VideoLAN\VLC\vlc.exe" "http://icecast.thisisdax.com/HeartWiltshire.m3u"</v>
      </c>
      <c r="M1836" t="str">
        <f>VLOOKUP(A1836,logos!$A$2:$A$10004,1,FALSE)</f>
        <v>Heart (West) (Wiltshire)</v>
      </c>
    </row>
    <row r="1837" spans="1:13" hidden="1" x14ac:dyDescent="0.55000000000000004">
      <c r="A1837" t="s">
        <v>2754</v>
      </c>
      <c r="B1837" t="s">
        <v>1662</v>
      </c>
      <c r="C1837" t="s">
        <v>5133</v>
      </c>
      <c r="E1837" t="s">
        <v>5359</v>
      </c>
      <c r="F1837" t="str">
        <f t="shared" si="28"/>
        <v>"C:\Program Files\VideoLAN\VLC\vlc.exe" "http://icecast.thisisdax.com/HeartWestMids.m3u"</v>
      </c>
      <c r="M1837" t="str">
        <f>VLOOKUP(A1837,logos!$A$2:$A$10004,1,FALSE)</f>
        <v>Heart (West Midlands)</v>
      </c>
    </row>
    <row r="1838" spans="1:13" hidden="1" x14ac:dyDescent="0.55000000000000004">
      <c r="A1838" t="s">
        <v>2755</v>
      </c>
      <c r="B1838" t="s">
        <v>1662</v>
      </c>
      <c r="C1838" t="s">
        <v>5134</v>
      </c>
      <c r="E1838" t="s">
        <v>5359</v>
      </c>
      <c r="F1838" t="str">
        <f t="shared" si="28"/>
        <v>"C:\Program Files\VideoLAN\VLC\vlc.exe" "http://icecast.thisisdax.com/HeartYorkshire.m3u"</v>
      </c>
      <c r="M1838" t="str">
        <f>VLOOKUP(A1838,logos!$A$2:$A$10004,1,FALSE)</f>
        <v>Heart (Yorkshire)</v>
      </c>
    </row>
    <row r="1839" spans="1:13" hidden="1" x14ac:dyDescent="0.55000000000000004">
      <c r="A1839" t="s">
        <v>665</v>
      </c>
      <c r="B1839" t="s">
        <v>1662</v>
      </c>
      <c r="C1839" t="s">
        <v>5135</v>
      </c>
      <c r="E1839" t="s">
        <v>5359</v>
      </c>
      <c r="F1839" t="str">
        <f t="shared" si="28"/>
        <v>"C:\Program Files\VideoLAN\VLC\vlc.exe" "http://icecast.thisisdax.com/Heart70s.m3u"</v>
      </c>
      <c r="M1839" t="str">
        <f>VLOOKUP(A1839,logos!$A$2:$A$10004,1,FALSE)</f>
        <v>Heart 70s</v>
      </c>
    </row>
    <row r="1840" spans="1:13" hidden="1" x14ac:dyDescent="0.55000000000000004">
      <c r="A1840" t="s">
        <v>667</v>
      </c>
      <c r="B1840" t="s">
        <v>1662</v>
      </c>
      <c r="C1840" t="s">
        <v>5136</v>
      </c>
      <c r="E1840" t="s">
        <v>5359</v>
      </c>
      <c r="F1840" t="str">
        <f t="shared" si="28"/>
        <v>"C:\Program Files\VideoLAN\VLC\vlc.exe" "http://icecast.thisisdax.com/Heart80s.m3u"</v>
      </c>
      <c r="M1840" t="str">
        <f>VLOOKUP(A1840,logos!$A$2:$A$10004,1,FALSE)</f>
        <v>Heart 80s</v>
      </c>
    </row>
    <row r="1841" spans="1:13" hidden="1" x14ac:dyDescent="0.55000000000000004">
      <c r="A1841" t="s">
        <v>669</v>
      </c>
      <c r="B1841" t="s">
        <v>1662</v>
      </c>
      <c r="C1841" t="s">
        <v>5137</v>
      </c>
      <c r="E1841" t="s">
        <v>5359</v>
      </c>
      <c r="F1841" t="str">
        <f t="shared" si="28"/>
        <v>"C:\Program Files\VideoLAN\VLC\vlc.exe" "http://icecast.thisisdax.com/Heart90s.m3u"</v>
      </c>
      <c r="M1841" t="str">
        <f>VLOOKUP(A1841,logos!$A$2:$A$10004,1,FALSE)</f>
        <v>Heart 90s</v>
      </c>
    </row>
    <row r="1842" spans="1:13" hidden="1" x14ac:dyDescent="0.55000000000000004">
      <c r="A1842" t="s">
        <v>671</v>
      </c>
      <c r="B1842" t="s">
        <v>1662</v>
      </c>
      <c r="C1842" t="s">
        <v>5138</v>
      </c>
      <c r="E1842" t="s">
        <v>5359</v>
      </c>
      <c r="F1842" t="str">
        <f t="shared" si="28"/>
        <v>"C:\Program Files\VideoLAN\VLC\vlc.exe" "http://icecast.thisisdax.com/Heart00s.m3u"</v>
      </c>
      <c r="M1842" t="str">
        <f>VLOOKUP(A1842,logos!$A$2:$A$10004,1,FALSE)</f>
        <v>Heart 00s</v>
      </c>
    </row>
    <row r="1843" spans="1:13" hidden="1" x14ac:dyDescent="0.55000000000000004">
      <c r="A1843" t="s">
        <v>673</v>
      </c>
      <c r="B1843" t="s">
        <v>1662</v>
      </c>
      <c r="C1843" t="s">
        <v>5139</v>
      </c>
      <c r="E1843" t="s">
        <v>5359</v>
      </c>
      <c r="F1843" t="str">
        <f t="shared" si="28"/>
        <v>"C:\Program Files\VideoLAN\VLC\vlc.exe" "http://icecast.thisisdax.com/HeartDance.m3u"</v>
      </c>
      <c r="M1843" t="str">
        <f>VLOOKUP(A1843,logos!$A$2:$A$10004,1,FALSE)</f>
        <v>Heart Dance</v>
      </c>
    </row>
    <row r="1844" spans="1:13" hidden="1" x14ac:dyDescent="0.55000000000000004">
      <c r="A1844" t="s">
        <v>675</v>
      </c>
      <c r="B1844" t="s">
        <v>1662</v>
      </c>
      <c r="C1844" t="s">
        <v>5140</v>
      </c>
      <c r="E1844" t="s">
        <v>5359</v>
      </c>
      <c r="F1844" t="str">
        <f t="shared" si="28"/>
        <v>"C:\Program Files\VideoLAN\VLC\vlc.exe" "http://media-ice.musicradio.com/HeartXmas.m3u"</v>
      </c>
      <c r="M1844" t="str">
        <f>VLOOKUP(A1844,logos!$A$2:$A$10004,1,FALSE)</f>
        <v>Heart Xmas</v>
      </c>
    </row>
    <row r="1845" spans="1:13" hidden="1" x14ac:dyDescent="0.55000000000000004">
      <c r="A1845" t="s">
        <v>679</v>
      </c>
      <c r="B1845" t="s">
        <v>1668</v>
      </c>
      <c r="C1845" t="s">
        <v>5141</v>
      </c>
      <c r="E1845" t="s">
        <v>5359</v>
      </c>
      <c r="F1845" t="str">
        <f t="shared" si="28"/>
        <v>"C:\Program Files\VideoLAN\VLC\vlc.exe" "http://streamer.radio.co/sa0f1967d5/low.m3u"</v>
      </c>
      <c r="M1845" t="e">
        <f>VLOOKUP(A1845,logos!$A$2:$A$10004,1,FALSE)</f>
        <v>#N/A</v>
      </c>
    </row>
    <row r="1846" spans="1:13" hidden="1" x14ac:dyDescent="0.55000000000000004">
      <c r="A1846" t="s">
        <v>681</v>
      </c>
      <c r="B1846" t="s">
        <v>1662</v>
      </c>
      <c r="C1846" t="s">
        <v>5142</v>
      </c>
      <c r="E1846" t="s">
        <v>5359</v>
      </c>
      <c r="F1846" t="str">
        <f t="shared" si="28"/>
        <v>"C:\Program Files\VideoLAN\VLC\vlc.exe" "http://www.radiofeeds.net/playlists/bauer.pls?station=heat-aac"</v>
      </c>
      <c r="M1846" t="str">
        <f>VLOOKUP(A1846,logos!$A$2:$A$10004,1,FALSE)</f>
        <v>heat Radio</v>
      </c>
    </row>
    <row r="1847" spans="1:13" hidden="1" x14ac:dyDescent="0.55000000000000004">
      <c r="A1847" t="s">
        <v>683</v>
      </c>
      <c r="B1847" t="s">
        <v>1668</v>
      </c>
      <c r="C1847" t="s">
        <v>5143</v>
      </c>
      <c r="E1847" t="s">
        <v>5359</v>
      </c>
      <c r="F1847" t="str">
        <f t="shared" si="28"/>
        <v>"C:\Program Files\VideoLAN\VLC\vlc.exe" "http://streaming03.zfast.co.uk:8014/listen.pls?sid=1"</v>
      </c>
      <c r="M1847" t="e">
        <f>VLOOKUP(A1847,logos!$A$2:$A$10004,1,FALSE)</f>
        <v>#N/A</v>
      </c>
    </row>
    <row r="1848" spans="1:13" hidden="1" x14ac:dyDescent="0.55000000000000004">
      <c r="A1848" t="s">
        <v>2756</v>
      </c>
      <c r="B1848" t="s">
        <v>1662</v>
      </c>
      <c r="C1848" t="s">
        <v>5144</v>
      </c>
      <c r="E1848" t="s">
        <v>5359</v>
      </c>
      <c r="F1848" t="str">
        <f t="shared" si="28"/>
        <v>"C:\Program Files\VideoLAN\VLC\vlc.exe" "http://www.radiofeeds.net/playlists/bauer.pls?station=net1bristol-aac"</v>
      </c>
      <c r="M1848" t="str">
        <f>VLOOKUP(A1848,logos!$A$2:$A$10004,1,FALSE)</f>
        <v>Hits Radio (Bristol &amp; the South West)</v>
      </c>
    </row>
    <row r="1849" spans="1:13" hidden="1" x14ac:dyDescent="0.55000000000000004">
      <c r="A1849" t="s">
        <v>1604</v>
      </c>
      <c r="B1849" t="s">
        <v>1662</v>
      </c>
      <c r="C1849" t="s">
        <v>5145</v>
      </c>
      <c r="E1849" t="s">
        <v>5359</v>
      </c>
      <c r="F1849" t="str">
        <f t="shared" si="28"/>
        <v>"C:\Program Files\VideoLAN\VLC\vlc.exe" "http://www.radiofeeds.net/playlists/bauer.pls?station=net1london-aac"</v>
      </c>
      <c r="M1849" t="str">
        <f>VLOOKUP(A1849,logos!$A$2:$A$10004,1,FALSE)</f>
        <v>Hits Radio (London)</v>
      </c>
    </row>
    <row r="1850" spans="1:13" hidden="1" x14ac:dyDescent="0.55000000000000004">
      <c r="A1850" t="s">
        <v>1605</v>
      </c>
      <c r="B1850" t="s">
        <v>1662</v>
      </c>
      <c r="C1850" t="s">
        <v>5146</v>
      </c>
      <c r="E1850" t="s">
        <v>5359</v>
      </c>
      <c r="F1850" t="str">
        <f t="shared" si="28"/>
        <v>"C:\Program Files\VideoLAN\VLC\vlc.exe" "http://www.radiofeeds.net/playlists/bauer.pls?station=key-aac"</v>
      </c>
      <c r="M1850" t="str">
        <f>VLOOKUP(A1850,logos!$A$2:$A$10004,1,FALSE)</f>
        <v>Hits Radio (Manchester)</v>
      </c>
    </row>
    <row r="1851" spans="1:13" hidden="1" x14ac:dyDescent="0.55000000000000004">
      <c r="A1851" t="s">
        <v>1606</v>
      </c>
      <c r="B1851" t="s">
        <v>1662</v>
      </c>
      <c r="C1851" t="s">
        <v>5147</v>
      </c>
      <c r="E1851" t="s">
        <v>5359</v>
      </c>
      <c r="F1851" t="str">
        <f t="shared" si="28"/>
        <v>"C:\Program Files\VideoLAN\VLC\vlc.exe" "http://www.radiofeeds.net/playlists/bauer.pls?station=net1northyorkshire-aac"</v>
      </c>
      <c r="M1851" t="str">
        <f>VLOOKUP(A1851,logos!$A$2:$A$10004,1,FALSE)</f>
        <v>Hits Radio (North Yorkshire)</v>
      </c>
    </row>
    <row r="1852" spans="1:13" hidden="1" x14ac:dyDescent="0.55000000000000004">
      <c r="A1852" t="s">
        <v>2757</v>
      </c>
      <c r="B1852" t="s">
        <v>1662</v>
      </c>
      <c r="C1852" t="s">
        <v>5148</v>
      </c>
      <c r="E1852" t="s">
        <v>5359</v>
      </c>
      <c r="F1852" t="str">
        <f t="shared" si="28"/>
        <v>"C:\Program Files\VideoLAN\VLC\vlc.exe" "http://www.radiofeeds.net/playlists/bauer.pls?station=net1bournemouth-aac"</v>
      </c>
      <c r="M1852" t="e">
        <f>VLOOKUP(A1852,logos!$A$2:$A$10004,1,FALSE)</f>
        <v>#N/A</v>
      </c>
    </row>
    <row r="1853" spans="1:13" hidden="1" x14ac:dyDescent="0.55000000000000004">
      <c r="A1853" t="s">
        <v>2758</v>
      </c>
      <c r="B1853" t="s">
        <v>1662</v>
      </c>
      <c r="C1853" t="s">
        <v>5149</v>
      </c>
      <c r="E1853" t="s">
        <v>5359</v>
      </c>
      <c r="F1853" t="str">
        <f t="shared" si="28"/>
        <v>"C:\Program Files\VideoLAN\VLC\vlc.exe" "http://www.radiofeeds.net/playlists/bauer.pls?station=net1southcoast-aac"</v>
      </c>
      <c r="M1853" t="e">
        <f>VLOOKUP(A1853,logos!$A$2:$A$10004,1,FALSE)</f>
        <v>#N/A</v>
      </c>
    </row>
    <row r="1854" spans="1:13" hidden="1" x14ac:dyDescent="0.55000000000000004">
      <c r="A1854" t="s">
        <v>2759</v>
      </c>
      <c r="B1854" t="s">
        <v>1662</v>
      </c>
      <c r="C1854" t="s">
        <v>5150</v>
      </c>
      <c r="E1854" t="s">
        <v>5359</v>
      </c>
      <c r="F1854" t="str">
        <f t="shared" si="28"/>
        <v>"C:\Program Files\VideoLAN\VLC\vlc.exe" "http://www.radiofeeds.net/playlists/bauer.pls?station=net1suffolk-aac"</v>
      </c>
      <c r="M1854" t="e">
        <f>VLOOKUP(A1854,logos!$A$2:$A$10004,1,FALSE)</f>
        <v>#N/A</v>
      </c>
    </row>
    <row r="1855" spans="1:13" hidden="1" x14ac:dyDescent="0.55000000000000004">
      <c r="A1855" t="s">
        <v>2760</v>
      </c>
      <c r="B1855" t="s">
        <v>1662</v>
      </c>
      <c r="C1855" t="s">
        <v>5151</v>
      </c>
      <c r="E1855" t="s">
        <v>5359</v>
      </c>
      <c r="F1855" t="str">
        <f t="shared" si="28"/>
        <v>"C:\Program Files\VideoLAN\VLC\vlc.exe" "http://www.radiofeeds.net/playlists/bauer.pls?station=hits-aac"</v>
      </c>
      <c r="M1855" t="str">
        <f>VLOOKUP(A1855,logos!$A$2:$A$10004,1,FALSE)</f>
        <v>Hits Radio (UK)</v>
      </c>
    </row>
    <row r="1856" spans="1:13" hidden="1" x14ac:dyDescent="0.55000000000000004">
      <c r="A1856" t="s">
        <v>702</v>
      </c>
      <c r="B1856" t="s">
        <v>1662</v>
      </c>
      <c r="C1856" t="s">
        <v>5152</v>
      </c>
      <c r="E1856" t="s">
        <v>5359</v>
      </c>
      <c r="F1856" t="str">
        <f t="shared" si="28"/>
        <v>"C:\Program Files\VideoLAN\VLC\vlc.exe" "http://www.radiofeeds.net/playlists/bauerflash.pls?station=hitsradiopride-aac"</v>
      </c>
      <c r="M1856" t="str">
        <f>VLOOKUP(A1856,logos!$A$2:$A$10004,1,FALSE)</f>
        <v>Hits Radio Pride</v>
      </c>
    </row>
    <row r="1857" spans="1:13" hidden="1" x14ac:dyDescent="0.55000000000000004">
      <c r="A1857" t="s">
        <v>2761</v>
      </c>
      <c r="B1857" t="s">
        <v>1662</v>
      </c>
      <c r="C1857" t="s">
        <v>5153</v>
      </c>
      <c r="E1857" t="s">
        <v>5359</v>
      </c>
      <c r="F1857" t="str">
        <f t="shared" si="28"/>
        <v>"C:\Program Files\VideoLAN\VLC\vlc.exe" "http://radio.hopefm.org.uk:12364/liveaac.m3u"</v>
      </c>
      <c r="M1857" t="e">
        <f>VLOOKUP(A1857,logos!$A$2:$A$10004,1,FALSE)</f>
        <v>#N/A</v>
      </c>
    </row>
    <row r="1858" spans="1:13" hidden="1" x14ac:dyDescent="0.55000000000000004">
      <c r="A1858" t="s">
        <v>712</v>
      </c>
      <c r="B1858" t="s">
        <v>1668</v>
      </c>
      <c r="C1858" t="s">
        <v>5154</v>
      </c>
      <c r="E1858" t="s">
        <v>5359</v>
      </c>
      <c r="F1858" t="str">
        <f t="shared" si="28"/>
        <v>"C:\Program Files\VideoLAN\VLC\vlc.exe" "http://www2.housepartyradio.net/stream/aac/httpsafe/play.m3u?from=radiofeeds"</v>
      </c>
      <c r="M1858" t="e">
        <f>VLOOKUP(A1858,logos!$A$2:$A$10004,1,FALSE)</f>
        <v>#N/A</v>
      </c>
    </row>
    <row r="1859" spans="1:13" hidden="1" x14ac:dyDescent="0.55000000000000004">
      <c r="A1859" t="s">
        <v>714</v>
      </c>
      <c r="B1859" t="s">
        <v>1662</v>
      </c>
      <c r="C1859" t="s">
        <v>5155</v>
      </c>
      <c r="E1859" t="s">
        <v>5359</v>
      </c>
      <c r="F1859" t="str">
        <f t="shared" ref="F1859:F1922" si="29">"""C:\Program Files\VideoLAN\VLC\vlc.exe"" """&amp;C1859&amp;""""</f>
        <v>"C:\Program Files\VideoLAN\VLC\vlc.exe" "http://curtis.hubradio.co.uk:8080/hub-lq.aac.m3u"</v>
      </c>
      <c r="M1859" t="str">
        <f>VLOOKUP(A1859,logos!$A$2:$A$10004,1,FALSE)</f>
        <v>Hub Radio</v>
      </c>
    </row>
    <row r="1860" spans="1:13" hidden="1" x14ac:dyDescent="0.55000000000000004">
      <c r="A1860" t="s">
        <v>714</v>
      </c>
      <c r="B1860" t="s">
        <v>1669</v>
      </c>
      <c r="C1860" t="s">
        <v>5156</v>
      </c>
      <c r="E1860" t="s">
        <v>5359</v>
      </c>
      <c r="F1860" t="str">
        <f t="shared" si="29"/>
        <v>"C:\Program Files\VideoLAN\VLC\vlc.exe" "http://curtis.hubradio.co.uk:8080/hub-hq.aac.m3u"</v>
      </c>
      <c r="M1860" t="str">
        <f>VLOOKUP(A1860,logos!$A$2:$A$10004,1,FALSE)</f>
        <v>Hub Radio</v>
      </c>
    </row>
    <row r="1861" spans="1:13" hidden="1" x14ac:dyDescent="0.55000000000000004">
      <c r="A1861" t="s">
        <v>718</v>
      </c>
      <c r="B1861" t="s">
        <v>1668</v>
      </c>
      <c r="C1861" t="s">
        <v>5157</v>
      </c>
      <c r="E1861" t="s">
        <v>5359</v>
      </c>
      <c r="F1861" t="str">
        <f t="shared" si="29"/>
        <v>"C:\Program Files\VideoLAN\VLC\vlc.exe" "http://stream.rcs.revma.com/6s36ckxvutzuv.m3u"</v>
      </c>
      <c r="M1861" t="str">
        <f>VLOOKUP(A1861,logos!$A$2:$A$10004,1,FALSE)</f>
        <v>Island FM</v>
      </c>
    </row>
    <row r="1862" spans="1:13" hidden="1" x14ac:dyDescent="0.55000000000000004">
      <c r="A1862" t="s">
        <v>718</v>
      </c>
      <c r="B1862" t="s">
        <v>1669</v>
      </c>
      <c r="C1862" t="s">
        <v>5158</v>
      </c>
      <c r="E1862" t="s">
        <v>5359</v>
      </c>
      <c r="F1862" t="str">
        <f t="shared" si="29"/>
        <v>"C:\Program Files\VideoLAN\VLC\vlc.exe" "http://stream.rcs.revma.com/24we5fvn1qzuv.m3u"</v>
      </c>
      <c r="M1862" t="str">
        <f>VLOOKUP(A1862,logos!$A$2:$A$10004,1,FALSE)</f>
        <v>Island FM</v>
      </c>
    </row>
    <row r="1863" spans="1:13" hidden="1" x14ac:dyDescent="0.55000000000000004">
      <c r="A1863" t="s">
        <v>720</v>
      </c>
      <c r="B1863" t="s">
        <v>1662</v>
      </c>
      <c r="C1863" t="s">
        <v>5159</v>
      </c>
      <c r="E1863" t="s">
        <v>5359</v>
      </c>
      <c r="F1863" t="str">
        <f t="shared" si="29"/>
        <v>"C:\Program Files\VideoLAN\VLC\vlc.exe" "http://s4.xrad.io:8018/listen.pls?sid=1"</v>
      </c>
      <c r="M1863" t="e">
        <f>VLOOKUP(A1863,logos!$A$2:$A$10004,1,FALSE)</f>
        <v>#N/A</v>
      </c>
    </row>
    <row r="1864" spans="1:13" hidden="1" x14ac:dyDescent="0.55000000000000004">
      <c r="A1864" t="s">
        <v>724</v>
      </c>
      <c r="B1864" t="s">
        <v>1668</v>
      </c>
      <c r="C1864" t="s">
        <v>5160</v>
      </c>
      <c r="E1864" t="s">
        <v>5359</v>
      </c>
      <c r="F1864" t="str">
        <f t="shared" si="29"/>
        <v>"C:\Program Files\VideoLAN\VLC\vlc.exe" "http://www.radiofeeds.net/playlists/sharptemp.pls?station=390_jack_fm_64_aac"</v>
      </c>
      <c r="M1864" t="e">
        <f>VLOOKUP(A1864,logos!$A$2:$A$10004,1,FALSE)</f>
        <v>#N/A</v>
      </c>
    </row>
    <row r="1865" spans="1:13" hidden="1" x14ac:dyDescent="0.55000000000000004">
      <c r="A1865" t="s">
        <v>728</v>
      </c>
      <c r="B1865" t="s">
        <v>1668</v>
      </c>
      <c r="C1865" t="s">
        <v>5161</v>
      </c>
      <c r="E1865" t="s">
        <v>5359</v>
      </c>
      <c r="F1865" t="str">
        <f t="shared" si="29"/>
        <v>"C:\Program Files\VideoLAN\VLC\vlc.exe" "http://www.radiofeeds.net/playlists/sharptemp.pls?station=390_jack_2_64_aac"</v>
      </c>
      <c r="M1865" t="e">
        <f>VLOOKUP(A1865,logos!$A$2:$A$10004,1,FALSE)</f>
        <v>#N/A</v>
      </c>
    </row>
    <row r="1866" spans="1:13" hidden="1" x14ac:dyDescent="0.55000000000000004">
      <c r="A1866" t="s">
        <v>731</v>
      </c>
      <c r="B1866" t="s">
        <v>1668</v>
      </c>
      <c r="C1866" t="s">
        <v>5162</v>
      </c>
      <c r="E1866" t="s">
        <v>5359</v>
      </c>
      <c r="F1866" t="str">
        <f t="shared" si="29"/>
        <v>"C:\Program Files\VideoLAN\VLC\vlc.exe" "http://www.radiofeeds.net/playlists/sharptemp.pls?station=390_jack_3_64_aac"</v>
      </c>
      <c r="M1866" t="e">
        <f>VLOOKUP(A1866,logos!$A$2:$A$10004,1,FALSE)</f>
        <v>#N/A</v>
      </c>
    </row>
    <row r="1867" spans="1:13" hidden="1" x14ac:dyDescent="0.55000000000000004">
      <c r="A1867" t="s">
        <v>736</v>
      </c>
      <c r="B1867" t="s">
        <v>1662</v>
      </c>
      <c r="C1867" t="s">
        <v>5163</v>
      </c>
      <c r="E1867" t="s">
        <v>5359</v>
      </c>
      <c r="F1867" t="str">
        <f t="shared" si="29"/>
        <v>"C:\Program Files\VideoLAN\VLC\vlc.exe" "http://www.radiofeeds.net/playlists/bauer.pls?station=jazz-aac"</v>
      </c>
      <c r="M1867" t="str">
        <f>VLOOKUP(A1867,logos!$A$2:$A$10004,1,FALSE)</f>
        <v>Jazz FM</v>
      </c>
    </row>
    <row r="1868" spans="1:13" hidden="1" x14ac:dyDescent="0.55000000000000004">
      <c r="A1868" t="s">
        <v>736</v>
      </c>
      <c r="B1868" t="s">
        <v>1663</v>
      </c>
      <c r="C1868" t="s">
        <v>5164</v>
      </c>
      <c r="E1868" t="s">
        <v>5359</v>
      </c>
      <c r="F1868" t="str">
        <f t="shared" si="29"/>
        <v>"C:\Program Files\VideoLAN\VLC\vlc.exe" "http://www.radiofeeds.net/playlists/bauer.pls?station=jazzhigh-aac"</v>
      </c>
      <c r="M1868" t="str">
        <f>VLOOKUP(A1868,logos!$A$2:$A$10004,1,FALSE)</f>
        <v>Jazz FM</v>
      </c>
    </row>
    <row r="1869" spans="1:13" hidden="1" x14ac:dyDescent="0.55000000000000004">
      <c r="A1869" t="s">
        <v>740</v>
      </c>
      <c r="B1869" t="s">
        <v>1662</v>
      </c>
      <c r="C1869" t="s">
        <v>5165</v>
      </c>
      <c r="E1869" t="s">
        <v>5359</v>
      </c>
      <c r="F1869" t="str">
        <f t="shared" si="29"/>
        <v>"C:\Program Files\VideoLAN\VLC\vlc.exe" "http://www.radiofeeds.net/playlists/bauer.pls?station=kerrang-aac"</v>
      </c>
      <c r="M1869" t="str">
        <f>VLOOKUP(A1869,logos!$A$2:$A$10004,1,FALSE)</f>
        <v>Kerrang! Radio</v>
      </c>
    </row>
    <row r="1870" spans="1:13" hidden="1" x14ac:dyDescent="0.55000000000000004">
      <c r="A1870" t="s">
        <v>742</v>
      </c>
      <c r="B1870" t="s">
        <v>1662</v>
      </c>
      <c r="C1870" t="s">
        <v>5166</v>
      </c>
      <c r="E1870" t="s">
        <v>5359</v>
      </c>
      <c r="F1870" t="str">
        <f t="shared" si="29"/>
        <v>"C:\Program Files\VideoLAN\VLC\vlc.exe" "http://www.radiofeeds.net/playlists/sharptemp.pls?station=kingdomfm-aac"</v>
      </c>
      <c r="M1870" t="str">
        <f>VLOOKUP(A1870,logos!$A$2:$A$10004,1,FALSE)</f>
        <v>Kingdom FM</v>
      </c>
    </row>
    <row r="1871" spans="1:13" hidden="1" x14ac:dyDescent="0.55000000000000004">
      <c r="A1871" t="s">
        <v>2762</v>
      </c>
      <c r="B1871" t="s">
        <v>1662</v>
      </c>
      <c r="C1871" t="s">
        <v>5167</v>
      </c>
      <c r="E1871" t="s">
        <v>5359</v>
      </c>
      <c r="F1871" t="str">
        <f t="shared" si="29"/>
        <v>"C:\Program Files\VideoLAN\VLC\vlc.exe" "http://www.radiofeeds.net/playlists/bauer.pls?station=kiss100-aac"</v>
      </c>
      <c r="M1871" t="e">
        <f>VLOOKUP(A1871,logos!$A$2:$A$10004,1,FALSE)</f>
        <v>#N/A</v>
      </c>
    </row>
    <row r="1872" spans="1:13" hidden="1" x14ac:dyDescent="0.55000000000000004">
      <c r="A1872" t="s">
        <v>2763</v>
      </c>
      <c r="B1872" t="s">
        <v>1662</v>
      </c>
      <c r="C1872" t="s">
        <v>5168</v>
      </c>
      <c r="E1872" t="s">
        <v>5359</v>
      </c>
      <c r="F1872" t="str">
        <f t="shared" si="29"/>
        <v>"C:\Program Files\VideoLAN\VLC\vlc.exe" "http://www.radiofeeds.net/playlists/bauer.pls?station=kissnational-aac"</v>
      </c>
      <c r="M1872" t="str">
        <f>VLOOKUP(A1872,logos!$A$2:$A$10004,1,FALSE)</f>
        <v>KISS (UK)</v>
      </c>
    </row>
    <row r="1873" spans="1:13" hidden="1" x14ac:dyDescent="0.55000000000000004">
      <c r="A1873" t="s">
        <v>1613</v>
      </c>
      <c r="B1873" t="s">
        <v>1662</v>
      </c>
      <c r="C1873" t="s">
        <v>5169</v>
      </c>
      <c r="E1873" t="s">
        <v>5359</v>
      </c>
      <c r="F1873" t="str">
        <f t="shared" si="29"/>
        <v>"C:\Program Files\VideoLAN\VLC\vlc.exe" "http://www.radiofeeds.net/playlists/bauer.pls?station=webcast7-aac"</v>
      </c>
      <c r="M1873" t="str">
        <f>VLOOKUP(A1873,logos!$A$2:$A$10004,1,FALSE)</f>
        <v>KISS BLISS</v>
      </c>
    </row>
    <row r="1874" spans="1:13" hidden="1" x14ac:dyDescent="0.55000000000000004">
      <c r="A1874" t="s">
        <v>1613</v>
      </c>
      <c r="B1874" t="s">
        <v>1663</v>
      </c>
      <c r="C1874" t="s">
        <v>5170</v>
      </c>
      <c r="E1874" t="s">
        <v>5359</v>
      </c>
      <c r="F1874" t="str">
        <f t="shared" si="29"/>
        <v>"C:\Program Files\VideoLAN\VLC\vlc.exe" "http://www.radiofeeds.net/playlists/bauer.pls?station=webcast7high-aac"</v>
      </c>
      <c r="M1874" t="str">
        <f>VLOOKUP(A1874,logos!$A$2:$A$10004,1,FALSE)</f>
        <v>KISS BLISS</v>
      </c>
    </row>
    <row r="1875" spans="1:13" hidden="1" x14ac:dyDescent="0.55000000000000004">
      <c r="A1875" t="s">
        <v>1614</v>
      </c>
      <c r="B1875" t="s">
        <v>1662</v>
      </c>
      <c r="C1875" t="s">
        <v>5171</v>
      </c>
      <c r="E1875" t="s">
        <v>5359</v>
      </c>
      <c r="F1875" t="str">
        <f t="shared" si="29"/>
        <v>"C:\Program Files\VideoLAN\VLC\vlc.exe" "http://www.radiofeeds.net/playlists/bauer.pls?station=webcast6-aac"</v>
      </c>
      <c r="M1875" t="str">
        <f>VLOOKUP(A1875,logos!$A$2:$A$10004,1,FALSE)</f>
        <v>KISS DANCE</v>
      </c>
    </row>
    <row r="1876" spans="1:13" hidden="1" x14ac:dyDescent="0.55000000000000004">
      <c r="A1876" t="s">
        <v>1614</v>
      </c>
      <c r="B1876" t="s">
        <v>1663</v>
      </c>
      <c r="C1876" t="s">
        <v>5172</v>
      </c>
      <c r="E1876" t="s">
        <v>5359</v>
      </c>
      <c r="F1876" t="str">
        <f t="shared" si="29"/>
        <v>"C:\Program Files\VideoLAN\VLC\vlc.exe" "http://www.radiofeeds.net/playlists/bauer.pls?station=webcast6high-aac"</v>
      </c>
      <c r="M1876" t="str">
        <f>VLOOKUP(A1876,logos!$A$2:$A$10004,1,FALSE)</f>
        <v>KISS DANCE</v>
      </c>
    </row>
    <row r="1877" spans="1:13" hidden="1" x14ac:dyDescent="0.55000000000000004">
      <c r="A1877" t="s">
        <v>749</v>
      </c>
      <c r="B1877" t="s">
        <v>1662</v>
      </c>
      <c r="C1877" t="s">
        <v>5173</v>
      </c>
      <c r="E1877" t="s">
        <v>5359</v>
      </c>
      <c r="F1877" t="str">
        <f t="shared" si="29"/>
        <v>"C:\Program Files\VideoLAN\VLC\vlc.exe" "http://www.radiofeeds.net/playlists/bauer.pls?station=kissfresh-aac"</v>
      </c>
      <c r="M1877" t="str">
        <f>VLOOKUP(A1877,logos!$A$2:$A$10004,1,FALSE)</f>
        <v>KISS FRESH</v>
      </c>
    </row>
    <row r="1878" spans="1:13" hidden="1" x14ac:dyDescent="0.55000000000000004">
      <c r="A1878" t="s">
        <v>1615</v>
      </c>
      <c r="B1878" t="s">
        <v>1662</v>
      </c>
      <c r="C1878" t="s">
        <v>5174</v>
      </c>
      <c r="E1878" t="s">
        <v>5359</v>
      </c>
      <c r="F1878" t="str">
        <f t="shared" si="29"/>
        <v>"C:\Program Files\VideoLAN\VLC\vlc.exe" "http://www.radiofeeds.net/playlists/bauer.pls?station=webcast5-aac"</v>
      </c>
      <c r="M1878" t="str">
        <f>VLOOKUP(A1878,logos!$A$2:$A$10004,1,FALSE)</f>
        <v>KISS GARAGE</v>
      </c>
    </row>
    <row r="1879" spans="1:13" hidden="1" x14ac:dyDescent="0.55000000000000004">
      <c r="A1879" t="s">
        <v>1615</v>
      </c>
      <c r="B1879" t="s">
        <v>1663</v>
      </c>
      <c r="C1879" t="s">
        <v>5175</v>
      </c>
      <c r="E1879" t="s">
        <v>5359</v>
      </c>
      <c r="F1879" t="str">
        <f t="shared" si="29"/>
        <v>"C:\Program Files\VideoLAN\VLC\vlc.exe" "http://www.radiofeeds.net/playlists/bauer.pls?station=webcast5high-aac"</v>
      </c>
      <c r="M1879" t="str">
        <f>VLOOKUP(A1879,logos!$A$2:$A$10004,1,FALSE)</f>
        <v>KISS GARAGE</v>
      </c>
    </row>
    <row r="1880" spans="1:13" hidden="1" x14ac:dyDescent="0.55000000000000004">
      <c r="A1880" t="s">
        <v>751</v>
      </c>
      <c r="B1880" t="s">
        <v>1662</v>
      </c>
      <c r="C1880" t="s">
        <v>5176</v>
      </c>
      <c r="E1880" t="s">
        <v>5359</v>
      </c>
      <c r="F1880" t="str">
        <f t="shared" si="29"/>
        <v>"C:\Program Files\VideoLAN\VLC\vlc.exe" "http://www.radiofeeds.net/playlists/bauer.pls?station=kisstory-aac"</v>
      </c>
      <c r="M1880" t="str">
        <f>VLOOKUP(A1880,logos!$A$2:$A$10004,1,FALSE)</f>
        <v>KISSTORY</v>
      </c>
    </row>
    <row r="1881" spans="1:13" hidden="1" x14ac:dyDescent="0.55000000000000004">
      <c r="A1881" t="s">
        <v>2764</v>
      </c>
      <c r="B1881" t="s">
        <v>1662</v>
      </c>
      <c r="C1881" t="s">
        <v>5177</v>
      </c>
      <c r="E1881" t="s">
        <v>5359</v>
      </c>
      <c r="F1881" t="str">
        <f t="shared" si="29"/>
        <v>"C:\Program Files\VideoLAN\VLC\vlc.exe" "http://icecast.thisisdax.com/LBCLondon.m3u"</v>
      </c>
      <c r="M1881" t="str">
        <f>VLOOKUP(A1881,logos!$A$2:$A$10004,1,FALSE)</f>
        <v>LBC (London)</v>
      </c>
    </row>
    <row r="1882" spans="1:13" hidden="1" x14ac:dyDescent="0.55000000000000004">
      <c r="A1882" t="s">
        <v>2765</v>
      </c>
      <c r="B1882" t="s">
        <v>1662</v>
      </c>
      <c r="C1882" t="s">
        <v>5178</v>
      </c>
      <c r="E1882" t="s">
        <v>5359</v>
      </c>
      <c r="F1882" t="str">
        <f t="shared" si="29"/>
        <v>"C:\Program Files\VideoLAN\VLC\vlc.exe" "http://icecast.thisisdax.com/LBCUK.m3u"</v>
      </c>
      <c r="M1882" t="str">
        <f>VLOOKUP(A1882,logos!$A$2:$A$10004,1,FALSE)</f>
        <v>LBC (UK)</v>
      </c>
    </row>
    <row r="1883" spans="1:13" hidden="1" x14ac:dyDescent="0.55000000000000004">
      <c r="A1883" t="s">
        <v>2766</v>
      </c>
      <c r="B1883" t="s">
        <v>1662</v>
      </c>
      <c r="C1883" t="s">
        <v>5179</v>
      </c>
      <c r="E1883" t="s">
        <v>5359</v>
      </c>
      <c r="F1883" t="str">
        <f t="shared" si="29"/>
        <v>"C:\Program Files\VideoLAN\VLC\vlc.exe" "http://icecast.thisisdax.com/LBCNewsLondon.m3u"</v>
      </c>
      <c r="M1883" t="str">
        <f>VLOOKUP(A1883,logos!$A$2:$A$10004,1,FALSE)</f>
        <v>LBC News (London)</v>
      </c>
    </row>
    <row r="1884" spans="1:13" hidden="1" x14ac:dyDescent="0.55000000000000004">
      <c r="A1884" t="s">
        <v>2767</v>
      </c>
      <c r="B1884" t="s">
        <v>1662</v>
      </c>
      <c r="C1884" t="s">
        <v>5180</v>
      </c>
      <c r="E1884" t="s">
        <v>5359</v>
      </c>
      <c r="F1884" t="str">
        <f t="shared" si="29"/>
        <v>"C:\Program Files\VideoLAN\VLC\vlc.exe" "http://icecast.thisisdax.com/LBCNewsUK.m3u"</v>
      </c>
      <c r="M1884" t="str">
        <f>VLOOKUP(A1884,logos!$A$2:$A$10004,1,FALSE)</f>
        <v>LBC News (UK)</v>
      </c>
    </row>
    <row r="1885" spans="1:13" hidden="1" x14ac:dyDescent="0.55000000000000004">
      <c r="A1885" t="s">
        <v>1680</v>
      </c>
      <c r="B1885" t="s">
        <v>1677</v>
      </c>
      <c r="C1885" t="s">
        <v>5181</v>
      </c>
      <c r="E1885" t="s">
        <v>5359</v>
      </c>
      <c r="F1885" t="str">
        <f t="shared" si="29"/>
        <v>"C:\Program Files\VideoLAN\VLC\vlc.exe" "http://www.radiofeeds.net/playlists/maxxwave.pls?station=lcr_aac"</v>
      </c>
      <c r="M1885" t="e">
        <f>VLOOKUP(A1885,logos!$A$2:$A$10004,1,FALSE)</f>
        <v>#N/A</v>
      </c>
    </row>
    <row r="1886" spans="1:13" hidden="1" x14ac:dyDescent="0.55000000000000004">
      <c r="A1886" t="s">
        <v>2768</v>
      </c>
      <c r="B1886" t="s">
        <v>1677</v>
      </c>
      <c r="C1886" t="s">
        <v>5182</v>
      </c>
      <c r="E1886" t="s">
        <v>5359</v>
      </c>
      <c r="F1886" t="str">
        <f t="shared" si="29"/>
        <v>"C:\Program Files\VideoLAN\VLC\vlc.exe" "http://www.radiofeeds.net/playlists/maxxwave.pls?station=lcr2"</v>
      </c>
      <c r="M1886" t="e">
        <f>VLOOKUP(A1886,logos!$A$2:$A$10004,1,FALSE)</f>
        <v>#N/A</v>
      </c>
    </row>
    <row r="1887" spans="1:13" hidden="1" x14ac:dyDescent="0.55000000000000004">
      <c r="A1887" t="s">
        <v>2769</v>
      </c>
      <c r="B1887" t="s">
        <v>1668</v>
      </c>
      <c r="C1887" t="s">
        <v>5183</v>
      </c>
      <c r="E1887" t="s">
        <v>5359</v>
      </c>
      <c r="F1887" t="str">
        <f t="shared" si="29"/>
        <v>"C:\Program Files\VideoLAN\VLC\vlc.exe" "http://www.radiofeeds.net/playlists/likeoneaac.m3u"</v>
      </c>
      <c r="M1887" t="e">
        <f>VLOOKUP(A1887,logos!$A$2:$A$10004,1,FALSE)</f>
        <v>#N/A</v>
      </c>
    </row>
    <row r="1888" spans="1:13" hidden="1" x14ac:dyDescent="0.55000000000000004">
      <c r="A1888" t="s">
        <v>2770</v>
      </c>
      <c r="B1888" t="s">
        <v>1668</v>
      </c>
      <c r="C1888" t="s">
        <v>5184</v>
      </c>
      <c r="E1888" t="s">
        <v>5359</v>
      </c>
      <c r="F1888" t="str">
        <f t="shared" si="29"/>
        <v>"C:\Program Files\VideoLAN\VLC\vlc.exe" "http://www.radiofeeds.net/playlists/likepopaac.m3u"</v>
      </c>
      <c r="M1888" t="e">
        <f>VLOOKUP(A1888,logos!$A$2:$A$10004,1,FALSE)</f>
        <v>#N/A</v>
      </c>
    </row>
    <row r="1889" spans="1:13" hidden="1" x14ac:dyDescent="0.55000000000000004">
      <c r="A1889" t="s">
        <v>785</v>
      </c>
      <c r="B1889" t="s">
        <v>1668</v>
      </c>
      <c r="C1889" t="s">
        <v>5185</v>
      </c>
      <c r="E1889" t="s">
        <v>5359</v>
      </c>
      <c r="F1889" t="str">
        <f t="shared" si="29"/>
        <v>"C:\Program Files\VideoLAN\VLC\vlc.exe" "http://www.radiofeeds.net/playlists/likeretroaac.m3u"</v>
      </c>
      <c r="M1889" t="e">
        <f>VLOOKUP(A1889,logos!$A$2:$A$10004,1,FALSE)</f>
        <v>#N/A</v>
      </c>
    </row>
    <row r="1890" spans="1:13" hidden="1" x14ac:dyDescent="0.55000000000000004">
      <c r="A1890" t="s">
        <v>787</v>
      </c>
      <c r="B1890" t="s">
        <v>1662</v>
      </c>
      <c r="C1890" t="s">
        <v>5186</v>
      </c>
      <c r="E1890" t="s">
        <v>5359</v>
      </c>
      <c r="F1890" t="str">
        <f t="shared" si="29"/>
        <v>"C:\Program Files\VideoLAN\VLC\vlc.exe" "http://www.radiofeeds.net/playlists/bauer.pls?station=net1lincoln-aac"</v>
      </c>
      <c r="M1890" t="str">
        <f>VLOOKUP(A1890,logos!$A$2:$A$10004,1,FALSE)</f>
        <v>Lincs FM</v>
      </c>
    </row>
    <row r="1891" spans="1:13" hidden="1" x14ac:dyDescent="0.55000000000000004">
      <c r="A1891" t="s">
        <v>789</v>
      </c>
      <c r="B1891" t="s">
        <v>1662</v>
      </c>
      <c r="C1891" t="s">
        <v>5187</v>
      </c>
      <c r="E1891" t="s">
        <v>5359</v>
      </c>
      <c r="F1891" t="str">
        <f t="shared" si="29"/>
        <v>"C:\Program Files\VideoLAN\VLC\vlc.exe" "http://www.radiofeeds.net/playlists/liteaac.m3u"</v>
      </c>
      <c r="M1891" t="e">
        <f>VLOOKUP(A1891,logos!$A$2:$A$10004,1,FALSE)</f>
        <v>#N/A</v>
      </c>
    </row>
    <row r="1892" spans="1:13" hidden="1" x14ac:dyDescent="0.55000000000000004">
      <c r="A1892" t="s">
        <v>791</v>
      </c>
      <c r="B1892" t="s">
        <v>1662</v>
      </c>
      <c r="C1892" t="s">
        <v>5188</v>
      </c>
      <c r="E1892" t="s">
        <v>5359</v>
      </c>
      <c r="F1892" t="str">
        <f t="shared" si="29"/>
        <v>"C:\Program Files\VideoLAN\VLC\vlc.exe" "http://playoutonestreaming.com:8048/listen.pls?sid=2"</v>
      </c>
      <c r="M1892" t="e">
        <f>VLOOKUP(A1892,logos!$A$2:$A$10004,1,FALSE)</f>
        <v>#N/A</v>
      </c>
    </row>
    <row r="1893" spans="1:13" hidden="1" x14ac:dyDescent="0.55000000000000004">
      <c r="A1893" t="s">
        <v>2771</v>
      </c>
      <c r="B1893" t="s">
        <v>1662</v>
      </c>
      <c r="C1893" t="s">
        <v>5189</v>
      </c>
      <c r="E1893" t="s">
        <v>5359</v>
      </c>
      <c r="F1893" t="str">
        <f t="shared" si="29"/>
        <v>"C:\Program Files\VideoLAN\VLC\vlc.exe" "http://playoutonestreaming.com:8062/listen.pls?sid=2"</v>
      </c>
      <c r="M1893" t="e">
        <f>VLOOKUP(A1893,logos!$A$2:$A$10004,1,FALSE)</f>
        <v>#N/A</v>
      </c>
    </row>
    <row r="1894" spans="1:13" hidden="1" x14ac:dyDescent="0.55000000000000004">
      <c r="A1894" t="s">
        <v>2772</v>
      </c>
      <c r="B1894" t="s">
        <v>1662</v>
      </c>
      <c r="C1894" t="s">
        <v>5190</v>
      </c>
      <c r="E1894" t="s">
        <v>5359</v>
      </c>
      <c r="F1894" t="str">
        <f t="shared" si="29"/>
        <v>"C:\Program Files\VideoLAN\VLC\vlc.exe" "http://playoutonestreaming.com:8042/listen.pls?sid=2"</v>
      </c>
      <c r="M1894" t="e">
        <f>VLOOKUP(A1894,logos!$A$2:$A$10004,1,FALSE)</f>
        <v>#N/A</v>
      </c>
    </row>
    <row r="1895" spans="1:13" hidden="1" x14ac:dyDescent="0.55000000000000004">
      <c r="A1895" t="s">
        <v>2773</v>
      </c>
      <c r="B1895" t="s">
        <v>1662</v>
      </c>
      <c r="C1895" t="s">
        <v>5191</v>
      </c>
      <c r="E1895" t="s">
        <v>5359</v>
      </c>
      <c r="F1895" t="str">
        <f t="shared" si="29"/>
        <v>"C:\Program Files\VideoLAN\VLC\vlc.exe" "http://www.radiofeeds.net/playlists/bauer.pls?station=magic1054-aac"</v>
      </c>
      <c r="M1895" t="str">
        <f>VLOOKUP(A1895,logos!$A$2:$A$10004,1,FALSE)</f>
        <v>Magic (London)</v>
      </c>
    </row>
    <row r="1896" spans="1:13" hidden="1" x14ac:dyDescent="0.55000000000000004">
      <c r="A1896" t="s">
        <v>2774</v>
      </c>
      <c r="B1896" t="s">
        <v>1662</v>
      </c>
      <c r="C1896" t="s">
        <v>5192</v>
      </c>
      <c r="E1896" t="s">
        <v>5359</v>
      </c>
      <c r="F1896" t="str">
        <f t="shared" si="29"/>
        <v>"C:\Program Files\VideoLAN\VLC\vlc.exe" "http://www.radiofeeds.net/playlists/bauer.pls?station=magicnational-aac"</v>
      </c>
      <c r="M1896" t="str">
        <f>VLOOKUP(A1896,logos!$A$2:$A$10004,1,FALSE)</f>
        <v>Magic (UK)</v>
      </c>
    </row>
    <row r="1897" spans="1:13" hidden="1" x14ac:dyDescent="0.55000000000000004">
      <c r="A1897" t="s">
        <v>1681</v>
      </c>
      <c r="B1897" t="s">
        <v>1662</v>
      </c>
      <c r="C1897" t="s">
        <v>5193</v>
      </c>
      <c r="E1897" t="s">
        <v>5359</v>
      </c>
      <c r="F1897" t="str">
        <f t="shared" si="29"/>
        <v>"C:\Program Files\VideoLAN\VLC\vlc.exe" "http://www.radiofeeds.net/playlists/bauer.pls?station=webcast8-aac"</v>
      </c>
      <c r="M1897" t="str">
        <f>VLOOKUP(A1897,logos!$A$2:$A$10004,1,FALSE)</f>
        <v>Magic Radio at the Movies</v>
      </c>
    </row>
    <row r="1898" spans="1:13" hidden="1" x14ac:dyDescent="0.55000000000000004">
      <c r="A1898" t="s">
        <v>1681</v>
      </c>
      <c r="B1898" t="s">
        <v>1663</v>
      </c>
      <c r="C1898" t="s">
        <v>5194</v>
      </c>
      <c r="E1898" t="s">
        <v>5359</v>
      </c>
      <c r="F1898" t="str">
        <f t="shared" si="29"/>
        <v>"C:\Program Files\VideoLAN\VLC\vlc.exe" "http://www.radiofeeds.net/playlists/bauer.pls?station=webcast8high-aac"</v>
      </c>
      <c r="M1898" t="str">
        <f>VLOOKUP(A1898,logos!$A$2:$A$10004,1,FALSE)</f>
        <v>Magic Radio at the Movies</v>
      </c>
    </row>
    <row r="1899" spans="1:13" hidden="1" x14ac:dyDescent="0.55000000000000004">
      <c r="A1899" t="s">
        <v>809</v>
      </c>
      <c r="B1899" t="s">
        <v>1662</v>
      </c>
      <c r="C1899" t="s">
        <v>5195</v>
      </c>
      <c r="E1899" t="s">
        <v>5359</v>
      </c>
      <c r="F1899" t="str">
        <f t="shared" si="29"/>
        <v>"C:\Program Files\VideoLAN\VLC\vlc.exe" "http://www.radiofeeds.net/playlists/bauer.pls?station=magicmusicals-aac"</v>
      </c>
      <c r="M1899" t="str">
        <f>VLOOKUP(A1899,logos!$A$2:$A$10004,1,FALSE)</f>
        <v>Magic at the Musicals</v>
      </c>
    </row>
    <row r="1900" spans="1:13" hidden="1" x14ac:dyDescent="0.55000000000000004">
      <c r="A1900" t="s">
        <v>809</v>
      </c>
      <c r="B1900" t="s">
        <v>1663</v>
      </c>
      <c r="C1900" t="s">
        <v>5196</v>
      </c>
      <c r="E1900" t="s">
        <v>5359</v>
      </c>
      <c r="F1900" t="str">
        <f t="shared" si="29"/>
        <v>"C:\Program Files\VideoLAN\VLC\vlc.exe" "http://www.radiofeeds.net/playlists/bauer.pls?station=magicmusicalshigh-aac"</v>
      </c>
      <c r="M1900" t="str">
        <f>VLOOKUP(A1900,logos!$A$2:$A$10004,1,FALSE)</f>
        <v>Magic at the Musicals</v>
      </c>
    </row>
    <row r="1901" spans="1:13" hidden="1" x14ac:dyDescent="0.55000000000000004">
      <c r="A1901" t="s">
        <v>811</v>
      </c>
      <c r="B1901" t="s">
        <v>1662</v>
      </c>
      <c r="C1901" t="s">
        <v>5197</v>
      </c>
      <c r="E1901" t="s">
        <v>5359</v>
      </c>
      <c r="F1901" t="str">
        <f t="shared" si="29"/>
        <v>"C:\Program Files\VideoLAN\VLC\vlc.exe" "http://www.radiofeeds.net/playlists/bauer.pls?station=magicchilled-aac"</v>
      </c>
      <c r="M1901" t="str">
        <f>VLOOKUP(A1901,logos!$A$2:$A$10004,1,FALSE)</f>
        <v>Magic Chilled</v>
      </c>
    </row>
    <row r="1902" spans="1:13" hidden="1" x14ac:dyDescent="0.55000000000000004">
      <c r="A1902" t="s">
        <v>813</v>
      </c>
      <c r="B1902" t="s">
        <v>1662</v>
      </c>
      <c r="C1902" t="s">
        <v>5198</v>
      </c>
      <c r="E1902" t="s">
        <v>5359</v>
      </c>
      <c r="F1902" t="str">
        <f t="shared" si="29"/>
        <v>"C:\Program Files\VideoLAN\VLC\vlc.exe" "http://www.radiofeeds.net/playlists/bauer.pls?station=magicsoul-aac"</v>
      </c>
      <c r="M1902" t="str">
        <f>VLOOKUP(A1902,logos!$A$2:$A$10004,1,FALSE)</f>
        <v>Magic Soul</v>
      </c>
    </row>
    <row r="1903" spans="1:13" hidden="1" x14ac:dyDescent="0.55000000000000004">
      <c r="A1903" t="s">
        <v>2775</v>
      </c>
      <c r="B1903" t="s">
        <v>1662</v>
      </c>
      <c r="C1903" t="s">
        <v>5199</v>
      </c>
      <c r="E1903" t="s">
        <v>5359</v>
      </c>
      <c r="F1903" t="str">
        <f t="shared" si="29"/>
        <v>"C:\Program Files\VideoLAN\VLC\vlc.exe" "http://www.radiofeeds.net/playlists/sharptemp.pls?station=manxradioammobile-aac"</v>
      </c>
      <c r="M1903" t="e">
        <f>VLOOKUP(A1903,logos!$A$2:$A$10004,1,FALSE)</f>
        <v>#N/A</v>
      </c>
    </row>
    <row r="1904" spans="1:13" hidden="1" x14ac:dyDescent="0.55000000000000004">
      <c r="A1904" t="s">
        <v>2775</v>
      </c>
      <c r="B1904" t="s">
        <v>1682</v>
      </c>
      <c r="C1904" t="s">
        <v>5200</v>
      </c>
      <c r="E1904" t="s">
        <v>5359</v>
      </c>
      <c r="F1904" t="str">
        <f t="shared" si="29"/>
        <v>"C:\Program Files\VideoLAN\VLC\vlc.exe" "http://www.radiofeeds.net/playlists/sharptemp.pls?station=manxradioam-aac"</v>
      </c>
      <c r="M1904" t="e">
        <f>VLOOKUP(A1904,logos!$A$2:$A$10004,1,FALSE)</f>
        <v>#N/A</v>
      </c>
    </row>
    <row r="1905" spans="1:13" hidden="1" x14ac:dyDescent="0.55000000000000004">
      <c r="A1905" t="s">
        <v>2776</v>
      </c>
      <c r="B1905" t="s">
        <v>1662</v>
      </c>
      <c r="C1905" t="s">
        <v>5201</v>
      </c>
      <c r="E1905" t="s">
        <v>5359</v>
      </c>
      <c r="F1905" t="str">
        <f t="shared" si="29"/>
        <v>"C:\Program Files\VideoLAN\VLC\vlc.exe" "http://www.radiofeeds.net/playlists/sharptemp.pls?station=manxradiofmmobile-aac"</v>
      </c>
      <c r="M1905" t="e">
        <f>VLOOKUP(A1905,logos!$A$2:$A$10004,1,FALSE)</f>
        <v>#N/A</v>
      </c>
    </row>
    <row r="1906" spans="1:13" hidden="1" x14ac:dyDescent="0.55000000000000004">
      <c r="A1906" t="s">
        <v>2776</v>
      </c>
      <c r="B1906" t="s">
        <v>1682</v>
      </c>
      <c r="C1906" t="s">
        <v>5202</v>
      </c>
      <c r="E1906" t="s">
        <v>5359</v>
      </c>
      <c r="F1906" t="str">
        <f t="shared" si="29"/>
        <v>"C:\Program Files\VideoLAN\VLC\vlc.exe" "http://www.radiofeeds.net/playlists/sharptemp.pls?station=manxradiofm-aac"</v>
      </c>
      <c r="M1906" t="e">
        <f>VLOOKUP(A1906,logos!$A$2:$A$10004,1,FALSE)</f>
        <v>#N/A</v>
      </c>
    </row>
    <row r="1907" spans="1:13" hidden="1" x14ac:dyDescent="0.55000000000000004">
      <c r="A1907" t="s">
        <v>821</v>
      </c>
      <c r="B1907" t="s">
        <v>1662</v>
      </c>
      <c r="C1907" t="s">
        <v>5203</v>
      </c>
      <c r="E1907" t="s">
        <v>5359</v>
      </c>
      <c r="F1907" t="str">
        <f t="shared" si="29"/>
        <v>"C:\Program Files\VideoLAN\VLC\vlc.exe" "http://www.radiofeeds.net/playlists/bauer.pls?station=magicmellow-aac"</v>
      </c>
      <c r="M1907" t="str">
        <f>VLOOKUP(A1907,logos!$A$2:$A$10004,1,FALSE)</f>
        <v>Mellow Magic</v>
      </c>
    </row>
    <row r="1908" spans="1:13" hidden="1" x14ac:dyDescent="0.55000000000000004">
      <c r="A1908" t="s">
        <v>2876</v>
      </c>
      <c r="B1908" t="s">
        <v>1668</v>
      </c>
      <c r="C1908" t="s">
        <v>5204</v>
      </c>
      <c r="E1908" t="s">
        <v>5359</v>
      </c>
      <c r="F1908" t="str">
        <f t="shared" si="29"/>
        <v>"C:\Program Files\VideoLAN\VLC\vlc.exe" "http://listen.metalmeyhemradio.com:9520/listen.pls?sid=1"</v>
      </c>
      <c r="M1908" t="e">
        <f>VLOOKUP(A1908,logos!$A$2:$A$10004,1,FALSE)</f>
        <v>#N/A</v>
      </c>
    </row>
    <row r="1909" spans="1:13" hidden="1" x14ac:dyDescent="0.55000000000000004">
      <c r="A1909" t="s">
        <v>825</v>
      </c>
      <c r="B1909" t="s">
        <v>1662</v>
      </c>
      <c r="C1909" t="s">
        <v>5205</v>
      </c>
      <c r="E1909" t="s">
        <v>5359</v>
      </c>
      <c r="F1909" t="str">
        <f t="shared" si="29"/>
        <v>"C:\Program Files\VideoLAN\VLC\vlc.exe" "http://www.radiofeeds.net/playlists/bauer.pls?station=metro-aac"</v>
      </c>
      <c r="M1909" t="str">
        <f>VLOOKUP(A1909,logos!$A$2:$A$10004,1,FALSE)</f>
        <v>Metro Radio</v>
      </c>
    </row>
    <row r="1910" spans="1:13" hidden="1" x14ac:dyDescent="0.55000000000000004">
      <c r="A1910" t="s">
        <v>827</v>
      </c>
      <c r="B1910" t="s">
        <v>1662</v>
      </c>
      <c r="C1910" t="s">
        <v>5206</v>
      </c>
      <c r="E1910" t="s">
        <v>5359</v>
      </c>
      <c r="F1910" t="str">
        <f t="shared" si="29"/>
        <v>"C:\Program Files\VideoLAN\VLC\vlc.exe" "http://www.radiofeeds.net/playlists/bauer.pls?station=mfrfm-aac"</v>
      </c>
      <c r="M1910" t="str">
        <f>VLOOKUP(A1910,logos!$A$2:$A$10004,1,FALSE)</f>
        <v>MFR</v>
      </c>
    </row>
    <row r="1911" spans="1:13" hidden="1" x14ac:dyDescent="0.55000000000000004">
      <c r="A1911" t="s">
        <v>829</v>
      </c>
      <c r="B1911" t="s">
        <v>1662</v>
      </c>
      <c r="C1911" t="s">
        <v>5207</v>
      </c>
      <c r="E1911" t="s">
        <v>5359</v>
      </c>
      <c r="F1911" t="str">
        <f t="shared" si="29"/>
        <v>"C:\Program Files\VideoLAN\VLC\vlc.exe" "http://www.radiofeeds.net/playlists/bauer.pls?station=mfram-aac"</v>
      </c>
      <c r="M1911" t="str">
        <f>VLOOKUP(A1911,logos!$A$2:$A$10004,1,FALSE)</f>
        <v>MFR 2</v>
      </c>
    </row>
    <row r="1912" spans="1:13" hidden="1" x14ac:dyDescent="0.55000000000000004">
      <c r="A1912" t="s">
        <v>834</v>
      </c>
      <c r="B1912" t="s">
        <v>1662</v>
      </c>
      <c r="C1912" t="s">
        <v>5208</v>
      </c>
      <c r="E1912" t="s">
        <v>5359</v>
      </c>
      <c r="F1912" t="str">
        <f t="shared" si="29"/>
        <v>"C:\Program Files\VideoLAN\VLC\vlc.exe" "http://www.radiofeeds.net/playlists/sharptemp.pls?station=462_mi_soul_48_aac"</v>
      </c>
      <c r="M1912" t="e">
        <f>VLOOKUP(A1912,logos!$A$2:$A$10004,1,FALSE)</f>
        <v>#N/A</v>
      </c>
    </row>
    <row r="1913" spans="1:13" hidden="1" x14ac:dyDescent="0.55000000000000004">
      <c r="A1913" t="s">
        <v>1683</v>
      </c>
      <c r="B1913" t="s">
        <v>1663</v>
      </c>
      <c r="C1913" t="s">
        <v>5209</v>
      </c>
      <c r="E1913" t="s">
        <v>5359</v>
      </c>
      <c r="F1913" t="str">
        <f t="shared" si="29"/>
        <v>"C:\Program Files\VideoLAN\VLC\vlc.exe" "http://cupcake.citrus3.com:8122/stream.m3u"</v>
      </c>
      <c r="M1913" t="e">
        <f>VLOOKUP(A1913,logos!$A$2:$A$10004,1,FALSE)</f>
        <v>#N/A</v>
      </c>
    </row>
    <row r="1914" spans="1:13" hidden="1" x14ac:dyDescent="0.55000000000000004">
      <c r="A1914" t="s">
        <v>2777</v>
      </c>
      <c r="B1914" t="s">
        <v>1666</v>
      </c>
      <c r="C1914" t="s">
        <v>5210</v>
      </c>
      <c r="E1914" t="s">
        <v>5359</v>
      </c>
      <c r="F1914" t="str">
        <f t="shared" si="29"/>
        <v>"C:\Program Files\VideoLAN\VLC\vlc.exe" "http://memorylaneradio.radioca.st:9607/listen.pls?sid=1"</v>
      </c>
      <c r="M1914" t="e">
        <f>VLOOKUP(A1914,logos!$A$2:$A$10004,1,FALSE)</f>
        <v>#N/A</v>
      </c>
    </row>
    <row r="1915" spans="1:13" hidden="1" x14ac:dyDescent="0.55000000000000004">
      <c r="A1915" t="s">
        <v>2778</v>
      </c>
      <c r="B1915" t="s">
        <v>1662</v>
      </c>
      <c r="C1915" t="s">
        <v>5211</v>
      </c>
      <c r="E1915" t="s">
        <v>5359</v>
      </c>
      <c r="F1915" t="str">
        <f t="shared" si="29"/>
        <v>"C:\Program Files\VideoLAN\VLC\vlc.exe" "http://s4.xrad.io:8090/listen.pls?sid=1"</v>
      </c>
      <c r="M1915" t="e">
        <f>VLOOKUP(A1915,logos!$A$2:$A$10004,1,FALSE)</f>
        <v>#N/A</v>
      </c>
    </row>
    <row r="1916" spans="1:13" hidden="1" x14ac:dyDescent="0.55000000000000004">
      <c r="A1916" t="s">
        <v>2779</v>
      </c>
      <c r="B1916" t="s">
        <v>1662</v>
      </c>
      <c r="C1916" t="s">
        <v>5212</v>
      </c>
      <c r="E1916" t="s">
        <v>5359</v>
      </c>
      <c r="F1916" t="str">
        <f t="shared" si="29"/>
        <v>"C:\Program Files\VideoLAN\VLC\vlc.exe" "http://s4.xrad.io:8092/listen.pls?sid=1"</v>
      </c>
      <c r="M1916" t="e">
        <f>VLOOKUP(A1916,logos!$A$2:$A$10004,1,FALSE)</f>
        <v>#N/A</v>
      </c>
    </row>
    <row r="1917" spans="1:13" hidden="1" x14ac:dyDescent="0.55000000000000004">
      <c r="A1917" t="s">
        <v>2780</v>
      </c>
      <c r="B1917" t="s">
        <v>1668</v>
      </c>
      <c r="C1917" t="s">
        <v>5213</v>
      </c>
      <c r="E1917" t="s">
        <v>5359</v>
      </c>
      <c r="F1917" t="str">
        <f t="shared" si="29"/>
        <v>"C:\Program Files\VideoLAN\VLC\vlc.exe" "http://s4.xrad.io:8094/listen.pls?sid=1"</v>
      </c>
      <c r="M1917" t="e">
        <f>VLOOKUP(A1917,logos!$A$2:$A$10004,1,FALSE)</f>
        <v>#N/A</v>
      </c>
    </row>
    <row r="1918" spans="1:13" hidden="1" x14ac:dyDescent="0.55000000000000004">
      <c r="A1918" t="s">
        <v>2781</v>
      </c>
      <c r="B1918" t="s">
        <v>1662</v>
      </c>
      <c r="C1918" t="s">
        <v>5214</v>
      </c>
      <c r="E1918" t="s">
        <v>5359</v>
      </c>
      <c r="F1918" t="str">
        <f t="shared" si="29"/>
        <v>"C:\Program Files\VideoLAN\VLC\vlc.exe" "http://s4.xrad.io:8104/listen.pls?sid=1"</v>
      </c>
      <c r="M1918" t="e">
        <f>VLOOKUP(A1918,logos!$A$2:$A$10004,1,FALSE)</f>
        <v>#N/A</v>
      </c>
    </row>
    <row r="1919" spans="1:13" hidden="1" x14ac:dyDescent="0.55000000000000004">
      <c r="A1919" t="s">
        <v>2782</v>
      </c>
      <c r="B1919" t="s">
        <v>1662</v>
      </c>
      <c r="C1919" t="s">
        <v>5215</v>
      </c>
      <c r="E1919" t="s">
        <v>5359</v>
      </c>
      <c r="F1919" t="str">
        <f t="shared" si="29"/>
        <v>"C:\Program Files\VideoLAN\VLC\vlc.exe" "http://s4.xrad.io:8096/listen.pls?sid=1"</v>
      </c>
      <c r="M1919" t="e">
        <f>VLOOKUP(A1919,logos!$A$2:$A$10004,1,FALSE)</f>
        <v>#N/A</v>
      </c>
    </row>
    <row r="1920" spans="1:13" hidden="1" x14ac:dyDescent="0.55000000000000004">
      <c r="A1920" t="s">
        <v>851</v>
      </c>
      <c r="B1920" t="s">
        <v>1662</v>
      </c>
      <c r="C1920" t="s">
        <v>5216</v>
      </c>
      <c r="E1920" t="s">
        <v>5359</v>
      </c>
      <c r="F1920" t="str">
        <f t="shared" si="29"/>
        <v>"C:\Program Files\VideoLAN\VLC\vlc.exe" "http://s2.xrad.io:8332/listen.pls"</v>
      </c>
      <c r="M1920" t="e">
        <f>VLOOKUP(A1920,logos!$A$2:$A$10004,1,FALSE)</f>
        <v>#N/A</v>
      </c>
    </row>
    <row r="1921" spans="1:13" hidden="1" x14ac:dyDescent="0.55000000000000004">
      <c r="A1921" t="s">
        <v>853</v>
      </c>
      <c r="B1921" t="s">
        <v>1662</v>
      </c>
      <c r="C1921" t="s">
        <v>5217</v>
      </c>
      <c r="E1921" t="s">
        <v>5359</v>
      </c>
      <c r="F1921" t="str">
        <f t="shared" si="29"/>
        <v>"C:\Program Files\VideoLAN\VLC\vlc.exe" "http://www.radiofeeds.net/playlists/sharptemp.pls?station=nation60s-aac"</v>
      </c>
      <c r="M1921" t="e">
        <f>VLOOKUP(A1921,logos!$A$2:$A$10004,1,FALSE)</f>
        <v>#N/A</v>
      </c>
    </row>
    <row r="1922" spans="1:13" hidden="1" x14ac:dyDescent="0.55000000000000004">
      <c r="A1922" t="s">
        <v>856</v>
      </c>
      <c r="B1922" t="s">
        <v>1662</v>
      </c>
      <c r="C1922" t="s">
        <v>5218</v>
      </c>
      <c r="E1922" t="s">
        <v>5359</v>
      </c>
      <c r="F1922" t="str">
        <f t="shared" si="29"/>
        <v>"C:\Program Files\VideoLAN\VLC\vlc.exe" "http://www.radiofeeds.net/playlists/sharptemp.pls?station=nationradio70s-aac"</v>
      </c>
      <c r="M1922" t="e">
        <f>VLOOKUP(A1922,logos!$A$2:$A$10004,1,FALSE)</f>
        <v>#N/A</v>
      </c>
    </row>
    <row r="1923" spans="1:13" hidden="1" x14ac:dyDescent="0.55000000000000004">
      <c r="A1923" t="s">
        <v>859</v>
      </c>
      <c r="B1923" t="s">
        <v>1662</v>
      </c>
      <c r="C1923" t="s">
        <v>5219</v>
      </c>
      <c r="E1923" t="s">
        <v>5359</v>
      </c>
      <c r="F1923" t="str">
        <f t="shared" ref="F1923:F1986" si="30">"""C:\Program Files\VideoLAN\VLC\vlc.exe"" """&amp;C1923&amp;""""</f>
        <v>"C:\Program Files\VideoLAN\VLC\vlc.exe" "http://www.radiofeeds.net/playlists/sharptemp.pls?station=nationradio80s-aac"</v>
      </c>
      <c r="M1923" t="e">
        <f>VLOOKUP(A1923,logos!$A$2:$A$10004,1,FALSE)</f>
        <v>#N/A</v>
      </c>
    </row>
    <row r="1924" spans="1:13" hidden="1" x14ac:dyDescent="0.55000000000000004">
      <c r="A1924" t="s">
        <v>862</v>
      </c>
      <c r="B1924" t="s">
        <v>1662</v>
      </c>
      <c r="C1924" t="s">
        <v>5220</v>
      </c>
      <c r="E1924" t="s">
        <v>5359</v>
      </c>
      <c r="F1924" t="str">
        <f t="shared" si="30"/>
        <v>"C:\Program Files\VideoLAN\VLC\vlc.exe" "http://www.radiofeeds.net/playlists/sharptemp.pls?station=nationradio90s-aac"</v>
      </c>
      <c r="M1924" t="e">
        <f>VLOOKUP(A1924,logos!$A$2:$A$10004,1,FALSE)</f>
        <v>#N/A</v>
      </c>
    </row>
    <row r="1925" spans="1:13" hidden="1" x14ac:dyDescent="0.55000000000000004">
      <c r="A1925" t="s">
        <v>865</v>
      </c>
      <c r="B1925" t="s">
        <v>1662</v>
      </c>
      <c r="C1925" t="s">
        <v>5221</v>
      </c>
      <c r="E1925" t="s">
        <v>5359</v>
      </c>
      <c r="F1925" t="str">
        <f t="shared" si="30"/>
        <v>"C:\Program Files\VideoLAN\VLC\vlc.exe" "http://www.radiofeeds.net/playlists/sharptemp.pls?station=nationradio00s-aac"</v>
      </c>
      <c r="M1925" t="e">
        <f>VLOOKUP(A1925,logos!$A$2:$A$10004,1,FALSE)</f>
        <v>#N/A</v>
      </c>
    </row>
    <row r="1926" spans="1:13" hidden="1" x14ac:dyDescent="0.55000000000000004">
      <c r="A1926" t="s">
        <v>868</v>
      </c>
      <c r="B1926" t="s">
        <v>1662</v>
      </c>
      <c r="C1926" t="s">
        <v>5222</v>
      </c>
      <c r="E1926" t="s">
        <v>5359</v>
      </c>
      <c r="F1926" t="str">
        <f t="shared" si="30"/>
        <v>"C:\Program Files\VideoLAN\VLC\vlc.exe" "http://www.radiofeeds.net/playlists/sharptemp.pls?station=clubnation-aac"</v>
      </c>
      <c r="M1926" t="e">
        <f>VLOOKUP(A1926,logos!$A$2:$A$10004,1,FALSE)</f>
        <v>#N/A</v>
      </c>
    </row>
    <row r="1927" spans="1:13" hidden="1" x14ac:dyDescent="0.55000000000000004">
      <c r="A1927" t="s">
        <v>871</v>
      </c>
      <c r="B1927" t="s">
        <v>1662</v>
      </c>
      <c r="C1927" t="s">
        <v>5223</v>
      </c>
      <c r="E1927" t="s">
        <v>5359</v>
      </c>
      <c r="F1927" t="str">
        <f t="shared" si="30"/>
        <v>"C:\Program Files\VideoLAN\VLC\vlc.exe" "http://www.radiofeeds.net/playlists/sharptemp.pls?station=nationhits-aac"</v>
      </c>
      <c r="M1927" t="e">
        <f>VLOOKUP(A1927,logos!$A$2:$A$10004,1,FALSE)</f>
        <v>#N/A</v>
      </c>
    </row>
    <row r="1928" spans="1:13" hidden="1" x14ac:dyDescent="0.55000000000000004">
      <c r="A1928" t="s">
        <v>874</v>
      </c>
      <c r="B1928" t="s">
        <v>1662</v>
      </c>
      <c r="C1928" t="s">
        <v>5224</v>
      </c>
      <c r="E1928" t="s">
        <v>5359</v>
      </c>
      <c r="F1928" t="str">
        <f t="shared" si="30"/>
        <v>"C:\Program Files\VideoLAN\VLC\vlc.exe" "http://www.radiofeeds.net/playlists/sharptemp.pls?station=lovenation-aac"</v>
      </c>
      <c r="M1928" t="e">
        <f>VLOOKUP(A1928,logos!$A$2:$A$10004,1,FALSE)</f>
        <v>#N/A</v>
      </c>
    </row>
    <row r="1929" spans="1:13" hidden="1" x14ac:dyDescent="0.55000000000000004">
      <c r="A1929" t="s">
        <v>877</v>
      </c>
      <c r="B1929" t="s">
        <v>1662</v>
      </c>
      <c r="C1929" t="s">
        <v>5225</v>
      </c>
      <c r="E1929" t="s">
        <v>5359</v>
      </c>
      <c r="F1929" t="str">
        <f t="shared" si="30"/>
        <v>"C:\Program Files\VideoLAN\VLC\vlc.exe" "http://www.radiofeeds.net/playlists/sharptemp.pls?station=nationparty-aac"</v>
      </c>
      <c r="M1929" t="e">
        <f>VLOOKUP(A1929,logos!$A$2:$A$10004,1,FALSE)</f>
        <v>#N/A</v>
      </c>
    </row>
    <row r="1930" spans="1:13" hidden="1" x14ac:dyDescent="0.55000000000000004">
      <c r="A1930" t="s">
        <v>2783</v>
      </c>
      <c r="B1930" t="s">
        <v>1662</v>
      </c>
      <c r="C1930" t="s">
        <v>5226</v>
      </c>
      <c r="E1930" t="s">
        <v>5359</v>
      </c>
      <c r="F1930" t="str">
        <f t="shared" si="30"/>
        <v>"C:\Program Files\VideoLAN\VLC\vlc.exe" "http://www.radiofeeds.net/playlists/sharptemp.pls?station=hulli-aac"</v>
      </c>
      <c r="M1930" t="e">
        <f>VLOOKUP(A1930,logos!$A$2:$A$10004,1,FALSE)</f>
        <v>#N/A</v>
      </c>
    </row>
    <row r="1931" spans="1:13" hidden="1" x14ac:dyDescent="0.55000000000000004">
      <c r="A1931" t="s">
        <v>2784</v>
      </c>
      <c r="B1931" t="s">
        <v>1662</v>
      </c>
      <c r="C1931" t="s">
        <v>5227</v>
      </c>
      <c r="E1931" t="s">
        <v>5359</v>
      </c>
      <c r="F1931" t="str">
        <f t="shared" si="30"/>
        <v>"C:\Program Files\VideoLAN\VLC\vlc.exe" "http://www.radiofeeds.net/playlists/sharptemp.pls?station=yourradioi-aac"</v>
      </c>
      <c r="M1931" t="e">
        <f>VLOOKUP(A1931,logos!$A$2:$A$10004,1,FALSE)</f>
        <v>#N/A</v>
      </c>
    </row>
    <row r="1932" spans="1:13" hidden="1" x14ac:dyDescent="0.55000000000000004">
      <c r="A1932" t="s">
        <v>2785</v>
      </c>
      <c r="B1932" t="s">
        <v>1662</v>
      </c>
      <c r="C1932" t="s">
        <v>5228</v>
      </c>
      <c r="E1932" t="s">
        <v>5359</v>
      </c>
      <c r="F1932" t="str">
        <f t="shared" si="30"/>
        <v>"C:\Program Files\VideoLAN\VLC\vlc.exe" "http://www.radiofeeds.net/playlists/sharptemp.pls?station=nationscotlandi-aac"</v>
      </c>
      <c r="M1932" t="e">
        <f>VLOOKUP(A1932,logos!$A$2:$A$10004,1,FALSE)</f>
        <v>#N/A</v>
      </c>
    </row>
    <row r="1933" spans="1:13" hidden="1" x14ac:dyDescent="0.55000000000000004">
      <c r="A1933" t="s">
        <v>2786</v>
      </c>
      <c r="B1933" t="s">
        <v>1662</v>
      </c>
      <c r="C1933" t="s">
        <v>5229</v>
      </c>
      <c r="E1933" t="s">
        <v>5359</v>
      </c>
      <c r="F1933" t="str">
        <f t="shared" si="30"/>
        <v>"C:\Program Files\VideoLAN\VLC\vlc.exe" "http://www.radiofeeds.net/playlists/sharptemp.pls?station=nationdorset-aac"</v>
      </c>
      <c r="M1933" t="e">
        <f>VLOOKUP(A1933,logos!$A$2:$A$10004,1,FALSE)</f>
        <v>#N/A</v>
      </c>
    </row>
    <row r="1934" spans="1:13" hidden="1" x14ac:dyDescent="0.55000000000000004">
      <c r="A1934" t="s">
        <v>2787</v>
      </c>
      <c r="B1934" t="s">
        <v>1662</v>
      </c>
      <c r="C1934" t="s">
        <v>5230</v>
      </c>
      <c r="E1934" t="s">
        <v>5359</v>
      </c>
      <c r="F1934" t="str">
        <f t="shared" si="30"/>
        <v>"C:\Program Files\VideoLAN\VLC\vlc.exe" "http://www.radiofeeds.net/playlists/sharptemp.pls?station=nationhampshire-aac"</v>
      </c>
      <c r="M1934" t="e">
        <f>VLOOKUP(A1934,logos!$A$2:$A$10004,1,FALSE)</f>
        <v>#N/A</v>
      </c>
    </row>
    <row r="1935" spans="1:13" hidden="1" x14ac:dyDescent="0.55000000000000004">
      <c r="A1935" t="s">
        <v>2788</v>
      </c>
      <c r="B1935" t="s">
        <v>1662</v>
      </c>
      <c r="C1935" t="s">
        <v>5231</v>
      </c>
      <c r="E1935" t="s">
        <v>5359</v>
      </c>
      <c r="F1935" t="str">
        <f t="shared" si="30"/>
        <v>"C:\Program Files\VideoLAN\VLC\vlc.exe" "http://www.radiofeeds.net/playlists/sharptemp.pls?station=nationsuffolk-aac"</v>
      </c>
      <c r="M1935" t="e">
        <f>VLOOKUP(A1935,logos!$A$2:$A$10004,1,FALSE)</f>
        <v>#N/A</v>
      </c>
    </row>
    <row r="1936" spans="1:13" hidden="1" x14ac:dyDescent="0.55000000000000004">
      <c r="A1936" t="s">
        <v>2789</v>
      </c>
      <c r="B1936" t="s">
        <v>1662</v>
      </c>
      <c r="C1936" t="s">
        <v>5232</v>
      </c>
      <c r="E1936" t="s">
        <v>5359</v>
      </c>
      <c r="F1936" t="str">
        <f t="shared" si="30"/>
        <v>"C:\Program Files\VideoLAN\VLC\vlc.exe" "http://www.radiofeeds.net/playlists/sharptemp.pls?station=thamesradio-aac"</v>
      </c>
      <c r="M1936" t="e">
        <f>VLOOKUP(A1936,logos!$A$2:$A$10004,1,FALSE)</f>
        <v>#N/A</v>
      </c>
    </row>
    <row r="1937" spans="1:13" hidden="1" x14ac:dyDescent="0.55000000000000004">
      <c r="A1937" t="s">
        <v>2790</v>
      </c>
      <c r="B1937" t="s">
        <v>1663</v>
      </c>
      <c r="C1937" t="s">
        <v>5233</v>
      </c>
      <c r="E1937" t="s">
        <v>5359</v>
      </c>
      <c r="F1937" t="str">
        <f t="shared" si="30"/>
        <v>"C:\Program Files\VideoLAN\VLC\vlc.exe" "http://www.radiofeeds.net/playlists/sharptemp.pls?station=tcceredigion-aac"</v>
      </c>
      <c r="M1937" t="e">
        <f>VLOOKUP(A1937,logos!$A$2:$A$10004,1,FALSE)</f>
        <v>#N/A</v>
      </c>
    </row>
    <row r="1938" spans="1:13" hidden="1" x14ac:dyDescent="0.55000000000000004">
      <c r="A1938" t="s">
        <v>2791</v>
      </c>
      <c r="B1938" t="s">
        <v>1662</v>
      </c>
      <c r="C1938" t="s">
        <v>5234</v>
      </c>
      <c r="E1938" t="s">
        <v>5359</v>
      </c>
      <c r="F1938" t="str">
        <f t="shared" si="30"/>
        <v>"C:\Program Files\VideoLAN\VLC\vlc.exe" "http://www.radiofeeds.net/playlists/sharptemp.pls?station=tcnationi-aac"</v>
      </c>
      <c r="M1938" t="e">
        <f>VLOOKUP(A1938,logos!$A$2:$A$10004,1,FALSE)</f>
        <v>#N/A</v>
      </c>
    </row>
    <row r="1939" spans="1:13" hidden="1" x14ac:dyDescent="0.55000000000000004">
      <c r="A1939" t="s">
        <v>2791</v>
      </c>
      <c r="B1939" t="s">
        <v>1665</v>
      </c>
      <c r="C1939" t="s">
        <v>5235</v>
      </c>
      <c r="E1939" t="s">
        <v>5359</v>
      </c>
      <c r="F1939" t="str">
        <f t="shared" si="30"/>
        <v>"C:\Program Files\VideoLAN\VLC\vlc.exe" "http://www.radiofeeds.net/playlists/sharptemp.pls?station=tcnation-aac"</v>
      </c>
      <c r="M1939" t="e">
        <f>VLOOKUP(A1939,logos!$A$2:$A$10004,1,FALSE)</f>
        <v>#N/A</v>
      </c>
    </row>
    <row r="1940" spans="1:13" hidden="1" x14ac:dyDescent="0.55000000000000004">
      <c r="A1940" t="s">
        <v>909</v>
      </c>
      <c r="B1940" t="s">
        <v>1662</v>
      </c>
      <c r="C1940" t="s">
        <v>5236</v>
      </c>
      <c r="E1940" t="s">
        <v>5359</v>
      </c>
      <c r="F1940" t="str">
        <f t="shared" si="30"/>
        <v>"C:\Program Files\VideoLAN\VLC\vlc.exe" "http://www.radiofeeds.net/playlists/sharptemp.pls?station=nationrocks-aac"</v>
      </c>
      <c r="M1940" t="e">
        <f>VLOOKUP(A1940,logos!$A$2:$A$10004,1,FALSE)</f>
        <v>#N/A</v>
      </c>
    </row>
    <row r="1941" spans="1:13" hidden="1" x14ac:dyDescent="0.55000000000000004">
      <c r="A1941" t="s">
        <v>912</v>
      </c>
      <c r="B1941" t="s">
        <v>1662</v>
      </c>
      <c r="C1941" t="s">
        <v>5237</v>
      </c>
      <c r="E1941" t="s">
        <v>5359</v>
      </c>
      <c r="F1941" t="str">
        <f t="shared" si="30"/>
        <v>"C:\Program Files\VideoLAN\VLC\vlc.exe" "http://stream.audiospace.co/newsradiouk.m3u"</v>
      </c>
      <c r="M1941" t="e">
        <f>VLOOKUP(A1941,logos!$A$2:$A$10004,1,FALSE)</f>
        <v>#N/A</v>
      </c>
    </row>
    <row r="1942" spans="1:13" hidden="1" x14ac:dyDescent="0.55000000000000004">
      <c r="A1942" t="s">
        <v>914</v>
      </c>
      <c r="B1942" t="s">
        <v>1668</v>
      </c>
      <c r="C1942" t="s">
        <v>5238</v>
      </c>
      <c r="E1942" t="s">
        <v>5359</v>
      </c>
      <c r="F1942" t="str">
        <f t="shared" si="30"/>
        <v>"C:\Program Files\VideoLAN\VLC\vlc.exe" "http://www.radiofeeds.net/playlists/sharptemp.pls?station=nme1-aac"</v>
      </c>
      <c r="M1942" t="e">
        <f>VLOOKUP(A1942,logos!$A$2:$A$10004,1,FALSE)</f>
        <v>#N/A</v>
      </c>
    </row>
    <row r="1943" spans="1:13" hidden="1" x14ac:dyDescent="0.55000000000000004">
      <c r="A1943" t="s">
        <v>917</v>
      </c>
      <c r="B1943" t="s">
        <v>1668</v>
      </c>
      <c r="C1943" t="s">
        <v>5239</v>
      </c>
      <c r="E1943" t="s">
        <v>5359</v>
      </c>
      <c r="F1943" t="str">
        <f t="shared" si="30"/>
        <v>"C:\Program Files\VideoLAN\VLC\vlc.exe" "http://www.radiofeeds.net/playlists/sharptemp.pls?station=nme2-aac"</v>
      </c>
      <c r="M1943" t="e">
        <f>VLOOKUP(A1943,logos!$A$2:$A$10004,1,FALSE)</f>
        <v>#N/A</v>
      </c>
    </row>
    <row r="1944" spans="1:13" hidden="1" x14ac:dyDescent="0.55000000000000004">
      <c r="A1944" t="s">
        <v>923</v>
      </c>
      <c r="B1944" t="s">
        <v>1662</v>
      </c>
      <c r="C1944" t="s">
        <v>5240</v>
      </c>
      <c r="E1944" t="s">
        <v>5359</v>
      </c>
      <c r="F1944" t="str">
        <f t="shared" si="30"/>
        <v>"C:\Program Files\VideoLAN\VLC\vlc.exe" "http://www.radiofeeds.net/playlists/bauer.pls?station=northsound1-aac"</v>
      </c>
      <c r="M1944" t="str">
        <f>VLOOKUP(A1944,logos!$A$2:$A$10004,1,FALSE)</f>
        <v>Northsound 1</v>
      </c>
    </row>
    <row r="1945" spans="1:13" hidden="1" x14ac:dyDescent="0.55000000000000004">
      <c r="A1945" t="s">
        <v>925</v>
      </c>
      <c r="B1945" t="s">
        <v>1662</v>
      </c>
      <c r="C1945" t="s">
        <v>5241</v>
      </c>
      <c r="E1945" t="s">
        <v>5359</v>
      </c>
      <c r="F1945" t="str">
        <f t="shared" si="30"/>
        <v>"C:\Program Files\VideoLAN\VLC\vlc.exe" "http://www.radiofeeds.net/playlists/bauer.pls?station=northsound2-aac"</v>
      </c>
      <c r="M1945" t="str">
        <f>VLOOKUP(A1945,logos!$A$2:$A$10004,1,FALSE)</f>
        <v>Northsound 2</v>
      </c>
    </row>
    <row r="1946" spans="1:13" hidden="1" x14ac:dyDescent="0.55000000000000004">
      <c r="A1946" t="s">
        <v>929</v>
      </c>
      <c r="B1946" t="s">
        <v>1662</v>
      </c>
      <c r="C1946" t="s">
        <v>5242</v>
      </c>
      <c r="E1946" t="s">
        <v>5359</v>
      </c>
      <c r="F1946" t="str">
        <f t="shared" si="30"/>
        <v>"C:\Program Files\VideoLAN\VLC\vlc.exe" "http://www.radiofeeds.net/playlists/oneworldaac.m3u"</v>
      </c>
      <c r="M1946" t="e">
        <f>VLOOKUP(A1946,logos!$A$2:$A$10004,1,FALSE)</f>
        <v>#N/A</v>
      </c>
    </row>
    <row r="1947" spans="1:13" hidden="1" x14ac:dyDescent="0.55000000000000004">
      <c r="A1947" t="s">
        <v>931</v>
      </c>
      <c r="B1947" t="s">
        <v>1662</v>
      </c>
      <c r="C1947" t="s">
        <v>5243</v>
      </c>
      <c r="E1947" t="s">
        <v>5359</v>
      </c>
      <c r="F1947" t="str">
        <f t="shared" si="30"/>
        <v>"C:\Program Files\VideoLAN\VLC\vlc.exe" "http://www.radiofeeds.net/playlists/sharptemp.pls?station=original106-aac"</v>
      </c>
      <c r="M1947" t="e">
        <f>VLOOKUP(A1947,logos!$A$2:$A$10004,1,FALSE)</f>
        <v>#N/A</v>
      </c>
    </row>
    <row r="1948" spans="1:13" hidden="1" x14ac:dyDescent="0.55000000000000004">
      <c r="A1948" t="s">
        <v>2792</v>
      </c>
      <c r="B1948" t="s">
        <v>1679</v>
      </c>
      <c r="C1948" t="s">
        <v>5244</v>
      </c>
      <c r="E1948" t="s">
        <v>5359</v>
      </c>
      <c r="F1948" t="str">
        <f t="shared" si="30"/>
        <v>"C:\Program Files\VideoLAN\VLC\vlc.exe" "http://live.streamlojik.com:11170/outreachdance.aac.m3u"</v>
      </c>
      <c r="M1948" t="e">
        <f>VLOOKUP(A1948,logos!$A$2:$A$10004,1,FALSE)</f>
        <v>#N/A</v>
      </c>
    </row>
    <row r="1949" spans="1:13" hidden="1" x14ac:dyDescent="0.55000000000000004">
      <c r="A1949" t="s">
        <v>935</v>
      </c>
      <c r="B1949" t="s">
        <v>1679</v>
      </c>
      <c r="C1949" t="s">
        <v>5245</v>
      </c>
      <c r="E1949" t="s">
        <v>5359</v>
      </c>
      <c r="F1949" t="str">
        <f t="shared" si="30"/>
        <v>"C:\Program Files\VideoLAN\VLC\vlc.exe" "http://live.streamlojik.com:11070/outreachradio.aac.m3u"</v>
      </c>
      <c r="M1949" t="e">
        <f>VLOOKUP(A1949,logos!$A$2:$A$10004,1,FALSE)</f>
        <v>#N/A</v>
      </c>
    </row>
    <row r="1950" spans="1:13" hidden="1" x14ac:dyDescent="0.55000000000000004">
      <c r="A1950" t="s">
        <v>942</v>
      </c>
      <c r="B1950" t="s">
        <v>1662</v>
      </c>
      <c r="C1950" t="s">
        <v>5246</v>
      </c>
      <c r="E1950" t="s">
        <v>5359</v>
      </c>
      <c r="F1950" t="str">
        <f t="shared" si="30"/>
        <v>"C:\Program Files\VideoLAN\VLC\vlc.exe" "http://www.radiofeeds.net/playlists/passion.m3u"</v>
      </c>
      <c r="M1950" t="e">
        <f>VLOOKUP(A1950,logos!$A$2:$A$10004,1,FALSE)</f>
        <v>#N/A</v>
      </c>
    </row>
    <row r="1951" spans="1:13" hidden="1" x14ac:dyDescent="0.55000000000000004">
      <c r="A1951" t="s">
        <v>2793</v>
      </c>
      <c r="B1951" t="s">
        <v>1682</v>
      </c>
      <c r="C1951" t="s">
        <v>5247</v>
      </c>
      <c r="E1951" t="s">
        <v>5359</v>
      </c>
      <c r="F1951" t="str">
        <f t="shared" si="30"/>
        <v>"C:\Program Files\VideoLAN\VLC\vlc.exe" "http://www.radiofeeds.net/playlists/sharptemp.pls?station=petersfield-aac"</v>
      </c>
      <c r="M1951" t="e">
        <f>VLOOKUP(A1951,logos!$A$2:$A$10004,1,FALSE)</f>
        <v>#N/A</v>
      </c>
    </row>
    <row r="1952" spans="1:13" hidden="1" x14ac:dyDescent="0.55000000000000004">
      <c r="A1952" t="s">
        <v>944</v>
      </c>
      <c r="B1952" t="s">
        <v>1668</v>
      </c>
      <c r="C1952" t="s">
        <v>5248</v>
      </c>
      <c r="E1952" t="s">
        <v>5359</v>
      </c>
      <c r="F1952" t="str">
        <f t="shared" si="30"/>
        <v>"C:\Program Files\VideoLAN\VLC\vlc.exe" "http://streams.radio.co/sbaa068f97/low.m3u"</v>
      </c>
      <c r="M1952" t="e">
        <f>VLOOKUP(A1952,logos!$A$2:$A$10004,1,FALSE)</f>
        <v>#N/A</v>
      </c>
    </row>
    <row r="1953" spans="1:13" hidden="1" x14ac:dyDescent="0.55000000000000004">
      <c r="A1953" t="s">
        <v>2794</v>
      </c>
      <c r="B1953" t="s">
        <v>1662</v>
      </c>
      <c r="C1953" t="s">
        <v>5249</v>
      </c>
      <c r="E1953" t="s">
        <v>5359</v>
      </c>
      <c r="F1953" t="str">
        <f t="shared" si="30"/>
        <v>"C:\Program Files\VideoLAN\VLC\vlc.exe" "http://www.radiofeeds.net/playlists/bauer.pls?station=net1cornwalleast-aac"</v>
      </c>
      <c r="M1953" t="e">
        <f>VLOOKUP(A1953,logos!$A$2:$A$10004,1,FALSE)</f>
        <v>#N/A</v>
      </c>
    </row>
    <row r="1954" spans="1:13" hidden="1" x14ac:dyDescent="0.55000000000000004">
      <c r="A1954" t="s">
        <v>2795</v>
      </c>
      <c r="B1954" t="s">
        <v>1662</v>
      </c>
      <c r="C1954" t="s">
        <v>5250</v>
      </c>
      <c r="E1954" t="s">
        <v>5359</v>
      </c>
      <c r="F1954" t="str">
        <f t="shared" si="30"/>
        <v>"C:\Program Files\VideoLAN\VLC\vlc.exe" "http://www.radiofeeds.net/playlists/bauer.pls?station=net1cornwall-aac"</v>
      </c>
      <c r="M1954" t="str">
        <f>VLOOKUP(A1954,logos!$A$2:$A$10004,1,FALSE)</f>
        <v>Pirate FM (West)</v>
      </c>
    </row>
    <row r="1955" spans="1:13" hidden="1" x14ac:dyDescent="0.55000000000000004">
      <c r="A1955" t="s">
        <v>950</v>
      </c>
      <c r="B1955" t="s">
        <v>1662</v>
      </c>
      <c r="C1955" t="s">
        <v>5251</v>
      </c>
      <c r="E1955" t="s">
        <v>5359</v>
      </c>
      <c r="F1955" t="str">
        <f t="shared" si="30"/>
        <v>"C:\Program Files\VideoLAN\VLC\vlc.exe" "http://www.radiofeeds.net/playlists/bauer.pls?station=planetrock-aac"</v>
      </c>
      <c r="M1955" t="str">
        <f>VLOOKUP(A1955,logos!$A$2:$A$10004,1,FALSE)</f>
        <v>Planet Rock</v>
      </c>
    </row>
    <row r="1956" spans="1:13" hidden="1" x14ac:dyDescent="0.55000000000000004">
      <c r="A1956" t="s">
        <v>952</v>
      </c>
      <c r="B1956" t="s">
        <v>1662</v>
      </c>
      <c r="C1956" t="s">
        <v>5252</v>
      </c>
      <c r="E1956" t="s">
        <v>5359</v>
      </c>
      <c r="F1956" t="str">
        <f t="shared" si="30"/>
        <v>"C:\Program Files\VideoLAN\VLC\vlc.exe" "http://playerservices.streamtheworld.com/pls/PODCAST_RADIOAAC.pls"</v>
      </c>
      <c r="M1956" t="e">
        <f>VLOOKUP(A1956,logos!$A$2:$A$10004,1,FALSE)</f>
        <v>#N/A</v>
      </c>
    </row>
    <row r="1957" spans="1:13" hidden="1" x14ac:dyDescent="0.55000000000000004">
      <c r="A1957" t="s">
        <v>959</v>
      </c>
      <c r="B1957" t="s">
        <v>1682</v>
      </c>
      <c r="C1957" t="s">
        <v>5253</v>
      </c>
      <c r="E1957" t="s">
        <v>5359</v>
      </c>
      <c r="F1957" t="str">
        <f t="shared" si="30"/>
        <v>"C:\Program Files\VideoLAN\VLC\vlc.exe" "http://www.radiofeeds.net/playlists/pointblankaac.m3u"</v>
      </c>
      <c r="M1957" t="e">
        <f>VLOOKUP(A1957,logos!$A$2:$A$10004,1,FALSE)</f>
        <v>#N/A</v>
      </c>
    </row>
    <row r="1958" spans="1:13" hidden="1" x14ac:dyDescent="0.55000000000000004">
      <c r="A1958" t="s">
        <v>2796</v>
      </c>
      <c r="B1958" t="s">
        <v>1682</v>
      </c>
      <c r="C1958" t="s">
        <v>5254</v>
      </c>
      <c r="E1958" t="s">
        <v>5359</v>
      </c>
      <c r="F1958" t="str">
        <f t="shared" si="30"/>
        <v>"C:\Program Files\VideoLAN\VLC\vlc.exe" "http://stream.rcs.revma.com/prfmwmwy768uv.m3u"</v>
      </c>
      <c r="M1958" t="e">
        <f>VLOOKUP(A1958,logos!$A$2:$A$10004,1,FALSE)</f>
        <v>#N/A</v>
      </c>
    </row>
    <row r="1959" spans="1:13" hidden="1" x14ac:dyDescent="0.55000000000000004">
      <c r="A1959" t="s">
        <v>976</v>
      </c>
      <c r="B1959" t="s">
        <v>1662</v>
      </c>
      <c r="C1959" t="s">
        <v>5255</v>
      </c>
      <c r="E1959" t="s">
        <v>5359</v>
      </c>
      <c r="F1959" t="str">
        <f t="shared" si="30"/>
        <v>"C:\Program Files\VideoLAN\VLC\vlc.exe" "http://www.radiofeeds.net/playlists/bauer.pls?station=net1bradford-aac"</v>
      </c>
      <c r="M1959" t="str">
        <f>VLOOKUP(A1959,logos!$A$2:$A$10004,1,FALSE)</f>
        <v>Pulse 1</v>
      </c>
    </row>
    <row r="1960" spans="1:13" hidden="1" x14ac:dyDescent="0.55000000000000004">
      <c r="A1960" t="s">
        <v>2797</v>
      </c>
      <c r="B1960" t="s">
        <v>1662</v>
      </c>
      <c r="C1960" t="s">
        <v>5256</v>
      </c>
      <c r="E1960" t="s">
        <v>5359</v>
      </c>
      <c r="F1960" t="str">
        <f t="shared" si="30"/>
        <v>"C:\Program Files\VideoLAN\VLC\vlc.exe" "http://icy-e-01.sharp-stream.com/pure_radio.aac.m3u"</v>
      </c>
      <c r="M1960" t="e">
        <f>VLOOKUP(A1960,logos!$A$2:$A$10004,1,FALSE)</f>
        <v>#N/A</v>
      </c>
    </row>
    <row r="1961" spans="1:13" hidden="1" x14ac:dyDescent="0.55000000000000004">
      <c r="A1961" t="s">
        <v>1009</v>
      </c>
      <c r="B1961" t="s">
        <v>1662</v>
      </c>
      <c r="C1961" t="s">
        <v>5257</v>
      </c>
      <c r="E1961" t="s">
        <v>5359</v>
      </c>
      <c r="F1961" t="str">
        <f t="shared" si="30"/>
        <v>"C:\Program Files\VideoLAN\VLC\vlc.exe" "http://playoutonestreaming.com:8147/listen.pls?sid=2"</v>
      </c>
      <c r="M1961" t="e">
        <f>VLOOKUP(A1961,logos!$A$2:$A$10004,1,FALSE)</f>
        <v>#N/A</v>
      </c>
    </row>
    <row r="1962" spans="1:13" hidden="1" x14ac:dyDescent="0.55000000000000004">
      <c r="A1962" t="s">
        <v>1011</v>
      </c>
      <c r="B1962" t="s">
        <v>1662</v>
      </c>
      <c r="C1962" t="s">
        <v>5258</v>
      </c>
      <c r="E1962" t="s">
        <v>5359</v>
      </c>
      <c r="F1962" t="str">
        <f t="shared" si="30"/>
        <v>"C:\Program Files\VideoLAN\VLC\vlc.exe" "http://www.radiofeeds.net/playlists/bauer.pls?station=borders-aac"</v>
      </c>
      <c r="M1962" t="str">
        <f>VLOOKUP(A1962,logos!$A$2:$A$10004,1,FALSE)</f>
        <v>Radio Borders</v>
      </c>
    </row>
    <row r="1963" spans="1:13" hidden="1" x14ac:dyDescent="0.55000000000000004">
      <c r="A1963" t="s">
        <v>1013</v>
      </c>
      <c r="B1963" t="s">
        <v>1663</v>
      </c>
      <c r="C1963" t="s">
        <v>5259</v>
      </c>
      <c r="E1963" t="s">
        <v>5359</v>
      </c>
      <c r="F1963" t="str">
        <f t="shared" si="30"/>
        <v>"C:\Program Files\VideoLAN\VLC\vlc.exe" "http://www.radiofeeds.net/playlists/sharptemp.pls?station=tccarmarthenshire-aac"</v>
      </c>
      <c r="M1963" t="e">
        <f>VLOOKUP(A1963,logos!$A$2:$A$10004,1,FALSE)</f>
        <v>#N/A</v>
      </c>
    </row>
    <row r="1964" spans="1:13" hidden="1" x14ac:dyDescent="0.55000000000000004">
      <c r="A1964" t="s">
        <v>1023</v>
      </c>
      <c r="B1964" t="s">
        <v>1662</v>
      </c>
      <c r="C1964" t="s">
        <v>5260</v>
      </c>
      <c r="E1964" t="s">
        <v>5359</v>
      </c>
      <c r="F1964" t="str">
        <f t="shared" si="30"/>
        <v>"C:\Program Files\VideoLAN\VLC\vlc.exe" "http://www.radiofeeds.net/playlists/bauer.pls?station=city-aac"</v>
      </c>
      <c r="M1964" t="str">
        <f>VLOOKUP(A1964,logos!$A$2:$A$10004,1,FALSE)</f>
        <v>Radio City</v>
      </c>
    </row>
    <row r="1965" spans="1:13" hidden="1" x14ac:dyDescent="0.55000000000000004">
      <c r="A1965" t="s">
        <v>2798</v>
      </c>
      <c r="B1965" t="s">
        <v>1668</v>
      </c>
      <c r="C1965" t="s">
        <v>5261</v>
      </c>
      <c r="E1965" t="s">
        <v>5359</v>
      </c>
      <c r="F1965" t="str">
        <f t="shared" si="30"/>
        <v>"C:\Program Files\VideoLAN\VLC\vlc.exe" "http://playoutonestreaming.com:8012/listen.pls?sid=2"</v>
      </c>
      <c r="M1965" t="e">
        <f>VLOOKUP(A1965,logos!$A$2:$A$10004,1,FALSE)</f>
        <v>#N/A</v>
      </c>
    </row>
    <row r="1966" spans="1:13" hidden="1" x14ac:dyDescent="0.55000000000000004">
      <c r="A1966" t="s">
        <v>1033</v>
      </c>
      <c r="B1966" t="s">
        <v>1684</v>
      </c>
      <c r="C1966" t="s">
        <v>5262</v>
      </c>
      <c r="E1966" t="s">
        <v>5359</v>
      </c>
      <c r="F1966" t="str">
        <f t="shared" si="30"/>
        <v>"C:\Program Files\VideoLAN\VLC\vlc.exe" "http://media.radiojackie.com:11209/listen.pls"</v>
      </c>
      <c r="M1966" t="e">
        <f>VLOOKUP(A1966,logos!$A$2:$A$10004,1,FALSE)</f>
        <v>#N/A</v>
      </c>
    </row>
    <row r="1967" spans="1:13" hidden="1" x14ac:dyDescent="0.55000000000000004">
      <c r="A1967" t="s">
        <v>1033</v>
      </c>
      <c r="B1967" t="s">
        <v>1679</v>
      </c>
      <c r="C1967" t="s">
        <v>5263</v>
      </c>
      <c r="E1967" t="s">
        <v>5359</v>
      </c>
      <c r="F1967" t="str">
        <f t="shared" si="30"/>
        <v>"C:\Program Files\VideoLAN\VLC\vlc.exe" "http://media.radiojackie.com:11289/listen.pls"</v>
      </c>
      <c r="M1967" t="e">
        <f>VLOOKUP(A1967,logos!$A$2:$A$10004,1,FALSE)</f>
        <v>#N/A</v>
      </c>
    </row>
    <row r="1968" spans="1:13" hidden="1" x14ac:dyDescent="0.55000000000000004">
      <c r="A1968" t="s">
        <v>1033</v>
      </c>
      <c r="B1968" t="s">
        <v>1663</v>
      </c>
      <c r="C1968" t="s">
        <v>5264</v>
      </c>
      <c r="E1968" t="s">
        <v>5359</v>
      </c>
      <c r="F1968" t="str">
        <f t="shared" si="30"/>
        <v>"C:\Program Files\VideoLAN\VLC\vlc.exe" "http://www.radiofeeds.net/playlists/jackie128aac.m3u"</v>
      </c>
      <c r="M1968" t="e">
        <f>VLOOKUP(A1968,logos!$A$2:$A$10004,1,FALSE)</f>
        <v>#N/A</v>
      </c>
    </row>
    <row r="1969" spans="1:13" hidden="1" x14ac:dyDescent="0.55000000000000004">
      <c r="A1969" t="s">
        <v>1033</v>
      </c>
      <c r="B1969" t="s">
        <v>1670</v>
      </c>
      <c r="C1969" t="s">
        <v>5265</v>
      </c>
      <c r="E1969" t="s">
        <v>5359</v>
      </c>
      <c r="F1969" t="str">
        <f t="shared" si="30"/>
        <v>"C:\Program Files\VideoLAN\VLC\vlc.exe" "http://media.radiojackie.com:5873/listen.pls"</v>
      </c>
      <c r="M1969" t="e">
        <f>VLOOKUP(A1969,logos!$A$2:$A$10004,1,FALSE)</f>
        <v>#N/A</v>
      </c>
    </row>
    <row r="1970" spans="1:13" hidden="1" x14ac:dyDescent="0.55000000000000004">
      <c r="A1970" t="s">
        <v>2799</v>
      </c>
      <c r="B1970" t="s">
        <v>1662</v>
      </c>
      <c r="C1970" t="s">
        <v>5266</v>
      </c>
      <c r="E1970" t="s">
        <v>5359</v>
      </c>
      <c r="F1970" t="str">
        <f t="shared" si="30"/>
        <v>"C:\Program Files\VideoLAN\VLC\vlc.exe" "http://dreamsiteradiocp5.com:8094/listen.pls?sid=1"</v>
      </c>
      <c r="M1970" t="e">
        <f>VLOOKUP(A1970,logos!$A$2:$A$10004,1,FALSE)</f>
        <v>#N/A</v>
      </c>
    </row>
    <row r="1971" spans="1:13" hidden="1" x14ac:dyDescent="0.55000000000000004">
      <c r="A1971" t="s">
        <v>1044</v>
      </c>
      <c r="B1971" t="s">
        <v>1663</v>
      </c>
      <c r="C1971" t="s">
        <v>5267</v>
      </c>
      <c r="E1971" t="s">
        <v>5359</v>
      </c>
      <c r="F1971" t="str">
        <f t="shared" si="30"/>
        <v>"C:\Program Files\VideoLAN\VLC\vlc.exe" "http://www.radiofeeds.net/playlists/sharptemp.pls?station=tcpembrokeshire-aac"</v>
      </c>
      <c r="M1971" t="e">
        <f>VLOOKUP(A1971,logos!$A$2:$A$10004,1,FALSE)</f>
        <v>#N/A</v>
      </c>
    </row>
    <row r="1972" spans="1:13" hidden="1" x14ac:dyDescent="0.55000000000000004">
      <c r="A1972" t="s">
        <v>1051</v>
      </c>
      <c r="B1972" t="s">
        <v>1663</v>
      </c>
      <c r="C1972" t="s">
        <v>5268</v>
      </c>
      <c r="E1972" t="s">
        <v>5359</v>
      </c>
      <c r="F1972" t="str">
        <f t="shared" si="30"/>
        <v>"C:\Program Files\VideoLAN\VLC\vlc.exe" "http://streaming.radioup.co.uk/up.m3u"</v>
      </c>
      <c r="M1972" t="e">
        <f>VLOOKUP(A1972,logos!$A$2:$A$10004,1,FALSE)</f>
        <v>#N/A</v>
      </c>
    </row>
    <row r="1973" spans="1:13" hidden="1" x14ac:dyDescent="0.55000000000000004">
      <c r="A1973" t="s">
        <v>1053</v>
      </c>
      <c r="B1973" t="s">
        <v>1662</v>
      </c>
      <c r="C1973" t="s">
        <v>5269</v>
      </c>
      <c r="E1973" t="s">
        <v>5359</v>
      </c>
      <c r="F1973" t="str">
        <f t="shared" si="30"/>
        <v>"C:\Program Files\VideoLAN\VLC\vlc.exe" "http://hyades.shoutca.st:8034/wokinglow.m3u"</v>
      </c>
      <c r="M1973" t="e">
        <f>VLOOKUP(A1973,logos!$A$2:$A$10004,1,FALSE)</f>
        <v>#N/A</v>
      </c>
    </row>
    <row r="1974" spans="1:13" hidden="1" x14ac:dyDescent="0.55000000000000004">
      <c r="A1974" t="s">
        <v>2800</v>
      </c>
      <c r="B1974" t="s">
        <v>1662</v>
      </c>
      <c r="C1974" t="s">
        <v>5270</v>
      </c>
      <c r="E1974" t="s">
        <v>5359</v>
      </c>
      <c r="F1974" t="str">
        <f t="shared" si="30"/>
        <v>"C:\Program Files\VideoLAN\VLC\vlc.exe" "http://icecast.thisisdax.com/RadioXLondon.m3u"</v>
      </c>
      <c r="M1974" t="e">
        <f>VLOOKUP(A1974,logos!$A$2:$A$10004,1,FALSE)</f>
        <v>#N/A</v>
      </c>
    </row>
    <row r="1975" spans="1:13" hidden="1" x14ac:dyDescent="0.55000000000000004">
      <c r="A1975" t="s">
        <v>2801</v>
      </c>
      <c r="B1975" t="s">
        <v>1662</v>
      </c>
      <c r="C1975" t="s">
        <v>5271</v>
      </c>
      <c r="E1975" t="s">
        <v>5359</v>
      </c>
      <c r="F1975" t="str">
        <f t="shared" si="30"/>
        <v>"C:\Program Files\VideoLAN\VLC\vlc.exe" "http://icecast.thisisdax.com/RadioXManchester.m3u"</v>
      </c>
      <c r="M1975" t="e">
        <f>VLOOKUP(A1975,logos!$A$2:$A$10004,1,FALSE)</f>
        <v>#N/A</v>
      </c>
    </row>
    <row r="1976" spans="1:13" hidden="1" x14ac:dyDescent="0.55000000000000004">
      <c r="A1976" t="s">
        <v>2802</v>
      </c>
      <c r="B1976" t="s">
        <v>1662</v>
      </c>
      <c r="C1976" t="s">
        <v>5272</v>
      </c>
      <c r="E1976" t="s">
        <v>5359</v>
      </c>
      <c r="F1976" t="str">
        <f t="shared" si="30"/>
        <v>"C:\Program Files\VideoLAN\VLC\vlc.exe" "http://icecast.thisisdax.com/RadioXUK.m3u"</v>
      </c>
      <c r="M1976" t="str">
        <f>VLOOKUP(A1976,logos!$A$2:$A$10004,1,FALSE)</f>
        <v>Radio X (UK)</v>
      </c>
    </row>
    <row r="1977" spans="1:13" hidden="1" x14ac:dyDescent="0.55000000000000004">
      <c r="A1977" t="s">
        <v>1685</v>
      </c>
      <c r="B1977" t="s">
        <v>1682</v>
      </c>
      <c r="C1977" t="s">
        <v>5273</v>
      </c>
      <c r="E1977" t="s">
        <v>5359</v>
      </c>
      <c r="F1977" t="str">
        <f t="shared" si="30"/>
        <v>"C:\Program Files\VideoLAN\VLC\vlc.exe" "http://stream.radiojar.com/m47fp4p5n0quv.m3u"</v>
      </c>
      <c r="M1977" t="e">
        <f>VLOOKUP(A1977,logos!$A$2:$A$10004,1,FALSE)</f>
        <v>#N/A</v>
      </c>
    </row>
    <row r="1978" spans="1:13" hidden="1" x14ac:dyDescent="0.55000000000000004">
      <c r="A1978" t="s">
        <v>1069</v>
      </c>
      <c r="B1978" t="s">
        <v>1663</v>
      </c>
      <c r="C1978" t="s">
        <v>5274</v>
      </c>
      <c r="E1978" t="s">
        <v>5359</v>
      </c>
      <c r="F1978" t="str">
        <f t="shared" si="30"/>
        <v>"C:\Program Files\VideoLAN\VLC\vlc.exe" "http://stream.releaseradio.net/stream2.m3u"</v>
      </c>
      <c r="M1978" t="e">
        <f>VLOOKUP(A1978,logos!$A$2:$A$10004,1,FALSE)</f>
        <v>#N/A</v>
      </c>
    </row>
    <row r="1979" spans="1:13" hidden="1" x14ac:dyDescent="0.55000000000000004">
      <c r="A1979" t="s">
        <v>1074</v>
      </c>
      <c r="B1979" t="s">
        <v>1668</v>
      </c>
      <c r="C1979" t="s">
        <v>5275</v>
      </c>
      <c r="E1979" t="s">
        <v>5359</v>
      </c>
      <c r="F1979" t="str">
        <f t="shared" si="30"/>
        <v>"C:\Program Files\VideoLAN\VLC\vlc.exe" "http://s4.radio.co/s2eaa194f6/low.m3u"</v>
      </c>
      <c r="M1979" t="e">
        <f>VLOOKUP(A1979,logos!$A$2:$A$10004,1,FALSE)</f>
        <v>#N/A</v>
      </c>
    </row>
    <row r="1980" spans="1:13" hidden="1" x14ac:dyDescent="0.55000000000000004">
      <c r="A1980" t="s">
        <v>1686</v>
      </c>
      <c r="B1980" t="s">
        <v>1668</v>
      </c>
      <c r="C1980" t="s">
        <v>5276</v>
      </c>
      <c r="E1980" t="s">
        <v>5359</v>
      </c>
      <c r="F1980" t="str">
        <f t="shared" si="30"/>
        <v>"C:\Program Files\VideoLAN\VLC\vlc.exe" "http://stream.rcs.revma.com/yv4znr4xcg0uv.m3u"</v>
      </c>
      <c r="M1980" t="e">
        <f>VLOOKUP(A1980,logos!$A$2:$A$10004,1,FALSE)</f>
        <v>#N/A</v>
      </c>
    </row>
    <row r="1981" spans="1:13" hidden="1" x14ac:dyDescent="0.55000000000000004">
      <c r="A1981" t="s">
        <v>1082</v>
      </c>
      <c r="B1981" t="s">
        <v>1662</v>
      </c>
      <c r="C1981" t="s">
        <v>5277</v>
      </c>
      <c r="E1981" t="s">
        <v>5359</v>
      </c>
      <c r="F1981" t="str">
        <f t="shared" si="30"/>
        <v>"C:\Program Files\VideoLAN\VLC\vlc.exe" "http://www.radiofeeds.net/playlists/bauer.pls?station=rock-aac"</v>
      </c>
      <c r="M1981" t="str">
        <f>VLOOKUP(A1981,logos!$A$2:$A$10004,1,FALSE)</f>
        <v>Rock FM</v>
      </c>
    </row>
    <row r="1982" spans="1:13" hidden="1" x14ac:dyDescent="0.55000000000000004">
      <c r="A1982" t="s">
        <v>1087</v>
      </c>
      <c r="B1982" t="s">
        <v>1668</v>
      </c>
      <c r="C1982" t="s">
        <v>5278</v>
      </c>
      <c r="E1982" t="s">
        <v>5359</v>
      </c>
      <c r="F1982" t="str">
        <f t="shared" si="30"/>
        <v>"C:\Program Files\VideoLAN\VLC\vlc.exe" "http://streaming03.zfast.co.uk:8053/listen.pls?sid=1"</v>
      </c>
      <c r="M1982" t="str">
        <f>VLOOKUP(A1982,logos!$A$2:$A$10004,1,FALSE)</f>
        <v>Rother Radio</v>
      </c>
    </row>
    <row r="1983" spans="1:13" hidden="1" x14ac:dyDescent="0.55000000000000004">
      <c r="A1983" t="s">
        <v>1087</v>
      </c>
      <c r="B1983" t="s">
        <v>1663</v>
      </c>
      <c r="C1983" t="s">
        <v>5279</v>
      </c>
      <c r="E1983" t="s">
        <v>5359</v>
      </c>
      <c r="F1983" t="str">
        <f t="shared" si="30"/>
        <v>"C:\Program Files\VideoLAN\VLC\vlc.exe" "http://streaming03.zfast.co.uk:8132/listen.pls?sid=1"</v>
      </c>
      <c r="M1983" t="str">
        <f>VLOOKUP(A1983,logos!$A$2:$A$10004,1,FALSE)</f>
        <v>Rother Radio</v>
      </c>
    </row>
    <row r="1984" spans="1:13" hidden="1" x14ac:dyDescent="0.55000000000000004">
      <c r="A1984" t="s">
        <v>1096</v>
      </c>
      <c r="B1984" t="s">
        <v>1662</v>
      </c>
      <c r="C1984" t="s">
        <v>5280</v>
      </c>
      <c r="E1984" t="s">
        <v>5359</v>
      </c>
      <c r="F1984" t="str">
        <f t="shared" si="30"/>
        <v>"C:\Program Files\VideoLAN\VLC\vlc.exe" "http://s4.xrad.io:8010/stream.m3u"</v>
      </c>
      <c r="M1984" t="e">
        <f>VLOOKUP(A1984,logos!$A$2:$A$10004,1,FALSE)</f>
        <v>#N/A</v>
      </c>
    </row>
    <row r="1985" spans="1:13" hidden="1" x14ac:dyDescent="0.55000000000000004">
      <c r="A1985" t="s">
        <v>1104</v>
      </c>
      <c r="B1985" t="s">
        <v>1662</v>
      </c>
      <c r="C1985" t="s">
        <v>5281</v>
      </c>
      <c r="E1985" t="s">
        <v>5359</v>
      </c>
      <c r="F1985" t="str">
        <f t="shared" si="30"/>
        <v>"C:\Program Files\VideoLAN\VLC\vlc.exe" "http://www.radiofeeds.net/playlists/bauer.pls?station=scala-aac"</v>
      </c>
      <c r="M1985" t="str">
        <f>VLOOKUP(A1985,logos!$A$2:$A$10004,1,FALSE)</f>
        <v>Scala Radio</v>
      </c>
    </row>
    <row r="1986" spans="1:13" hidden="1" x14ac:dyDescent="0.55000000000000004">
      <c r="A1986" t="s">
        <v>1104</v>
      </c>
      <c r="B1986" t="s">
        <v>1663</v>
      </c>
      <c r="C1986" t="s">
        <v>5282</v>
      </c>
      <c r="E1986" t="s">
        <v>5359</v>
      </c>
      <c r="F1986" t="str">
        <f t="shared" si="30"/>
        <v>"C:\Program Files\VideoLAN\VLC\vlc.exe" "http://www.radiofeeds.net/playlists/bauer.pls?station=scalahigh-aac"</v>
      </c>
      <c r="M1986" t="str">
        <f>VLOOKUP(A1986,logos!$A$2:$A$10004,1,FALSE)</f>
        <v>Scala Radio</v>
      </c>
    </row>
    <row r="1987" spans="1:13" hidden="1" x14ac:dyDescent="0.55000000000000004">
      <c r="A1987" t="s">
        <v>1110</v>
      </c>
      <c r="B1987" t="s">
        <v>1671</v>
      </c>
      <c r="C1987" t="s">
        <v>5283</v>
      </c>
      <c r="E1987" t="s">
        <v>5359</v>
      </c>
      <c r="F1987" t="str">
        <f t="shared" ref="F1987:F2050" si="31">"""C:\Program Files\VideoLAN\VLC\vlc.exe"" """&amp;C1987&amp;""""</f>
        <v>"C:\Program Files\VideoLAN\VLC\vlc.exe" "http://www.radiofeeds.net/playlists/SIBC24aac.m3u"</v>
      </c>
      <c r="M1987" t="e">
        <f>VLOOKUP(A1987,logos!$A$2:$A$10004,1,FALSE)</f>
        <v>#N/A</v>
      </c>
    </row>
    <row r="1988" spans="1:13" hidden="1" x14ac:dyDescent="0.55000000000000004">
      <c r="A1988" t="s">
        <v>1110</v>
      </c>
      <c r="B1988" t="s">
        <v>1662</v>
      </c>
      <c r="C1988" t="s">
        <v>5284</v>
      </c>
      <c r="E1988" t="s">
        <v>5359</v>
      </c>
      <c r="F1988" t="str">
        <f t="shared" si="31"/>
        <v>"C:\Program Files\VideoLAN\VLC\vlc.exe" "http://www.radiofeeds.net/playlists/SIBC48aac.m3u"</v>
      </c>
      <c r="M1988" t="e">
        <f>VLOOKUP(A1988,logos!$A$2:$A$10004,1,FALSE)</f>
        <v>#N/A</v>
      </c>
    </row>
    <row r="1989" spans="1:13" hidden="1" x14ac:dyDescent="0.55000000000000004">
      <c r="A1989" t="s">
        <v>1110</v>
      </c>
      <c r="B1989" t="s">
        <v>1668</v>
      </c>
      <c r="C1989" t="s">
        <v>5285</v>
      </c>
      <c r="E1989" t="s">
        <v>5359</v>
      </c>
      <c r="F1989" t="str">
        <f t="shared" si="31"/>
        <v>"C:\Program Files\VideoLAN\VLC\vlc.exe" "http://www.radiofeeds.net/playlists/SIBC64aac.m3u"</v>
      </c>
      <c r="M1989" t="e">
        <f>VLOOKUP(A1989,logos!$A$2:$A$10004,1,FALSE)</f>
        <v>#N/A</v>
      </c>
    </row>
    <row r="1990" spans="1:13" hidden="1" x14ac:dyDescent="0.55000000000000004">
      <c r="A1990" t="s">
        <v>1110</v>
      </c>
      <c r="B1990" t="s">
        <v>1663</v>
      </c>
      <c r="C1990" t="s">
        <v>5286</v>
      </c>
      <c r="E1990" t="s">
        <v>5359</v>
      </c>
      <c r="F1990" t="str">
        <f t="shared" si="31"/>
        <v>"C:\Program Files\VideoLAN\VLC\vlc.exe" "http://www.radiofeeds.net/playlists/SIBC128aac.m3u"</v>
      </c>
      <c r="M1990" t="e">
        <f>VLOOKUP(A1990,logos!$A$2:$A$10004,1,FALSE)</f>
        <v>#N/A</v>
      </c>
    </row>
    <row r="1991" spans="1:13" hidden="1" x14ac:dyDescent="0.55000000000000004">
      <c r="A1991" t="s">
        <v>1113</v>
      </c>
      <c r="B1991" t="s">
        <v>1662</v>
      </c>
      <c r="C1991" t="s">
        <v>5287</v>
      </c>
      <c r="E1991" t="s">
        <v>5359</v>
      </c>
      <c r="F1991" t="str">
        <f t="shared" si="31"/>
        <v>"C:\Program Files\VideoLAN\VLC\vlc.exe" "http://www.radiofeeds.net/playlists/bauer.pls?station=net1stoke-aac"</v>
      </c>
      <c r="M1991" t="str">
        <f>VLOOKUP(A1991,logos!$A$2:$A$10004,1,FALSE)</f>
        <v>Signal 1</v>
      </c>
    </row>
    <row r="1992" spans="1:13" hidden="1" x14ac:dyDescent="0.55000000000000004">
      <c r="A1992" t="s">
        <v>1115</v>
      </c>
      <c r="B1992" t="s">
        <v>1662</v>
      </c>
      <c r="C1992" t="s">
        <v>5288</v>
      </c>
      <c r="E1992" t="s">
        <v>5359</v>
      </c>
      <c r="F1992" t="str">
        <f t="shared" si="31"/>
        <v>"C:\Program Files\VideoLAN\VLC\vlc.exe" "http://icy-e-01.sharp-stream.com/tcsilk.aac.m3u"</v>
      </c>
      <c r="M1992" t="e">
        <f>VLOOKUP(A1992,logos!$A$2:$A$10004,1,FALSE)</f>
        <v>#N/A</v>
      </c>
    </row>
    <row r="1993" spans="1:13" hidden="1" x14ac:dyDescent="0.55000000000000004">
      <c r="A1993" t="s">
        <v>1118</v>
      </c>
      <c r="B1993" t="s">
        <v>1663</v>
      </c>
      <c r="C1993" t="s">
        <v>5289</v>
      </c>
      <c r="E1993" t="s">
        <v>5359</v>
      </c>
      <c r="F1993" t="str">
        <f t="shared" si="31"/>
        <v>"C:\Program Files\VideoLAN\VLC\vlc.exe" "http://198.245.60.88:8128/listen.pls?sid=1"</v>
      </c>
      <c r="M1993" t="e">
        <f>VLOOKUP(A1993,logos!$A$2:$A$10004,1,FALSE)</f>
        <v>#N/A</v>
      </c>
    </row>
    <row r="1994" spans="1:13" hidden="1" x14ac:dyDescent="0.55000000000000004">
      <c r="A1994" t="s">
        <v>1122</v>
      </c>
      <c r="B1994" t="s">
        <v>1662</v>
      </c>
      <c r="C1994" t="s">
        <v>5290</v>
      </c>
      <c r="E1994" t="s">
        <v>5359</v>
      </c>
      <c r="F1994" t="str">
        <f t="shared" si="31"/>
        <v>"C:\Program Files\VideoLAN\VLC\vlc.exe" "http://icecast.thisisdax.com/SmoothChill.m3u"</v>
      </c>
      <c r="M1994" t="str">
        <f>VLOOKUP(A1994,logos!$A$2:$A$10004,1,FALSE)</f>
        <v>Smooth Chill</v>
      </c>
    </row>
    <row r="1995" spans="1:13" hidden="1" x14ac:dyDescent="0.55000000000000004">
      <c r="A1995" t="s">
        <v>1125</v>
      </c>
      <c r="B1995" t="s">
        <v>1662</v>
      </c>
      <c r="C1995" t="s">
        <v>5291</v>
      </c>
      <c r="E1995" t="s">
        <v>5359</v>
      </c>
      <c r="F1995" t="str">
        <f t="shared" si="31"/>
        <v>"C:\Program Files\VideoLAN\VLC\vlc.exe" "http://icecast.thisisdax.com/SmoothCountry.m3u"</v>
      </c>
      <c r="M1995" t="str">
        <f>VLOOKUP(A1995,logos!$A$2:$A$10004,1,FALSE)</f>
        <v>Smooth Country</v>
      </c>
    </row>
    <row r="1996" spans="1:13" hidden="1" x14ac:dyDescent="0.55000000000000004">
      <c r="A1996" t="s">
        <v>2803</v>
      </c>
      <c r="B1996" t="s">
        <v>1662</v>
      </c>
      <c r="C1996" t="s">
        <v>5292</v>
      </c>
      <c r="E1996" t="s">
        <v>5359</v>
      </c>
      <c r="F1996" t="str">
        <f t="shared" si="31"/>
        <v>"C:\Program Files\VideoLAN\VLC\vlc.exe" "http://icecast.thisisdax.com/SmoothBristol.m3u"</v>
      </c>
      <c r="M1996" t="str">
        <f>VLOOKUP(A1996,logos!$A$2:$A$10004,1,FALSE)</f>
        <v>Smooth Radio (Bristol &amp; Bath)</v>
      </c>
    </row>
    <row r="1997" spans="1:13" hidden="1" x14ac:dyDescent="0.55000000000000004">
      <c r="A1997" t="s">
        <v>2804</v>
      </c>
      <c r="B1997" t="s">
        <v>1662</v>
      </c>
      <c r="C1997" t="s">
        <v>5293</v>
      </c>
      <c r="E1997" t="s">
        <v>5359</v>
      </c>
      <c r="F1997" t="str">
        <f t="shared" si="31"/>
        <v>"C:\Program Files\VideoLAN\VLC\vlc.exe" "http://icecast.thisisdax.com/SmoothDorset.m3u"</v>
      </c>
      <c r="M1997" t="str">
        <f>VLOOKUP(A1997,logos!$A$2:$A$10004,1,FALSE)</f>
        <v>Smooth Radio (Dorset)</v>
      </c>
    </row>
    <row r="1998" spans="1:13" hidden="1" x14ac:dyDescent="0.55000000000000004">
      <c r="A1998" t="s">
        <v>2805</v>
      </c>
      <c r="B1998" t="s">
        <v>1662</v>
      </c>
      <c r="C1998" t="s">
        <v>5294</v>
      </c>
      <c r="E1998" t="s">
        <v>5359</v>
      </c>
      <c r="F1998" t="str">
        <f t="shared" si="31"/>
        <v>"C:\Program Files\VideoLAN\VLC\vlc.exe" "http://icecast.thisisdax.com/SmoothDerby.m3u"</v>
      </c>
      <c r="M1998" t="str">
        <f>VLOOKUP(A1998,logos!$A$2:$A$10004,1,FALSE)</f>
        <v>Smooth Radio (East Midlands) (Derbyshire)</v>
      </c>
    </row>
    <row r="1999" spans="1:13" hidden="1" x14ac:dyDescent="0.55000000000000004">
      <c r="A1999" t="s">
        <v>2806</v>
      </c>
      <c r="B1999" t="s">
        <v>1662</v>
      </c>
      <c r="C1999" t="s">
        <v>5295</v>
      </c>
      <c r="E1999" t="s">
        <v>5359</v>
      </c>
      <c r="F1999" t="str">
        <f t="shared" si="31"/>
        <v>"C:\Program Files\VideoLAN\VLC\vlc.exe" "http://icecast.thisisdax.com/SmoothEastMids.m3u"</v>
      </c>
      <c r="M1999" t="str">
        <f>VLOOKUP(A1999,logos!$A$2:$A$10004,1,FALSE)</f>
        <v>Smooth Radio (East Midlands) (East Midlands)</v>
      </c>
    </row>
    <row r="2000" spans="1:13" hidden="1" x14ac:dyDescent="0.55000000000000004">
      <c r="A2000" t="s">
        <v>2807</v>
      </c>
      <c r="B2000" t="s">
        <v>1662</v>
      </c>
      <c r="C2000" t="s">
        <v>5296</v>
      </c>
      <c r="E2000" t="s">
        <v>5359</v>
      </c>
      <c r="F2000" t="str">
        <f t="shared" si="31"/>
        <v>"C:\Program Files\VideoLAN\VLC\vlc.exe" "http://icecast.thisisdax.com/SmoothNorthants.m3u"</v>
      </c>
      <c r="M2000" t="str">
        <f>VLOOKUP(A2000,logos!$A$2:$A$10004,1,FALSE)</f>
        <v>Smooth Radio (East Midlands) (Northamptonshire &amp; Peterborough)</v>
      </c>
    </row>
    <row r="2001" spans="1:13" hidden="1" x14ac:dyDescent="0.55000000000000004">
      <c r="A2001" t="s">
        <v>2808</v>
      </c>
      <c r="B2001" t="s">
        <v>1662</v>
      </c>
      <c r="C2001" t="s">
        <v>5297</v>
      </c>
      <c r="E2001" t="s">
        <v>5359</v>
      </c>
      <c r="F2001" t="str">
        <f t="shared" si="31"/>
        <v>"C:\Program Files\VideoLAN\VLC\vlc.exe" "http://icecast.thisisdax.com/SmoothEssex.m3u"</v>
      </c>
      <c r="M2001" t="str">
        <f>VLOOKUP(A2001,logos!$A$2:$A$10004,1,FALSE)</f>
        <v>Smooth Radio (Essex)</v>
      </c>
    </row>
    <row r="2002" spans="1:13" hidden="1" x14ac:dyDescent="0.55000000000000004">
      <c r="A2002" t="s">
        <v>2809</v>
      </c>
      <c r="B2002" t="s">
        <v>1662</v>
      </c>
      <c r="C2002" t="s">
        <v>5298</v>
      </c>
      <c r="E2002" t="s">
        <v>5359</v>
      </c>
      <c r="F2002" t="str">
        <f t="shared" si="31"/>
        <v>"C:\Program Files\VideoLAN\VLC\vlc.exe" "http://icecast.thisisdax.com/SmoothGloucester.m3u"</v>
      </c>
      <c r="M2002" t="str">
        <f>VLOOKUP(A2002,logos!$A$2:$A$10004,1,FALSE)</f>
        <v>Smooth Radio (Gloucestershire)</v>
      </c>
    </row>
    <row r="2003" spans="1:13" hidden="1" x14ac:dyDescent="0.55000000000000004">
      <c r="A2003" t="s">
        <v>2810</v>
      </c>
      <c r="B2003" t="s">
        <v>1662</v>
      </c>
      <c r="C2003" t="s">
        <v>5299</v>
      </c>
      <c r="E2003" t="s">
        <v>5359</v>
      </c>
      <c r="F2003" t="str">
        <f t="shared" si="31"/>
        <v>"C:\Program Files\VideoLAN\VLC\vlc.exe" "http://icecast.thisisdax.com/SmoothHampshire.m3u"</v>
      </c>
      <c r="M2003" t="str">
        <f>VLOOKUP(A2003,logos!$A$2:$A$10004,1,FALSE)</f>
        <v>Smooth Radio (Hampshire &amp; West Sussex)</v>
      </c>
    </row>
    <row r="2004" spans="1:13" hidden="1" x14ac:dyDescent="0.55000000000000004">
      <c r="A2004" t="s">
        <v>2811</v>
      </c>
      <c r="B2004" t="s">
        <v>1662</v>
      </c>
      <c r="C2004" t="s">
        <v>5300</v>
      </c>
      <c r="E2004" t="s">
        <v>5359</v>
      </c>
      <c r="F2004" t="str">
        <f t="shared" si="31"/>
        <v>"C:\Program Files\VideoLAN\VLC\vlc.exe" "http://icecast.thisisdax.com/SmoothHerts.m3u"</v>
      </c>
      <c r="M2004" t="str">
        <f>VLOOKUP(A2004,logos!$A$2:$A$10004,1,FALSE)</f>
        <v>Smooth Radio (Herts, Beds &amp; Bucks)</v>
      </c>
    </row>
    <row r="2005" spans="1:13" hidden="1" x14ac:dyDescent="0.55000000000000004">
      <c r="A2005" t="s">
        <v>2812</v>
      </c>
      <c r="B2005" t="s">
        <v>1662</v>
      </c>
      <c r="C2005" t="s">
        <v>5301</v>
      </c>
      <c r="E2005" t="s">
        <v>5359</v>
      </c>
      <c r="F2005" t="str">
        <f t="shared" si="31"/>
        <v>"C:\Program Files\VideoLAN\VLC\vlc.exe" "http://icecast.thisisdax.com/SmoothKent.m3u"</v>
      </c>
      <c r="M2005" t="str">
        <f>VLOOKUP(A2005,logos!$A$2:$A$10004,1,FALSE)</f>
        <v>Smooth Radio (Kent)</v>
      </c>
    </row>
    <row r="2006" spans="1:13" x14ac:dyDescent="0.55000000000000004">
      <c r="A2006" t="s">
        <v>2813</v>
      </c>
      <c r="B2006" t="s">
        <v>1662</v>
      </c>
      <c r="C2006" t="s">
        <v>5302</v>
      </c>
      <c r="E2006" t="s">
        <v>5359</v>
      </c>
      <c r="F2006" t="str">
        <f t="shared" si="31"/>
        <v>"C:\Program Files\VideoLAN\VLC\vlc.exe" "http://icecast.thisisdax.com/SmoothLakeDistrict.m3u"</v>
      </c>
      <c r="M2006" t="str">
        <f>VLOOKUP(A2006,logos!$A$2:$A$10004,1,FALSE)</f>
        <v>Smooth Radio (Lake District)</v>
      </c>
    </row>
    <row r="2007" spans="1:13" hidden="1" x14ac:dyDescent="0.55000000000000004">
      <c r="A2007" t="s">
        <v>2814</v>
      </c>
      <c r="B2007" t="s">
        <v>1662</v>
      </c>
      <c r="C2007" t="s">
        <v>5303</v>
      </c>
      <c r="E2007" t="s">
        <v>5359</v>
      </c>
      <c r="F2007" t="str">
        <f t="shared" si="31"/>
        <v>"C:\Program Files\VideoLAN\VLC\vlc.exe" "http://icecast.thisisdax.com/SmoothLondon.m3u"</v>
      </c>
      <c r="M2007" t="str">
        <f>VLOOKUP(A2007,logos!$A$2:$A$10004,1,FALSE)</f>
        <v>Smooth Radio (London)</v>
      </c>
    </row>
    <row r="2008" spans="1:13" hidden="1" x14ac:dyDescent="0.55000000000000004">
      <c r="A2008" t="s">
        <v>2815</v>
      </c>
      <c r="B2008" t="s">
        <v>1662</v>
      </c>
      <c r="C2008" t="s">
        <v>5304</v>
      </c>
      <c r="E2008" t="s">
        <v>5359</v>
      </c>
      <c r="F2008" t="str">
        <f t="shared" si="31"/>
        <v>"C:\Program Files\VideoLAN\VLC\vlc.exe" "http://icecast.thisisdax.com/SmoothNorfolk.m3u"</v>
      </c>
      <c r="M2008" t="str">
        <f>VLOOKUP(A2008,logos!$A$2:$A$10004,1,FALSE)</f>
        <v>Smooth Radio (Norfolk &amp; North Suffolk)</v>
      </c>
    </row>
    <row r="2009" spans="1:13" hidden="1" x14ac:dyDescent="0.55000000000000004">
      <c r="A2009" t="s">
        <v>2816</v>
      </c>
      <c r="B2009" t="s">
        <v>1662</v>
      </c>
      <c r="C2009" t="s">
        <v>5305</v>
      </c>
      <c r="E2009" t="s">
        <v>5359</v>
      </c>
      <c r="F2009" t="str">
        <f t="shared" si="31"/>
        <v>"C:\Program Files\VideoLAN\VLC\vlc.exe" "http://icecast.thisisdax.com/SmoothNorthEastS.m3u"</v>
      </c>
      <c r="M2009" t="str">
        <f>VLOOKUP(A2009,logos!$A$2:$A$10004,1,FALSE)</f>
        <v>Smooth Radio (North East England) (Teesside)</v>
      </c>
    </row>
    <row r="2010" spans="1:13" hidden="1" x14ac:dyDescent="0.55000000000000004">
      <c r="A2010" t="s">
        <v>2817</v>
      </c>
      <c r="B2010" t="s">
        <v>1662</v>
      </c>
      <c r="C2010" t="s">
        <v>5306</v>
      </c>
      <c r="E2010" t="s">
        <v>5359</v>
      </c>
      <c r="F2010" t="str">
        <f t="shared" si="31"/>
        <v>"C:\Program Files\VideoLAN\VLC\vlc.exe" "http://icecast.thisisdax.com/SmoothNorthEastN.m3u"</v>
      </c>
      <c r="M2010" t="str">
        <f>VLOOKUP(A2010,logos!$A$2:$A$10004,1,FALSE)</f>
        <v>Smooth Radio (North East England) (Tyne &amp; Wear)</v>
      </c>
    </row>
    <row r="2011" spans="1:13" hidden="1" x14ac:dyDescent="0.55000000000000004">
      <c r="A2011" t="s">
        <v>2818</v>
      </c>
      <c r="B2011" t="s">
        <v>1662</v>
      </c>
      <c r="C2011" t="s">
        <v>5307</v>
      </c>
      <c r="E2011" t="s">
        <v>5359</v>
      </c>
      <c r="F2011" t="str">
        <f t="shared" si="31"/>
        <v>"C:\Program Files\VideoLAN\VLC\vlc.exe" "http://icecast.thisisdax.com/SmoothNorthWales.m3u"</v>
      </c>
      <c r="M2011" t="str">
        <f>VLOOKUP(A2011,logos!$A$2:$A$10004,1,FALSE)</f>
        <v>Smooth Radio (North Wales &amp; Cheshire)</v>
      </c>
    </row>
    <row r="2012" spans="1:13" hidden="1" x14ac:dyDescent="0.55000000000000004">
      <c r="A2012" t="s">
        <v>2819</v>
      </c>
      <c r="B2012" t="s">
        <v>1662</v>
      </c>
      <c r="C2012" t="s">
        <v>5308</v>
      </c>
      <c r="E2012" t="s">
        <v>5359</v>
      </c>
      <c r="F2012" t="str">
        <f t="shared" si="31"/>
        <v>"C:\Program Files\VideoLAN\VLC\vlc.exe" "http://icecast.thisisdax.com/SmoothNorthWest.m3u"</v>
      </c>
      <c r="M2012" t="str">
        <f>VLOOKUP(A2012,logos!$A$2:$A$10004,1,FALSE)</f>
        <v>Smooth Radio (North West England)</v>
      </c>
    </row>
    <row r="2013" spans="1:13" hidden="1" x14ac:dyDescent="0.55000000000000004">
      <c r="A2013" t="s">
        <v>2820</v>
      </c>
      <c r="B2013" t="s">
        <v>1662</v>
      </c>
      <c r="C2013" t="s">
        <v>5309</v>
      </c>
      <c r="E2013" t="s">
        <v>5359</v>
      </c>
      <c r="F2013" t="str">
        <f t="shared" si="31"/>
        <v>"C:\Program Files\VideoLAN\VLC\vlc.exe" "http://icecast.thisisdax.com/SmoothPlymouth.m3u"</v>
      </c>
      <c r="M2013" t="str">
        <f>VLOOKUP(A2013,logos!$A$2:$A$10004,1,FALSE)</f>
        <v>Smooth Radio (Plymouth)</v>
      </c>
    </row>
    <row r="2014" spans="1:13" hidden="1" x14ac:dyDescent="0.55000000000000004">
      <c r="A2014" t="s">
        <v>2821</v>
      </c>
      <c r="B2014" t="s">
        <v>1662</v>
      </c>
      <c r="C2014" t="s">
        <v>5310</v>
      </c>
      <c r="E2014" t="s">
        <v>5359</v>
      </c>
      <c r="F2014" t="str">
        <f t="shared" si="31"/>
        <v>"C:\Program Files\VideoLAN\VLC\vlc.exe" "http://icecast.thisisdax.com/SmoothScotland.m3u"</v>
      </c>
      <c r="M2014" t="str">
        <f>VLOOKUP(A2014,logos!$A$2:$A$10004,1,FALSE)</f>
        <v>Smooth Radio (Scotland)</v>
      </c>
    </row>
    <row r="2015" spans="1:13" hidden="1" x14ac:dyDescent="0.55000000000000004">
      <c r="A2015" t="s">
        <v>2822</v>
      </c>
      <c r="B2015" t="s">
        <v>1662</v>
      </c>
      <c r="C2015" t="s">
        <v>5311</v>
      </c>
      <c r="E2015" t="s">
        <v>5359</v>
      </c>
      <c r="F2015" t="str">
        <f t="shared" si="31"/>
        <v>"C:\Program Files\VideoLAN\VLC\vlc.exe" "http://icecast.thisisdax.com/SmoothSouthWales.m3u"</v>
      </c>
      <c r="M2015" t="str">
        <f>VLOOKUP(A2015,logos!$A$2:$A$10004,1,FALSE)</f>
        <v>Smooth Radio (South Wales)</v>
      </c>
    </row>
    <row r="2016" spans="1:13" hidden="1" x14ac:dyDescent="0.55000000000000004">
      <c r="A2016" t="s">
        <v>2823</v>
      </c>
      <c r="B2016" t="s">
        <v>1662</v>
      </c>
      <c r="C2016" t="s">
        <v>5312</v>
      </c>
      <c r="E2016" t="s">
        <v>5359</v>
      </c>
      <c r="F2016" t="str">
        <f t="shared" si="31"/>
        <v>"C:\Program Files\VideoLAN\VLC\vlc.exe" "http://icecast.thisisdax.com/SmoothSuffolk.m3u"</v>
      </c>
      <c r="M2016" t="str">
        <f>VLOOKUP(A2016,logos!$A$2:$A$10004,1,FALSE)</f>
        <v>Smooth Radio (Suffolk)</v>
      </c>
    </row>
    <row r="2017" spans="1:13" hidden="1" x14ac:dyDescent="0.55000000000000004">
      <c r="A2017" t="s">
        <v>2824</v>
      </c>
      <c r="B2017" t="s">
        <v>1662</v>
      </c>
      <c r="C2017" t="s">
        <v>5313</v>
      </c>
      <c r="E2017" t="s">
        <v>5359</v>
      </c>
      <c r="F2017" t="str">
        <f t="shared" si="31"/>
        <v>"C:\Program Files\VideoLAN\VLC\vlc.exe" "http://icecast.thisisdax.com/SmoothSussex.m3u"</v>
      </c>
      <c r="M2017" t="str">
        <f>VLOOKUP(A2017,logos!$A$2:$A$10004,1,FALSE)</f>
        <v>Smooth Radio (Sussex)</v>
      </c>
    </row>
    <row r="2018" spans="1:13" hidden="1" x14ac:dyDescent="0.55000000000000004">
      <c r="A2018" t="s">
        <v>2825</v>
      </c>
      <c r="B2018" t="s">
        <v>1662</v>
      </c>
      <c r="C2018" t="s">
        <v>5314</v>
      </c>
      <c r="E2018" t="s">
        <v>5359</v>
      </c>
      <c r="F2018" t="str">
        <f t="shared" si="31"/>
        <v>"C:\Program Files\VideoLAN\VLC\vlc.exe" "http://icecast.thisisdax.com/SmoothBerkshire.m3u"</v>
      </c>
      <c r="M2018" t="str">
        <f>VLOOKUP(A2018,logos!$A$2:$A$10004,1,FALSE)</f>
        <v>Smooth Radio (Thames Valley)</v>
      </c>
    </row>
    <row r="2019" spans="1:13" hidden="1" x14ac:dyDescent="0.55000000000000004">
      <c r="A2019" t="s">
        <v>2826</v>
      </c>
      <c r="B2019" t="s">
        <v>1662</v>
      </c>
      <c r="C2019" t="s">
        <v>5315</v>
      </c>
      <c r="E2019" t="s">
        <v>5359</v>
      </c>
      <c r="F2019" t="str">
        <f t="shared" si="31"/>
        <v>"C:\Program Files\VideoLAN\VLC\vlc.exe" "http://icecast.thisisdax.com/SmoothUK.m3u"</v>
      </c>
      <c r="M2019" t="str">
        <f>VLOOKUP(A2019,logos!$A$2:$A$10004,1,FALSE)</f>
        <v>Smooth Radio (UK)</v>
      </c>
    </row>
    <row r="2020" spans="1:13" hidden="1" x14ac:dyDescent="0.55000000000000004">
      <c r="A2020" t="s">
        <v>2827</v>
      </c>
      <c r="B2020" t="s">
        <v>1662</v>
      </c>
      <c r="C2020" t="s">
        <v>5316</v>
      </c>
      <c r="E2020" t="s">
        <v>5359</v>
      </c>
      <c r="F2020" t="str">
        <f t="shared" si="31"/>
        <v>"C:\Program Files\VideoLAN\VLC\vlc.exe" "http://icecast.thisisdax.com/SmoothWestMids.m3u"</v>
      </c>
      <c r="M2020" t="str">
        <f>VLOOKUP(A2020,logos!$A$2:$A$10004,1,FALSE)</f>
        <v>Smooth Radio (West Midlands)</v>
      </c>
    </row>
    <row r="2021" spans="1:13" hidden="1" x14ac:dyDescent="0.55000000000000004">
      <c r="A2021" t="s">
        <v>2828</v>
      </c>
      <c r="B2021" t="s">
        <v>1662</v>
      </c>
      <c r="C2021" t="s">
        <v>5317</v>
      </c>
      <c r="E2021" t="s">
        <v>5359</v>
      </c>
      <c r="F2021" t="str">
        <f t="shared" si="31"/>
        <v>"C:\Program Files\VideoLAN\VLC\vlc.exe" "http://icecast.thisisdax.com/SmoothWiltshire.m3u"</v>
      </c>
      <c r="M2021" t="str">
        <f>VLOOKUP(A2021,logos!$A$2:$A$10004,1,FALSE)</f>
        <v>Smooth Radio (Wiltshire)</v>
      </c>
    </row>
    <row r="2022" spans="1:13" hidden="1" x14ac:dyDescent="0.55000000000000004">
      <c r="A2022" t="s">
        <v>1181</v>
      </c>
      <c r="B2022" t="s">
        <v>1668</v>
      </c>
      <c r="C2022" t="s">
        <v>5318</v>
      </c>
      <c r="E2022" t="s">
        <v>5359</v>
      </c>
      <c r="F2022" t="str">
        <f t="shared" si="31"/>
        <v>"C:\Program Files\VideoLAN\VLC\vlc.exe" "http://svr1.msmn2.co:8312/listen.pls?sid=1"</v>
      </c>
      <c r="M2022" t="e">
        <f>VLOOKUP(A2022,logos!$A$2:$A$10004,1,FALSE)</f>
        <v>#N/A</v>
      </c>
    </row>
    <row r="2023" spans="1:13" hidden="1" x14ac:dyDescent="0.55000000000000004">
      <c r="A2023" t="s">
        <v>1185</v>
      </c>
      <c r="B2023" t="s">
        <v>1662</v>
      </c>
      <c r="C2023" t="s">
        <v>5319</v>
      </c>
      <c r="E2023" t="s">
        <v>5359</v>
      </c>
      <c r="F2023" t="str">
        <f t="shared" si="31"/>
        <v>"C:\Program Files\VideoLAN\VLC\vlc.exe" "http://stream.rcs.revma.com/hz85pb6p108uv.m3u"</v>
      </c>
      <c r="M2023" t="str">
        <f>VLOOKUP(A2023,logos!$A$2:$A$10004,1,FALSE)</f>
        <v>Soleil Radio</v>
      </c>
    </row>
    <row r="2024" spans="1:13" hidden="1" x14ac:dyDescent="0.55000000000000004">
      <c r="A2024" t="s">
        <v>1185</v>
      </c>
      <c r="B2024" t="s">
        <v>1663</v>
      </c>
      <c r="C2024" t="s">
        <v>5320</v>
      </c>
      <c r="E2024" t="s">
        <v>5359</v>
      </c>
      <c r="F2024" t="str">
        <f t="shared" si="31"/>
        <v>"C:\Program Files\VideoLAN\VLC\vlc.exe" "http://stream.rcs.revma.com/r5uyvd6p108uv.m3u"</v>
      </c>
      <c r="M2024" t="str">
        <f>VLOOKUP(A2024,logos!$A$2:$A$10004,1,FALSE)</f>
        <v>Soleil Radio</v>
      </c>
    </row>
    <row r="2025" spans="1:13" hidden="1" x14ac:dyDescent="0.55000000000000004">
      <c r="A2025" t="s">
        <v>1188</v>
      </c>
      <c r="B2025" t="s">
        <v>1668</v>
      </c>
      <c r="C2025" t="s">
        <v>5321</v>
      </c>
      <c r="E2025" t="s">
        <v>5359</v>
      </c>
      <c r="F2025" t="str">
        <f t="shared" si="31"/>
        <v>"C:\Program Files\VideoLAN\VLC\vlc.exe" "http://centova.solidradio.co.uk:8000/listen.pls?sid=2"</v>
      </c>
      <c r="M2025" t="e">
        <f>VLOOKUP(A2025,logos!$A$2:$A$10004,1,FALSE)</f>
        <v>#N/A</v>
      </c>
    </row>
    <row r="2026" spans="1:13" hidden="1" x14ac:dyDescent="0.55000000000000004">
      <c r="A2026" t="s">
        <v>1188</v>
      </c>
      <c r="B2026" t="s">
        <v>1663</v>
      </c>
      <c r="C2026" t="s">
        <v>5322</v>
      </c>
      <c r="E2026" t="s">
        <v>5359</v>
      </c>
      <c r="F2026" t="str">
        <f t="shared" si="31"/>
        <v>"C:\Program Files\VideoLAN\VLC\vlc.exe" "http://centova.solidradio.co.uk:8000/listen.pls?sid=1"</v>
      </c>
      <c r="M2026" t="e">
        <f>VLOOKUP(A2026,logos!$A$2:$A$10004,1,FALSE)</f>
        <v>#N/A</v>
      </c>
    </row>
    <row r="2027" spans="1:13" hidden="1" x14ac:dyDescent="0.55000000000000004">
      <c r="A2027" t="s">
        <v>2829</v>
      </c>
      <c r="B2027" t="s">
        <v>1662</v>
      </c>
      <c r="C2027" t="s">
        <v>5323</v>
      </c>
      <c r="E2027" t="s">
        <v>5359</v>
      </c>
      <c r="F2027" t="str">
        <f t="shared" si="31"/>
        <v>"C:\Program Files\VideoLAN\VLC\vlc.exe" "http://stream.rcs.revma.com/2h1gs337ptzuv.m3u"</v>
      </c>
      <c r="M2027" t="e">
        <f>VLOOKUP(A2027,logos!$A$2:$A$10004,1,FALSE)</f>
        <v>#N/A</v>
      </c>
    </row>
    <row r="2028" spans="1:13" hidden="1" x14ac:dyDescent="0.55000000000000004">
      <c r="A2028" t="s">
        <v>1199</v>
      </c>
      <c r="B2028" t="s">
        <v>1668</v>
      </c>
      <c r="C2028" t="s">
        <v>5324</v>
      </c>
      <c r="E2028" t="s">
        <v>5359</v>
      </c>
      <c r="F2028" t="str">
        <f t="shared" si="31"/>
        <v>"C:\Program Files\VideoLAN\VLC\vlc.exe" "http://stream2.hippynet.co.uk:8086/stream.aac.m3u"</v>
      </c>
      <c r="M2028" t="e">
        <f>VLOOKUP(A2028,logos!$A$2:$A$10004,1,FALSE)</f>
        <v>#N/A</v>
      </c>
    </row>
    <row r="2029" spans="1:13" hidden="1" x14ac:dyDescent="0.55000000000000004">
      <c r="A2029" t="s">
        <v>1213</v>
      </c>
      <c r="B2029" t="s">
        <v>1662</v>
      </c>
      <c r="C2029" t="s">
        <v>5325</v>
      </c>
      <c r="E2029" t="s">
        <v>5359</v>
      </c>
      <c r="F2029" t="str">
        <f t="shared" si="31"/>
        <v>"C:\Program Files\VideoLAN\VLC\vlc.exe" "http://www.radiofeeds.net/playlists/sharptemp.pls?station=sunfmi-aac"</v>
      </c>
      <c r="M2029" t="e">
        <f>VLOOKUP(A2029,logos!$A$2:$A$10004,1,FALSE)</f>
        <v>#N/A</v>
      </c>
    </row>
    <row r="2030" spans="1:13" hidden="1" x14ac:dyDescent="0.55000000000000004">
      <c r="A2030" t="s">
        <v>1229</v>
      </c>
      <c r="B2030" t="s">
        <v>1668</v>
      </c>
      <c r="C2030" t="s">
        <v>5326</v>
      </c>
      <c r="E2030" t="s">
        <v>5359</v>
      </c>
      <c r="F2030" t="str">
        <f t="shared" si="31"/>
        <v>"C:\Program Files\VideoLAN\VLC\vlc.exe" "http://streaming.radio.co/s6a51b5927/low.m3u"</v>
      </c>
      <c r="M2030" t="e">
        <f>VLOOKUP(A2030,logos!$A$2:$A$10004,1,FALSE)</f>
        <v>#N/A</v>
      </c>
    </row>
    <row r="2031" spans="1:13" hidden="1" x14ac:dyDescent="0.55000000000000004">
      <c r="A2031" t="s">
        <v>1239</v>
      </c>
      <c r="B2031" t="s">
        <v>1687</v>
      </c>
      <c r="C2031" t="s">
        <v>5327</v>
      </c>
      <c r="E2031" t="s">
        <v>5359</v>
      </c>
      <c r="F2031" t="str">
        <f t="shared" si="31"/>
        <v>"C:\Program Files\VideoLAN\VLC\vlc.exe" "http://www.radiofeeds.net/playlists/wgtalkradioaac.m3u"</v>
      </c>
      <c r="M2031" t="str">
        <f>VLOOKUP(A2031,logos!$A$2:$A$10004,1,FALSE)</f>
        <v>TalkRadio</v>
      </c>
    </row>
    <row r="2032" spans="1:13" hidden="1" x14ac:dyDescent="0.55000000000000004">
      <c r="A2032" t="s">
        <v>2830</v>
      </c>
      <c r="B2032" t="s">
        <v>1687</v>
      </c>
      <c r="C2032" t="s">
        <v>5328</v>
      </c>
      <c r="E2032" t="s">
        <v>5359</v>
      </c>
      <c r="F2032" t="str">
        <f t="shared" si="31"/>
        <v>"C:\Program Files\VideoLAN\VLC\vlc.exe" "http://www.radiofeeds.net/playlists/talksportstreammobile.m3u"</v>
      </c>
      <c r="M2032" t="str">
        <f>VLOOKUP(A2032,logos!$A$2:$A$10004,1,FALSE)</f>
        <v>talkSPORT (UK)</v>
      </c>
    </row>
    <row r="2033" spans="1:13" hidden="1" x14ac:dyDescent="0.55000000000000004">
      <c r="A2033" t="s">
        <v>1243</v>
      </c>
      <c r="B2033" t="s">
        <v>1665</v>
      </c>
      <c r="C2033" t="s">
        <v>5329</v>
      </c>
      <c r="E2033" t="s">
        <v>5359</v>
      </c>
      <c r="F2033" t="str">
        <f t="shared" si="31"/>
        <v>"C:\Program Files\VideoLAN\VLC\vlc.exe" "http://www.radiofeeds.net/playlists/talksport2mobile.m3u"</v>
      </c>
      <c r="M2033" t="str">
        <f>VLOOKUP(A2033,logos!$A$2:$A$10004,1,FALSE)</f>
        <v>talkSPORT 2</v>
      </c>
    </row>
    <row r="2034" spans="1:13" hidden="1" x14ac:dyDescent="0.55000000000000004">
      <c r="A2034" t="s">
        <v>1245</v>
      </c>
      <c r="B2034" t="s">
        <v>1662</v>
      </c>
      <c r="C2034" t="s">
        <v>5330</v>
      </c>
      <c r="E2034" t="s">
        <v>5359</v>
      </c>
      <c r="F2034" t="str">
        <f t="shared" si="31"/>
        <v>"C:\Program Files\VideoLAN\VLC\vlc.exe" "http://www.radiofeeds.net/playlists/bauer.pls?station=tayfm-aac"</v>
      </c>
      <c r="M2034" t="str">
        <f>VLOOKUP(A2034,logos!$A$2:$A$10004,1,FALSE)</f>
        <v>Tay FM</v>
      </c>
    </row>
    <row r="2035" spans="1:13" hidden="1" x14ac:dyDescent="0.55000000000000004">
      <c r="A2035" t="s">
        <v>1247</v>
      </c>
      <c r="B2035" t="s">
        <v>1662</v>
      </c>
      <c r="C2035" t="s">
        <v>5331</v>
      </c>
      <c r="E2035" t="s">
        <v>5359</v>
      </c>
      <c r="F2035" t="str">
        <f t="shared" si="31"/>
        <v>"C:\Program Files\VideoLAN\VLC\vlc.exe" "http://www.radiofeeds.net/playlists/bauer.pls?station=tayam-aac"</v>
      </c>
      <c r="M2035" t="str">
        <f>VLOOKUP(A2035,logos!$A$2:$A$10004,1,FALSE)</f>
        <v>Tay 2</v>
      </c>
    </row>
    <row r="2036" spans="1:13" hidden="1" x14ac:dyDescent="0.55000000000000004">
      <c r="A2036" t="s">
        <v>1251</v>
      </c>
      <c r="B2036" t="s">
        <v>1662</v>
      </c>
      <c r="C2036" t="s">
        <v>5332</v>
      </c>
      <c r="E2036" t="s">
        <v>5359</v>
      </c>
      <c r="F2036" t="str">
        <f t="shared" si="31"/>
        <v>"C:\Program Files\VideoLAN\VLC\vlc.exe" "http://www.radiofeeds.net/playlists/bauer.pls?station=tfm-aac"</v>
      </c>
      <c r="M2036" t="str">
        <f>VLOOKUP(A2036,logos!$A$2:$A$10004,1,FALSE)</f>
        <v>TFM</v>
      </c>
    </row>
    <row r="2037" spans="1:13" hidden="1" x14ac:dyDescent="0.55000000000000004">
      <c r="A2037" t="s">
        <v>1262</v>
      </c>
      <c r="B2037" t="s">
        <v>1679</v>
      </c>
      <c r="C2037" t="s">
        <v>5333</v>
      </c>
      <c r="E2037" t="s">
        <v>5359</v>
      </c>
      <c r="F2037" t="str">
        <f t="shared" si="31"/>
        <v>"C:\Program Files\VideoLAN\VLC\vlc.exe" "http://icecast3.rosisystems.com:8000/thevoice32.aac.m3u"</v>
      </c>
      <c r="M2037" t="e">
        <f>VLOOKUP(A2037,logos!$A$2:$A$10004,1,FALSE)</f>
        <v>#N/A</v>
      </c>
    </row>
    <row r="2038" spans="1:13" hidden="1" x14ac:dyDescent="0.55000000000000004">
      <c r="A2038" t="s">
        <v>1688</v>
      </c>
      <c r="B2038" t="s">
        <v>1670</v>
      </c>
      <c r="C2038" t="s">
        <v>5334</v>
      </c>
      <c r="E2038" t="s">
        <v>5359</v>
      </c>
      <c r="F2038" t="str">
        <f t="shared" si="31"/>
        <v>"C:\Program Files\VideoLAN\VLC\vlc.exe" "http://streaming.galaxywebsolutions.com:9046/stream.m3u"</v>
      </c>
      <c r="M2038" t="e">
        <f>VLOOKUP(A2038,logos!$A$2:$A$10004,1,FALSE)</f>
        <v>#N/A</v>
      </c>
    </row>
    <row r="2039" spans="1:13" hidden="1" x14ac:dyDescent="0.55000000000000004">
      <c r="A2039" t="s">
        <v>1265</v>
      </c>
      <c r="B2039" t="s">
        <v>1662</v>
      </c>
      <c r="C2039" t="s">
        <v>5335</v>
      </c>
      <c r="E2039" t="s">
        <v>5359</v>
      </c>
      <c r="F2039" t="str">
        <f t="shared" si="31"/>
        <v>"C:\Program Files\VideoLAN\VLC\vlc.exe" "http://www.radiofeeds.net/playlists/bauer.pls?station=net1swansea-aac"</v>
      </c>
      <c r="M2039" t="str">
        <f>VLOOKUP(A2039,logos!$A$2:$A$10004,1,FALSE)</f>
        <v>The Wave</v>
      </c>
    </row>
    <row r="2040" spans="1:13" hidden="1" x14ac:dyDescent="0.55000000000000004">
      <c r="A2040" t="s">
        <v>1267</v>
      </c>
      <c r="B2040" t="s">
        <v>1666</v>
      </c>
      <c r="C2040" t="s">
        <v>5336</v>
      </c>
      <c r="E2040" t="s">
        <v>5359</v>
      </c>
      <c r="F2040" t="str">
        <f t="shared" si="31"/>
        <v>"C:\Program Files\VideoLAN\VLC\vlc.exe" "http://streaming.broadcastradio.com:10840/thisisthecoastdab.m3u"</v>
      </c>
      <c r="M2040" t="str">
        <f>VLOOKUP(A2040,logos!$A$2:$A$10004,1,FALSE)</f>
        <v>This is the Coast</v>
      </c>
    </row>
    <row r="2041" spans="1:13" hidden="1" x14ac:dyDescent="0.55000000000000004">
      <c r="A2041" t="s">
        <v>1273</v>
      </c>
      <c r="B2041" t="s">
        <v>1662</v>
      </c>
      <c r="C2041" t="s">
        <v>5337</v>
      </c>
      <c r="E2041" t="s">
        <v>5359</v>
      </c>
      <c r="F2041" t="str">
        <f t="shared" si="31"/>
        <v>"C:\Program Files\VideoLAN\VLC\vlc.exe" "http://www.radiofeeds.net/playlists/wgtimesradioaac.m3u"</v>
      </c>
      <c r="M2041" t="str">
        <f>VLOOKUP(A2041,logos!$A$2:$A$10004,1,FALSE)</f>
        <v>Times Radio</v>
      </c>
    </row>
    <row r="2042" spans="1:13" hidden="1" x14ac:dyDescent="0.55000000000000004">
      <c r="A2042" t="s">
        <v>1275</v>
      </c>
      <c r="B2042" t="s">
        <v>1662</v>
      </c>
      <c r="C2042" t="s">
        <v>5338</v>
      </c>
      <c r="E2042" t="s">
        <v>5359</v>
      </c>
      <c r="F2042" t="str">
        <f t="shared" si="31"/>
        <v>"C:\Program Files\VideoLAN\VLC\vlc.exe" "http://usa2-pn.mixstream.net:8060/listen.pls?sid=1"</v>
      </c>
      <c r="M2042" t="e">
        <f>VLOOKUP(A2042,logos!$A$2:$A$10004,1,FALSE)</f>
        <v>#N/A</v>
      </c>
    </row>
    <row r="2043" spans="1:13" hidden="1" x14ac:dyDescent="0.55000000000000004">
      <c r="A2043" t="s">
        <v>2831</v>
      </c>
      <c r="B2043" t="s">
        <v>1679</v>
      </c>
      <c r="C2043" t="s">
        <v>5339</v>
      </c>
      <c r="E2043" t="s">
        <v>5359</v>
      </c>
      <c r="F2043" t="str">
        <f t="shared" si="31"/>
        <v>"C:\Program Files\VideoLAN\VLC\vlc.exe" "http://streaming02.zfast.co.uk:8034/stream.m3u"</v>
      </c>
      <c r="M2043" t="e">
        <f>VLOOKUP(A2043,logos!$A$2:$A$10004,1,FALSE)</f>
        <v>#N/A</v>
      </c>
    </row>
    <row r="2044" spans="1:13" hidden="1" x14ac:dyDescent="0.55000000000000004">
      <c r="A2044" t="s">
        <v>1288</v>
      </c>
      <c r="B2044" t="s">
        <v>1662</v>
      </c>
      <c r="C2044" t="s">
        <v>5340</v>
      </c>
      <c r="E2044" t="s">
        <v>5359</v>
      </c>
      <c r="F2044" t="str">
        <f t="shared" si="31"/>
        <v>"C:\Program Files\VideoLAN\VLC\vlc.exe" "http://icy-e-01.sharp-stream.com/ucbuk.aac.m3u"</v>
      </c>
      <c r="M2044" t="e">
        <f>VLOOKUP(A2044,logos!$A$2:$A$10004,1,FALSE)</f>
        <v>#N/A</v>
      </c>
    </row>
    <row r="2045" spans="1:13" hidden="1" x14ac:dyDescent="0.55000000000000004">
      <c r="A2045" t="s">
        <v>1290</v>
      </c>
      <c r="B2045" t="s">
        <v>1662</v>
      </c>
      <c r="C2045" t="s">
        <v>5341</v>
      </c>
      <c r="E2045" t="s">
        <v>5359</v>
      </c>
      <c r="F2045" t="str">
        <f t="shared" si="31"/>
        <v>"C:\Program Files\VideoLAN\VLC\vlc.exe" "http://icy-e-01.sharp-stream.com/ucbinspirational.aac.m3u"</v>
      </c>
      <c r="M2045" t="e">
        <f>VLOOKUP(A2045,logos!$A$2:$A$10004,1,FALSE)</f>
        <v>#N/A</v>
      </c>
    </row>
    <row r="2046" spans="1:13" hidden="1" x14ac:dyDescent="0.55000000000000004">
      <c r="A2046" t="s">
        <v>1298</v>
      </c>
      <c r="B2046" t="s">
        <v>1679</v>
      </c>
      <c r="C2046" t="s">
        <v>5342</v>
      </c>
      <c r="E2046" t="s">
        <v>5359</v>
      </c>
      <c r="F2046" t="str">
        <f t="shared" si="31"/>
        <v>"C:\Program Files\VideoLAN\VLC\vlc.exe" "http://stream.v2radio.co.uk/V2RadioLQAACP.m3u"</v>
      </c>
      <c r="M2046" t="str">
        <f>VLOOKUP(A2046,logos!$A$2:$A$10004,1,FALSE)</f>
        <v>V2 Radio</v>
      </c>
    </row>
    <row r="2047" spans="1:13" hidden="1" x14ac:dyDescent="0.55000000000000004">
      <c r="A2047" t="s">
        <v>1298</v>
      </c>
      <c r="B2047" t="s">
        <v>1668</v>
      </c>
      <c r="C2047" t="s">
        <v>5343</v>
      </c>
      <c r="E2047" t="s">
        <v>5359</v>
      </c>
      <c r="F2047" t="str">
        <f t="shared" si="31"/>
        <v>"C:\Program Files\VideoLAN\VLC\vlc.exe" "http://stream.v2radio.co.uk/V2RadioHQAACP.m3u"</v>
      </c>
      <c r="M2047" t="str">
        <f>VLOOKUP(A2047,logos!$A$2:$A$10004,1,FALSE)</f>
        <v>V2 Radio</v>
      </c>
    </row>
    <row r="2048" spans="1:13" hidden="1" x14ac:dyDescent="0.55000000000000004">
      <c r="A2048" t="s">
        <v>2832</v>
      </c>
      <c r="B2048" t="s">
        <v>1668</v>
      </c>
      <c r="C2048" t="s">
        <v>5344</v>
      </c>
      <c r="E2048" t="s">
        <v>5359</v>
      </c>
      <c r="F2048" t="str">
        <f t="shared" si="31"/>
        <v>"C:\Program Files\VideoLAN\VLC\vlc.exe" "http://audio.vibeyorkshire.com:9000/stream.m3u"</v>
      </c>
      <c r="M2048" t="e">
        <f>VLOOKUP(A2048,logos!$A$2:$A$10004,1,FALSE)</f>
        <v>#N/A</v>
      </c>
    </row>
    <row r="2049" spans="1:13" hidden="1" x14ac:dyDescent="0.55000000000000004">
      <c r="A2049" t="s">
        <v>1301</v>
      </c>
      <c r="B2049" t="s">
        <v>1668</v>
      </c>
      <c r="C2049" t="s">
        <v>5345</v>
      </c>
      <c r="E2049" t="s">
        <v>5359</v>
      </c>
      <c r="F2049" t="str">
        <f t="shared" si="31"/>
        <v>"C:\Program Files\VideoLAN\VLC\vlc.exe" "http://playoutonestreaming.com:8133/listen.pls?sid=2"</v>
      </c>
      <c r="M2049" t="e">
        <f>VLOOKUP(A2049,logos!$A$2:$A$10004,1,FALSE)</f>
        <v>#N/A</v>
      </c>
    </row>
    <row r="2050" spans="1:13" hidden="1" x14ac:dyDescent="0.55000000000000004">
      <c r="A2050" t="s">
        <v>1303</v>
      </c>
      <c r="B2050" t="s">
        <v>1662</v>
      </c>
      <c r="C2050" t="s">
        <v>5346</v>
      </c>
      <c r="E2050" t="s">
        <v>5359</v>
      </c>
      <c r="F2050" t="str">
        <f t="shared" si="31"/>
        <v>"C:\Program Files\VideoLAN\VLC\vlc.exe" "http://www.radiofeeds.net/playlists/bauer.pls?station=viking-aac"</v>
      </c>
      <c r="M2050" t="str">
        <f>VLOOKUP(A2050,logos!$A$2:$A$10004,1,FALSE)</f>
        <v>Viking FM</v>
      </c>
    </row>
    <row r="2051" spans="1:13" hidden="1" x14ac:dyDescent="0.55000000000000004">
      <c r="A2051" t="s">
        <v>1305</v>
      </c>
      <c r="B2051" t="s">
        <v>1662</v>
      </c>
      <c r="C2051" t="s">
        <v>5347</v>
      </c>
      <c r="E2051" t="s">
        <v>5359</v>
      </c>
      <c r="F2051" t="str">
        <f t="shared" ref="F2051:F2114" si="32">"""C:\Program Files\VideoLAN\VLC\vlc.exe"" """&amp;C2051&amp;""""</f>
        <v>"C:\Program Files\VideoLAN\VLC\vlc.exe" "http://www.radiofeeds.net/playlists/wgvirginradioaac.m3u"</v>
      </c>
      <c r="M2051" t="str">
        <f>VLOOKUP(A2051,logos!$A$2:$A$10004,1,FALSE)</f>
        <v>Virgin Radio</v>
      </c>
    </row>
    <row r="2052" spans="1:13" hidden="1" x14ac:dyDescent="0.55000000000000004">
      <c r="A2052" t="s">
        <v>1308</v>
      </c>
      <c r="B2052" t="s">
        <v>1662</v>
      </c>
      <c r="C2052" t="s">
        <v>5348</v>
      </c>
      <c r="E2052" t="s">
        <v>5359</v>
      </c>
      <c r="F2052" t="str">
        <f t="shared" si="32"/>
        <v>"C:\Program Files\VideoLAN\VLC\vlc.exe" "http://www.radiofeeds.net/playlists/wgvirginprideaac.m3u"</v>
      </c>
      <c r="M2052" t="str">
        <f>VLOOKUP(A2052,logos!$A$2:$A$10004,1,FALSE)</f>
        <v>Virgin Radio 80s PLUS</v>
      </c>
    </row>
    <row r="2053" spans="1:13" hidden="1" x14ac:dyDescent="0.55000000000000004">
      <c r="A2053" t="s">
        <v>1310</v>
      </c>
      <c r="B2053" t="s">
        <v>1662</v>
      </c>
      <c r="C2053" t="s">
        <v>5349</v>
      </c>
      <c r="E2053" t="s">
        <v>5359</v>
      </c>
      <c r="F2053" t="str">
        <f t="shared" si="32"/>
        <v>"C:\Program Files\VideoLAN\VLC\vlc.exe" "http://www.radiofeeds.net/playlists/wgvirginanthemsaac.m3u"</v>
      </c>
      <c r="M2053" t="str">
        <f>VLOOKUP(A2053,logos!$A$2:$A$10004,1,FALSE)</f>
        <v>Virgin Radio Anthems</v>
      </c>
    </row>
    <row r="2054" spans="1:13" hidden="1" x14ac:dyDescent="0.55000000000000004">
      <c r="A2054" t="s">
        <v>1312</v>
      </c>
      <c r="B2054" t="s">
        <v>1662</v>
      </c>
      <c r="C2054" t="s">
        <v>5350</v>
      </c>
      <c r="E2054" t="s">
        <v>5359</v>
      </c>
      <c r="F2054" t="str">
        <f t="shared" si="32"/>
        <v>"C:\Program Files\VideoLAN\VLC\vlc.exe" "http://www.radiofeeds.net/playlists/wgvirginchilledaac.m3u"</v>
      </c>
      <c r="M2054" t="str">
        <f>VLOOKUP(A2054,logos!$A$2:$A$10004,1,FALSE)</f>
        <v>Virgin Radio Chilled</v>
      </c>
    </row>
    <row r="2055" spans="1:13" hidden="1" x14ac:dyDescent="0.55000000000000004">
      <c r="A2055" t="s">
        <v>1316</v>
      </c>
      <c r="B2055" t="s">
        <v>1662</v>
      </c>
      <c r="C2055" t="s">
        <v>5351</v>
      </c>
      <c r="E2055" t="s">
        <v>5359</v>
      </c>
      <c r="F2055" t="str">
        <f t="shared" si="32"/>
        <v>"C:\Program Files\VideoLAN\VLC\vlc.exe" "http://www.radiofeeds.net/playlists/bauer.pls?station=wave105-aac"</v>
      </c>
      <c r="M2055" t="str">
        <f>VLOOKUP(A2055,logos!$A$2:$A$10004,1,FALSE)</f>
        <v>Wave 105</v>
      </c>
    </row>
    <row r="2056" spans="1:13" hidden="1" x14ac:dyDescent="0.55000000000000004">
      <c r="A2056" t="s">
        <v>1318</v>
      </c>
      <c r="B2056" t="s">
        <v>1662</v>
      </c>
      <c r="C2056" t="s">
        <v>5352</v>
      </c>
      <c r="E2056" t="s">
        <v>5359</v>
      </c>
      <c r="F2056" t="str">
        <f t="shared" si="32"/>
        <v>"C:\Program Files\VideoLAN\VLC\vlc.exe" "http://webradio.radiomonitor.com/m3u/WavesRadio-Mobile.m3u"</v>
      </c>
      <c r="M2056" t="e">
        <f>VLOOKUP(A2056,logos!$A$2:$A$10004,1,FALSE)</f>
        <v>#N/A</v>
      </c>
    </row>
    <row r="2057" spans="1:13" hidden="1" x14ac:dyDescent="0.55000000000000004">
      <c r="A2057" t="s">
        <v>1320</v>
      </c>
      <c r="B2057" t="s">
        <v>1662</v>
      </c>
      <c r="C2057" t="s">
        <v>5353</v>
      </c>
      <c r="E2057" t="s">
        <v>5359</v>
      </c>
      <c r="F2057" t="str">
        <f t="shared" si="32"/>
        <v>"C:\Program Files\VideoLAN\VLC\vlc.exe" "http://www.radiofeeds.net/playlists/bauer.pls?station=westfm-aac"</v>
      </c>
      <c r="M2057" t="str">
        <f>VLOOKUP(A2057,logos!$A$2:$A$10004,1,FALSE)</f>
        <v>West FM</v>
      </c>
    </row>
    <row r="2058" spans="1:13" hidden="1" x14ac:dyDescent="0.55000000000000004">
      <c r="A2058" t="s">
        <v>2833</v>
      </c>
      <c r="B2058" t="s">
        <v>1662</v>
      </c>
      <c r="C2058" t="s">
        <v>5354</v>
      </c>
      <c r="E2058" t="s">
        <v>5359</v>
      </c>
      <c r="F2058" t="str">
        <f t="shared" si="32"/>
        <v>"C:\Program Files\VideoLAN\VLC\vlc.exe" "http://www.radiofeeds.net/playlists/bauer.pls?station=westsound-aac"</v>
      </c>
      <c r="M2058" t="str">
        <f>VLOOKUP(A2058,logos!$A$2:$A$10004,1,FALSE)</f>
        <v>West Sound (Ayrshire)</v>
      </c>
    </row>
    <row r="2059" spans="1:13" hidden="1" x14ac:dyDescent="0.55000000000000004">
      <c r="A2059" t="s">
        <v>2834</v>
      </c>
      <c r="B2059" t="s">
        <v>1662</v>
      </c>
      <c r="C2059" t="s">
        <v>5355</v>
      </c>
      <c r="E2059" t="s">
        <v>5359</v>
      </c>
      <c r="F2059" t="str">
        <f t="shared" si="32"/>
        <v>"C:\Program Files\VideoLAN\VLC\vlc.exe" "http://www.radiofeeds.net/playlists/bauer.pls?station=westsoundfm-aac"</v>
      </c>
      <c r="M2059" t="e">
        <f>VLOOKUP(A2059,logos!$A$2:$A$10004,1,FALSE)</f>
        <v>#N/A</v>
      </c>
    </row>
    <row r="2060" spans="1:13" hidden="1" x14ac:dyDescent="0.55000000000000004">
      <c r="A2060" t="s">
        <v>1334</v>
      </c>
      <c r="B2060" t="s">
        <v>1668</v>
      </c>
      <c r="C2060" t="s">
        <v>5356</v>
      </c>
      <c r="E2060" t="s">
        <v>5359</v>
      </c>
      <c r="F2060" t="str">
        <f t="shared" si="32"/>
        <v>"C:\Program Files\VideoLAN\VLC\vlc.exe" "http://icy-e-01.sharp-stream.com/xrhythms.aac.m3u"</v>
      </c>
      <c r="M2060" t="e">
        <f>VLOOKUP(A2060,logos!$A$2:$A$10004,1,FALSE)</f>
        <v>#N/A</v>
      </c>
    </row>
    <row r="2061" spans="1:13" hidden="1" x14ac:dyDescent="0.55000000000000004">
      <c r="A2061" t="s">
        <v>1336</v>
      </c>
      <c r="B2061" t="s">
        <v>1662</v>
      </c>
      <c r="C2061" t="s">
        <v>5357</v>
      </c>
      <c r="E2061" t="s">
        <v>5359</v>
      </c>
      <c r="F2061" t="str">
        <f t="shared" si="32"/>
        <v>"C:\Program Files\VideoLAN\VLC\vlc.exe" "http://icecast.thisisdax.com/RealXSManchester.m3u"</v>
      </c>
      <c r="M2061" t="e">
        <f>VLOOKUP(A2061,logos!$A$2:$A$10004,1,FALSE)</f>
        <v>#N/A</v>
      </c>
    </row>
    <row r="2062" spans="1:13" hidden="1" x14ac:dyDescent="0.55000000000000004">
      <c r="A2062" t="s">
        <v>2835</v>
      </c>
      <c r="B2062" t="s">
        <v>1662</v>
      </c>
      <c r="C2062" t="s">
        <v>5358</v>
      </c>
      <c r="E2062" t="s">
        <v>5359</v>
      </c>
      <c r="F2062" t="str">
        <f t="shared" si="32"/>
        <v>"C:\Program Files\VideoLAN\VLC\vlc.exe" "http://radioengland.co.uk:8100/zackDAB.aac.m3u"</v>
      </c>
      <c r="M2062" t="e">
        <f>VLOOKUP(A2062,logos!$A$2:$A$10004,1,FALSE)</f>
        <v>#N/A</v>
      </c>
    </row>
    <row r="2063" spans="1:13" hidden="1" x14ac:dyDescent="0.55000000000000004">
      <c r="A2063" t="s">
        <v>16</v>
      </c>
      <c r="B2063" t="s">
        <v>1689</v>
      </c>
      <c r="C2063" t="s">
        <v>5360</v>
      </c>
      <c r="E2063" t="s">
        <v>6060</v>
      </c>
      <c r="F2063" t="str">
        <f t="shared" si="32"/>
        <v>"C:\Program Files\VideoLAN\VLC\vlc.exe" "http://edge.clrmedia.co.uk:10000/chiptunes.m3u"</v>
      </c>
      <c r="M2063" t="e">
        <f>VLOOKUP(A2063,logos!$A$2:$A$10004,1,FALSE)</f>
        <v>#N/A</v>
      </c>
    </row>
    <row r="2064" spans="1:13" hidden="1" x14ac:dyDescent="0.55000000000000004">
      <c r="A2064" t="s">
        <v>27</v>
      </c>
      <c r="B2064" t="s">
        <v>1663</v>
      </c>
      <c r="C2064" t="s">
        <v>5361</v>
      </c>
      <c r="E2064" t="s">
        <v>6060</v>
      </c>
      <c r="F2064" t="str">
        <f t="shared" si="32"/>
        <v>"C:\Program Files\VideoLAN\VLC\vlc.exe" "http://stream1.themediasite.co.uk:8020/listen.pls?sid=1"</v>
      </c>
      <c r="M2064" t="e">
        <f>VLOOKUP(A2064,logos!$A$2:$A$10004,1,FALSE)</f>
        <v>#N/A</v>
      </c>
    </row>
    <row r="2065" spans="1:13" hidden="1" x14ac:dyDescent="0.55000000000000004">
      <c r="A2065" t="s">
        <v>30</v>
      </c>
      <c r="B2065" t="s">
        <v>1663</v>
      </c>
      <c r="C2065" t="s">
        <v>5362</v>
      </c>
      <c r="E2065" t="s">
        <v>6060</v>
      </c>
      <c r="F2065" t="str">
        <f t="shared" si="32"/>
        <v>"C:\Program Files\VideoLAN\VLC\vlc.exe" "http://www.radiofeeds.net/playlists/80srhythmhq.m3u"</v>
      </c>
      <c r="M2065" t="e">
        <f>VLOOKUP(A2065,logos!$A$2:$A$10004,1,FALSE)</f>
        <v>#N/A</v>
      </c>
    </row>
    <row r="2066" spans="1:13" hidden="1" x14ac:dyDescent="0.55000000000000004">
      <c r="A2066" t="s">
        <v>32</v>
      </c>
      <c r="B2066" t="s">
        <v>1663</v>
      </c>
      <c r="C2066" t="s">
        <v>5363</v>
      </c>
      <c r="E2066" t="s">
        <v>6060</v>
      </c>
      <c r="F2066" t="str">
        <f t="shared" si="32"/>
        <v>"C:\Program Files\VideoLAN\VLC\vlc.exe" "http://stream3.hippynet.co.uk:8008/listen.pls?sid=1"</v>
      </c>
      <c r="M2066" t="e">
        <f>VLOOKUP(A2066,logos!$A$2:$A$10004,1,FALSE)</f>
        <v>#N/A</v>
      </c>
    </row>
    <row r="2067" spans="1:13" hidden="1" x14ac:dyDescent="0.55000000000000004">
      <c r="A2067" t="s">
        <v>34</v>
      </c>
      <c r="B2067" t="s">
        <v>1692</v>
      </c>
      <c r="C2067" t="s">
        <v>5364</v>
      </c>
      <c r="E2067" t="s">
        <v>6060</v>
      </c>
      <c r="F2067" t="str">
        <f t="shared" si="32"/>
        <v>"C:\Program Files\VideoLAN\VLC\vlc.exe" "http://www.radiofeeds.net/playlists/bauerflash.pls?station=absoluteclassicrock-mp3"</v>
      </c>
      <c r="M2067" t="str">
        <f>VLOOKUP(A2067,logos!$A$2:$A$10004,1,FALSE)</f>
        <v>Absolute Classic Rock</v>
      </c>
    </row>
    <row r="2068" spans="1:13" hidden="1" x14ac:dyDescent="0.55000000000000004">
      <c r="A2068" t="s">
        <v>38</v>
      </c>
      <c r="B2068" t="s">
        <v>1692</v>
      </c>
      <c r="C2068" t="s">
        <v>5365</v>
      </c>
      <c r="E2068" t="s">
        <v>6060</v>
      </c>
      <c r="F2068" t="str">
        <f t="shared" si="32"/>
        <v>"C:\Program Files\VideoLAN\VLC\vlc.exe" "http://www.radiofeeds.net/playlists/bauerflash.pls?station=absoluteradio-mp3"</v>
      </c>
      <c r="M2068" t="str">
        <f>VLOOKUP(A2068,logos!$A$2:$A$10004,1,FALSE)</f>
        <v>Absolute Radio</v>
      </c>
    </row>
    <row r="2069" spans="1:13" hidden="1" x14ac:dyDescent="0.55000000000000004">
      <c r="A2069" t="s">
        <v>40</v>
      </c>
      <c r="B2069" t="s">
        <v>1692</v>
      </c>
      <c r="C2069" t="s">
        <v>5366</v>
      </c>
      <c r="E2069" t="s">
        <v>6060</v>
      </c>
      <c r="F2069" t="str">
        <f t="shared" si="32"/>
        <v>"C:\Program Files\VideoLAN\VLC\vlc.exe" "http://www.radiofeeds.net/playlists/bauerflash.pls?station=absolute60s-mp3"</v>
      </c>
      <c r="M2069" t="str">
        <f>VLOOKUP(A2069,logos!$A$2:$A$10004,1,FALSE)</f>
        <v>Absolute Radio 60s</v>
      </c>
    </row>
    <row r="2070" spans="1:13" hidden="1" x14ac:dyDescent="0.55000000000000004">
      <c r="A2070" t="s">
        <v>42</v>
      </c>
      <c r="B2070" t="s">
        <v>1692</v>
      </c>
      <c r="C2070" t="s">
        <v>5367</v>
      </c>
      <c r="E2070" t="s">
        <v>6060</v>
      </c>
      <c r="F2070" t="str">
        <f t="shared" si="32"/>
        <v>"C:\Program Files\VideoLAN\VLC\vlc.exe" "http://www.radiofeeds.net/playlists/bauerflash.pls?station=absolute70s-mp3"</v>
      </c>
      <c r="M2070" t="str">
        <f>VLOOKUP(A2070,logos!$A$2:$A$10004,1,FALSE)</f>
        <v>Absolute Radio 70s</v>
      </c>
    </row>
    <row r="2071" spans="1:13" hidden="1" x14ac:dyDescent="0.55000000000000004">
      <c r="A2071" t="s">
        <v>4811</v>
      </c>
      <c r="B2071" t="s">
        <v>1692</v>
      </c>
      <c r="C2071" t="s">
        <v>5368</v>
      </c>
      <c r="E2071" t="s">
        <v>6060</v>
      </c>
      <c r="F2071" t="str">
        <f t="shared" si="32"/>
        <v>"C:\Program Files\VideoLAN\VLC\vlc.exe" "http://www.radiofeeds.net/playlists/bauerflash.pls?station=absolute80s-mp3"</v>
      </c>
      <c r="M2071" t="str">
        <f>VLOOKUP(A2071,logos!$A$2:$A$10004,1,FALSE)</f>
        <v>Absolute Radio 80s</v>
      </c>
    </row>
    <row r="2072" spans="1:13" hidden="1" x14ac:dyDescent="0.55000000000000004">
      <c r="A2072" t="s">
        <v>46</v>
      </c>
      <c r="B2072" t="s">
        <v>1692</v>
      </c>
      <c r="C2072" t="s">
        <v>5369</v>
      </c>
      <c r="E2072" t="s">
        <v>6060</v>
      </c>
      <c r="F2072" t="str">
        <f t="shared" si="32"/>
        <v>"C:\Program Files\VideoLAN\VLC\vlc.exe" "http://www.radiofeeds.net/playlists/bauerflash.pls?station=absolute90s-mp3"</v>
      </c>
      <c r="M2072" t="str">
        <f>VLOOKUP(A2072,logos!$A$2:$A$10004,1,FALSE)</f>
        <v>Absolute Radio 90s</v>
      </c>
    </row>
    <row r="2073" spans="1:13" hidden="1" x14ac:dyDescent="0.55000000000000004">
      <c r="A2073" t="s">
        <v>48</v>
      </c>
      <c r="B2073" t="s">
        <v>1692</v>
      </c>
      <c r="C2073" t="s">
        <v>5370</v>
      </c>
      <c r="E2073" t="s">
        <v>6060</v>
      </c>
      <c r="F2073" t="str">
        <f t="shared" si="32"/>
        <v>"C:\Program Files\VideoLAN\VLC\vlc.exe" "http://www.radiofeeds.net/playlists/bauerflash.pls?station=absolute00s-mp3"</v>
      </c>
      <c r="M2073" t="str">
        <f>VLOOKUP(A2073,logos!$A$2:$A$10004,1,FALSE)</f>
        <v>Absolute Radio 00s</v>
      </c>
    </row>
    <row r="2074" spans="1:13" hidden="1" x14ac:dyDescent="0.55000000000000004">
      <c r="A2074" t="s">
        <v>50</v>
      </c>
      <c r="B2074" t="s">
        <v>1692</v>
      </c>
      <c r="C2074" t="s">
        <v>5371</v>
      </c>
      <c r="E2074" t="s">
        <v>6060</v>
      </c>
      <c r="F2074" t="str">
        <f t="shared" si="32"/>
        <v>"C:\Program Files\VideoLAN\VLC\vlc.exe" "http://www.radiofeeds.net/playlists/bauerflash.pls?station=absolute10s-mp3"</v>
      </c>
      <c r="M2074" t="str">
        <f>VLOOKUP(A2074,logos!$A$2:$A$10004,1,FALSE)</f>
        <v>Absolute Radio 10s</v>
      </c>
    </row>
    <row r="2075" spans="1:13" hidden="1" x14ac:dyDescent="0.55000000000000004">
      <c r="A2075" t="s">
        <v>52</v>
      </c>
      <c r="B2075" t="s">
        <v>1692</v>
      </c>
      <c r="C2075" t="s">
        <v>5372</v>
      </c>
      <c r="E2075" t="s">
        <v>6060</v>
      </c>
      <c r="F2075" t="str">
        <f t="shared" si="32"/>
        <v>"C:\Program Files\VideoLAN\VLC\vlc.exe" "http://www.radiofeeds.net/playlists/bauer.pls?station=countryhits-mp3"</v>
      </c>
      <c r="M2075" t="str">
        <f>VLOOKUP(A2075,logos!$A$2:$A$10004,1,FALSE)</f>
        <v>Absolute Radio Country</v>
      </c>
    </row>
    <row r="2076" spans="1:13" hidden="1" x14ac:dyDescent="0.55000000000000004">
      <c r="A2076" t="s">
        <v>54</v>
      </c>
      <c r="B2076" t="s">
        <v>1663</v>
      </c>
      <c r="C2076" t="s">
        <v>5373</v>
      </c>
      <c r="E2076" t="s">
        <v>6060</v>
      </c>
      <c r="F2076" t="str">
        <f t="shared" si="32"/>
        <v>"C:\Program Files\VideoLAN\VLC\vlc.exe" "http://www.radiofeeds.net/playlists/sharptemp.pls?station=actualradio-mp3"</v>
      </c>
      <c r="M2076" t="e">
        <f>VLOOKUP(A2076,logos!$A$2:$A$10004,1,FALSE)</f>
        <v>#N/A</v>
      </c>
    </row>
    <row r="2077" spans="1:13" hidden="1" x14ac:dyDescent="0.55000000000000004">
      <c r="A2077" t="s">
        <v>56</v>
      </c>
      <c r="B2077" t="s">
        <v>1666</v>
      </c>
      <c r="C2077" t="s">
        <v>5374</v>
      </c>
      <c r="E2077" t="s">
        <v>6060</v>
      </c>
      <c r="F2077" t="str">
        <f t="shared" si="32"/>
        <v>"C:\Program Files\VideoLAN\VLC\vlc.exe" "http://88.208.244.107:8002/listen.pls?sid=1"</v>
      </c>
      <c r="M2077" t="e">
        <f>VLOOKUP(A2077,logos!$A$2:$A$10004,1,FALSE)</f>
        <v>#N/A</v>
      </c>
    </row>
    <row r="2078" spans="1:13" hidden="1" x14ac:dyDescent="0.55000000000000004">
      <c r="A2078" t="s">
        <v>59</v>
      </c>
      <c r="B2078" t="s">
        <v>1663</v>
      </c>
      <c r="C2078" t="s">
        <v>5375</v>
      </c>
      <c r="E2078" t="s">
        <v>6060</v>
      </c>
      <c r="F2078" t="str">
        <f t="shared" si="32"/>
        <v>"C:\Program Files\VideoLAN\VLC\vlc.exe" "http://s5.radio.co/s2e9e33a2d/listen.m3u"</v>
      </c>
      <c r="M2078" t="e">
        <f>VLOOKUP(A2078,logos!$A$2:$A$10004,1,FALSE)</f>
        <v>#N/A</v>
      </c>
    </row>
    <row r="2079" spans="1:13" hidden="1" x14ac:dyDescent="0.55000000000000004">
      <c r="A2079" t="s">
        <v>2842</v>
      </c>
      <c r="B2079" t="s">
        <v>1664</v>
      </c>
      <c r="C2079" t="s">
        <v>5376</v>
      </c>
      <c r="E2079" t="s">
        <v>6060</v>
      </c>
      <c r="F2079" t="str">
        <f t="shared" si="32"/>
        <v>"C:\Program Files\VideoLAN\VLC\vlc.exe" "http://edge.clrmedia.co.uk:10000/angel_lb.m3u"</v>
      </c>
      <c r="M2079" t="e">
        <f>VLOOKUP(A2079,logos!$A$2:$A$10004,1,FALSE)</f>
        <v>#N/A</v>
      </c>
    </row>
    <row r="2080" spans="1:13" hidden="1" x14ac:dyDescent="0.55000000000000004">
      <c r="A2080" t="s">
        <v>2842</v>
      </c>
      <c r="B2080" t="s">
        <v>1693</v>
      </c>
      <c r="C2080" t="s">
        <v>5377</v>
      </c>
      <c r="E2080" t="s">
        <v>6060</v>
      </c>
      <c r="F2080" t="str">
        <f t="shared" si="32"/>
        <v>"C:\Program Files\VideoLAN\VLC\vlc.exe" "http://edge.clrmedia.co.uk:10000/angel_hb.m3u"</v>
      </c>
      <c r="M2080" t="e">
        <f>VLOOKUP(A2080,logos!$A$2:$A$10004,1,FALSE)</f>
        <v>#N/A</v>
      </c>
    </row>
    <row r="2081" spans="1:13" hidden="1" x14ac:dyDescent="0.55000000000000004">
      <c r="A2081" t="s">
        <v>66</v>
      </c>
      <c r="B2081" t="s">
        <v>1663</v>
      </c>
      <c r="C2081" t="s">
        <v>5378</v>
      </c>
      <c r="E2081" t="s">
        <v>6060</v>
      </c>
      <c r="F2081" t="str">
        <f t="shared" si="32"/>
        <v>"C:\Program Files\VideoLAN\VLC\vlc.exe" "http://arenaradio.radioca.st:8284/listen.pls?sid=1"</v>
      </c>
      <c r="M2081" t="e">
        <f>VLOOKUP(A2081,logos!$A$2:$A$10004,1,FALSE)</f>
        <v>#N/A</v>
      </c>
    </row>
    <row r="2082" spans="1:13" hidden="1" x14ac:dyDescent="0.55000000000000004">
      <c r="A2082" t="s">
        <v>68</v>
      </c>
      <c r="B2082" t="s">
        <v>1670</v>
      </c>
      <c r="C2082" t="s">
        <v>5379</v>
      </c>
      <c r="E2082" t="s">
        <v>6060</v>
      </c>
      <c r="F2082" t="str">
        <f t="shared" si="32"/>
        <v>"C:\Program Files\VideoLAN\VLC\vlc.exe" "http://www.radiofeeds.net/playlists/argyllmp3.m3u"</v>
      </c>
      <c r="M2082" t="e">
        <f>VLOOKUP(A2082,logos!$A$2:$A$10004,1,FALSE)</f>
        <v>#N/A</v>
      </c>
    </row>
    <row r="2083" spans="1:13" hidden="1" x14ac:dyDescent="0.55000000000000004">
      <c r="A2083" t="s">
        <v>71</v>
      </c>
      <c r="B2083" t="s">
        <v>1663</v>
      </c>
      <c r="C2083" t="s">
        <v>5380</v>
      </c>
      <c r="E2083" t="s">
        <v>6060</v>
      </c>
      <c r="F2083" t="str">
        <f t="shared" si="32"/>
        <v>"C:\Program Files\VideoLAN\VLC\vlc.exe" "http://streaming.broadcastradio.com:9420/asiansoundradio.m3u"</v>
      </c>
      <c r="M2083" t="e">
        <f>VLOOKUP(A2083,logos!$A$2:$A$10004,1,FALSE)</f>
        <v>#N/A</v>
      </c>
    </row>
    <row r="2084" spans="1:13" hidden="1" x14ac:dyDescent="0.55000000000000004">
      <c r="A2084" t="s">
        <v>73</v>
      </c>
      <c r="B2084" t="s">
        <v>1663</v>
      </c>
      <c r="C2084" t="s">
        <v>5381</v>
      </c>
      <c r="E2084" t="s">
        <v>6060</v>
      </c>
      <c r="F2084" t="str">
        <f t="shared" si="32"/>
        <v>"C:\Program Files\VideoLAN\VLC\vlc.exe" "http://www.radiofeeds.net/playlists/sharptemp.pls?station=aspenwaiteprem-mp3"</v>
      </c>
      <c r="M2084" t="str">
        <f>VLOOKUP(A2084,logos!$A$2:$A$10004,1,FALSE)</f>
        <v>Aspen Waite Radio</v>
      </c>
    </row>
    <row r="2085" spans="1:13" hidden="1" x14ac:dyDescent="0.55000000000000004">
      <c r="A2085" t="s">
        <v>75</v>
      </c>
      <c r="B2085" t="s">
        <v>1668</v>
      </c>
      <c r="C2085" t="s">
        <v>5382</v>
      </c>
      <c r="E2085" t="s">
        <v>6060</v>
      </c>
      <c r="F2085" t="str">
        <f t="shared" si="32"/>
        <v>"C:\Program Files\VideoLAN\VLC\vlc.exe" "http://38.96.148.140:6150/listen.pls?sid=1"</v>
      </c>
      <c r="M2085" t="e">
        <f>VLOOKUP(A2085,logos!$A$2:$A$10004,1,FALSE)</f>
        <v>#N/A</v>
      </c>
    </row>
    <row r="2086" spans="1:13" hidden="1" x14ac:dyDescent="0.55000000000000004">
      <c r="A2086" t="s">
        <v>75</v>
      </c>
      <c r="B2086" t="s">
        <v>1666</v>
      </c>
      <c r="C2086" t="s">
        <v>5383</v>
      </c>
      <c r="E2086" t="s">
        <v>6060</v>
      </c>
      <c r="F2086" t="str">
        <f t="shared" si="32"/>
        <v>"C:\Program Files\VideoLAN\VLC\vlc.exe" "http://s1.voscast.com:9038/listen.pls"</v>
      </c>
      <c r="M2086" t="e">
        <f>VLOOKUP(A2086,logos!$A$2:$A$10004,1,FALSE)</f>
        <v>#N/A</v>
      </c>
    </row>
    <row r="2087" spans="1:13" hidden="1" x14ac:dyDescent="0.55000000000000004">
      <c r="A2087" t="s">
        <v>79</v>
      </c>
      <c r="B2087" t="s">
        <v>1663</v>
      </c>
      <c r="C2087" t="s">
        <v>5384</v>
      </c>
      <c r="E2087" t="s">
        <v>6060</v>
      </c>
      <c r="F2087" t="str">
        <f t="shared" si="32"/>
        <v>"C:\Program Files\VideoLAN\VLC\vlc.exe" "http://www.radiofeeds.net/playlists/sharptemp.pls?station=mangovibe-mp3"</v>
      </c>
      <c r="M2087" t="e">
        <f>VLOOKUP(A2087,logos!$A$2:$A$10004,1,FALSE)</f>
        <v>#N/A</v>
      </c>
    </row>
    <row r="2088" spans="1:13" hidden="1" x14ac:dyDescent="0.55000000000000004">
      <c r="A2088" t="s">
        <v>81</v>
      </c>
      <c r="B2088" t="s">
        <v>1669</v>
      </c>
      <c r="C2088" t="s">
        <v>5385</v>
      </c>
      <c r="E2088" t="s">
        <v>6060</v>
      </c>
      <c r="F2088" t="str">
        <f t="shared" si="32"/>
        <v>"C:\Program Files\VideoLAN\VLC\vlc.exe" "http://streaming.radio.co/s20224a067/listen.m3u"</v>
      </c>
      <c r="M2088" t="e">
        <f>VLOOKUP(A2088,logos!$A$2:$A$10004,1,FALSE)</f>
        <v>#N/A</v>
      </c>
    </row>
    <row r="2089" spans="1:13" hidden="1" x14ac:dyDescent="0.55000000000000004">
      <c r="A2089" t="s">
        <v>84</v>
      </c>
      <c r="B2089" t="s">
        <v>1669</v>
      </c>
      <c r="C2089" t="s">
        <v>5386</v>
      </c>
      <c r="E2089" t="s">
        <v>6060</v>
      </c>
      <c r="F2089" t="str">
        <f t="shared" si="32"/>
        <v>"C:\Program Files\VideoLAN\VLC\vlc.exe" "http://streamer.radio.co/s5af29b339/listen.m3u"</v>
      </c>
      <c r="M2089" t="e">
        <f>VLOOKUP(A2089,logos!$A$2:$A$10004,1,FALSE)</f>
        <v>#N/A</v>
      </c>
    </row>
    <row r="2090" spans="1:13" hidden="1" x14ac:dyDescent="0.55000000000000004">
      <c r="A2090" t="s">
        <v>86</v>
      </c>
      <c r="B2090" t="s">
        <v>1663</v>
      </c>
      <c r="C2090" t="s">
        <v>5387</v>
      </c>
      <c r="E2090" t="s">
        <v>6060</v>
      </c>
      <c r="F2090" t="str">
        <f t="shared" si="32"/>
        <v>"C:\Program Files\VideoLAN\VLC\vlc.exe" "http://hydra.shoutca.st:8064/stream.m3u"</v>
      </c>
      <c r="M2090" t="str">
        <f>VLOOKUP(A2090,logos!$A$2:$A$10004,1,FALSE)</f>
        <v>Bay Trust Radio</v>
      </c>
    </row>
    <row r="2091" spans="1:13" hidden="1" x14ac:dyDescent="0.55000000000000004">
      <c r="A2091" t="s">
        <v>88</v>
      </c>
      <c r="B2091" t="s">
        <v>1666</v>
      </c>
      <c r="C2091" t="s">
        <v>5388</v>
      </c>
      <c r="E2091" t="s">
        <v>6060</v>
      </c>
      <c r="F2091" t="str">
        <f t="shared" si="32"/>
        <v>"C:\Program Files\VideoLAN\VLC\vlc.exe" "http://streaming03.zfast.co.uk:8021/listen.pls?sid=1"</v>
      </c>
      <c r="M2091" t="e">
        <f>VLOOKUP(A2091,logos!$A$2:$A$10004,1,FALSE)</f>
        <v>#N/A</v>
      </c>
    </row>
    <row r="2092" spans="1:13" hidden="1" x14ac:dyDescent="0.55000000000000004">
      <c r="A2092" t="s">
        <v>90</v>
      </c>
      <c r="B2092" t="s">
        <v>1663</v>
      </c>
      <c r="C2092" t="s">
        <v>5389</v>
      </c>
      <c r="E2092" t="s">
        <v>6060</v>
      </c>
      <c r="F2092" t="str">
        <f t="shared" si="32"/>
        <v>"C:\Program Files\VideoLAN\VLC\vlc.exe" "http://open.live.bbc.co.uk/mediaselector/5/select/version/2.0/mediaset/http-icy-mp3-a/vpid/bbc_asian_network/format/pls.pls"</v>
      </c>
      <c r="M2092" t="str">
        <f>VLOOKUP(A2092,logos!$A$2:$A$10004,1,FALSE)</f>
        <v>BBC Asian Network</v>
      </c>
    </row>
    <row r="2093" spans="1:13" hidden="1" x14ac:dyDescent="0.55000000000000004">
      <c r="A2093" t="s">
        <v>93</v>
      </c>
      <c r="B2093" t="s">
        <v>1663</v>
      </c>
      <c r="C2093" t="s">
        <v>5390</v>
      </c>
      <c r="E2093" t="s">
        <v>6060</v>
      </c>
      <c r="F2093" t="str">
        <f t="shared" si="32"/>
        <v>"C:\Program Files\VideoLAN\VLC\vlc.exe" "http://open.live.bbc.co.uk/mediaselector/5/select/version/2.0/mediaset/http-icy-mp3-a/vpid/bbc_radio_coventry_warwickshire/format/pls.pls"</v>
      </c>
      <c r="M2093" t="str">
        <f>VLOOKUP(A2093,logos!$A$2:$A$10004,1,FALSE)</f>
        <v>BBC CWR</v>
      </c>
    </row>
    <row r="2094" spans="1:13" hidden="1" x14ac:dyDescent="0.55000000000000004">
      <c r="A2094" t="s">
        <v>95</v>
      </c>
      <c r="B2094" t="s">
        <v>1663</v>
      </c>
      <c r="C2094" t="s">
        <v>5391</v>
      </c>
      <c r="E2094" t="s">
        <v>6060</v>
      </c>
      <c r="F2094" t="str">
        <f t="shared" si="32"/>
        <v>"C:\Program Files\VideoLAN\VLC\vlc.exe" "http://open.live.bbc.co.uk/mediaselector/5/select/version/2.0/mediaset/http-icy-mp3-a/vpid/bbc_radio_essex/format/pls.pls"</v>
      </c>
      <c r="M2094" t="str">
        <f>VLOOKUP(A2094,logos!$A$2:$A$10004,1,FALSE)</f>
        <v>BBC Essex</v>
      </c>
    </row>
    <row r="2095" spans="1:13" hidden="1" x14ac:dyDescent="0.55000000000000004">
      <c r="A2095" t="s">
        <v>97</v>
      </c>
      <c r="B2095" t="s">
        <v>1663</v>
      </c>
      <c r="C2095" t="s">
        <v>5392</v>
      </c>
      <c r="E2095" t="s">
        <v>6060</v>
      </c>
      <c r="F2095" t="str">
        <f t="shared" si="32"/>
        <v>"C:\Program Files\VideoLAN\VLC\vlc.exe" "http://open.live.bbc.co.uk/mediaselector/5/select/version/2.0/mediaset/http-icy-mp3-a/vpid/bbc_radio_hereford_worcester/format/pls.pls"</v>
      </c>
      <c r="M2095" t="str">
        <f>VLOOKUP(A2095,logos!$A$2:$A$10004,1,FALSE)</f>
        <v>BBC Hereford &amp; Worcester</v>
      </c>
    </row>
    <row r="2096" spans="1:13" hidden="1" x14ac:dyDescent="0.55000000000000004">
      <c r="A2096" t="s">
        <v>2843</v>
      </c>
      <c r="B2096" t="s">
        <v>1663</v>
      </c>
      <c r="C2096" t="s">
        <v>5393</v>
      </c>
      <c r="E2096" t="s">
        <v>6060</v>
      </c>
      <c r="F2096" t="str">
        <f t="shared" si="32"/>
        <v>"C:\Program Files\VideoLAN\VLC\vlc.exe" "http://open.live.bbc.co.uk/mediaselector/5/select/version/2.0/mediaset/http-icy-mp3-a/vpid/bbc_radio_one/format/pls.pls"</v>
      </c>
      <c r="M2096" t="str">
        <f>VLOOKUP(A2096,logos!$A$2:$A$10004,1,FALSE)</f>
        <v>BBC Radio 1 (England)</v>
      </c>
    </row>
    <row r="2097" spans="1:13" hidden="1" x14ac:dyDescent="0.55000000000000004">
      <c r="A2097" t="s">
        <v>101</v>
      </c>
      <c r="B2097" t="s">
        <v>1663</v>
      </c>
      <c r="C2097" t="s">
        <v>5394</v>
      </c>
      <c r="E2097" t="s">
        <v>6060</v>
      </c>
      <c r="F2097" t="str">
        <f t="shared" si="32"/>
        <v>"C:\Program Files\VideoLAN\VLC\vlc.exe" "http://open.live.bbc.co.uk/mediaselector/5/select/version/2.0/mediaset/http-icy-mp3-a/vpid/bbc_1xtra/format/pls.pls"</v>
      </c>
      <c r="M2097" t="str">
        <f>VLOOKUP(A2097,logos!$A$2:$A$10004,1,FALSE)</f>
        <v>BBC Radio 1Xtra</v>
      </c>
    </row>
    <row r="2098" spans="1:13" hidden="1" x14ac:dyDescent="0.55000000000000004">
      <c r="A2098" t="s">
        <v>103</v>
      </c>
      <c r="B2098" t="s">
        <v>1663</v>
      </c>
      <c r="C2098" t="s">
        <v>5395</v>
      </c>
      <c r="E2098" t="s">
        <v>6060</v>
      </c>
      <c r="F2098" t="str">
        <f t="shared" si="32"/>
        <v>"C:\Program Files\VideoLAN\VLC\vlc.exe" "http://open.live.bbc.co.uk/mediaselector/5/select/version/2.0/mediaset/http-icy-mp3-a/vpid/bbc_radio_two/format/pls.pls"</v>
      </c>
      <c r="M2098" t="str">
        <f>VLOOKUP(A2098,logos!$A$2:$A$10004,1,FALSE)</f>
        <v>BBC Radio 2</v>
      </c>
    </row>
    <row r="2099" spans="1:13" hidden="1" x14ac:dyDescent="0.55000000000000004">
      <c r="A2099" t="s">
        <v>105</v>
      </c>
      <c r="B2099" t="s">
        <v>1663</v>
      </c>
      <c r="C2099" t="s">
        <v>5396</v>
      </c>
      <c r="E2099" t="s">
        <v>6060</v>
      </c>
      <c r="F2099" t="str">
        <f t="shared" si="32"/>
        <v>"C:\Program Files\VideoLAN\VLC\vlc.exe" "http://open.live.bbc.co.uk/mediaselector/5/select/version/2.0/mediaset/http-icy-mp3-a/vpid/bbc_radio_three/format/pls.pls"</v>
      </c>
      <c r="M2099" t="str">
        <f>VLOOKUP(A2099,logos!$A$2:$A$10004,1,FALSE)</f>
        <v>BBC Radio 3</v>
      </c>
    </row>
    <row r="2100" spans="1:13" hidden="1" x14ac:dyDescent="0.55000000000000004">
      <c r="A2100" t="s">
        <v>2844</v>
      </c>
      <c r="B2100" t="s">
        <v>1663</v>
      </c>
      <c r="C2100" t="s">
        <v>5397</v>
      </c>
      <c r="E2100" t="s">
        <v>6060</v>
      </c>
      <c r="F2100" t="str">
        <f t="shared" si="32"/>
        <v>"C:\Program Files\VideoLAN\VLC\vlc.exe" "http://open.live.bbc.co.uk/mediaselector/5/select/version/2.0/mediaset/http-icy-mp3-a/vpid/bbc_radio_fourfm/format/pls.pls"</v>
      </c>
      <c r="M2100" t="str">
        <f>VLOOKUP(A2100,logos!$A$2:$A$10004,1,FALSE)</f>
        <v>BBC Radio 4 (DAB)</v>
      </c>
    </row>
    <row r="2101" spans="1:13" hidden="1" x14ac:dyDescent="0.55000000000000004">
      <c r="A2101" t="s">
        <v>2845</v>
      </c>
      <c r="B2101" t="s">
        <v>1663</v>
      </c>
      <c r="C2101" t="s">
        <v>5398</v>
      </c>
      <c r="E2101" t="s">
        <v>6060</v>
      </c>
      <c r="F2101" t="str">
        <f t="shared" si="32"/>
        <v>"C:\Program Files\VideoLAN\VLC\vlc.exe" "http://open.live.bbc.co.uk/mediaselector/5/select/version/2.0/mediaset/http-icy-mp3-a/vpid/bbc_radio_fourlw/format/pls.pls"</v>
      </c>
      <c r="M2101" t="str">
        <f>VLOOKUP(A2101,logos!$A$2:$A$10004,1,FALSE)</f>
        <v>BBC Radio 4 (LW)</v>
      </c>
    </row>
    <row r="2102" spans="1:13" hidden="1" x14ac:dyDescent="0.55000000000000004">
      <c r="A2102" t="s">
        <v>111</v>
      </c>
      <c r="B2102" t="s">
        <v>1663</v>
      </c>
      <c r="C2102" t="s">
        <v>5399</v>
      </c>
      <c r="E2102" t="s">
        <v>6060</v>
      </c>
      <c r="F2102" t="str">
        <f t="shared" si="32"/>
        <v>"C:\Program Files\VideoLAN\VLC\vlc.exe" "http://open.live.bbc.co.uk/mediaselector/5/select/version/2.0/mediaset/http-icy-mp3-a/vpid/bbc_radio_four_extra/format/pls.pls"</v>
      </c>
      <c r="M2102" t="str">
        <f>VLOOKUP(A2102,logos!$A$2:$A$10004,1,FALSE)</f>
        <v>BBC Radio 4 Extra</v>
      </c>
    </row>
    <row r="2103" spans="1:13" hidden="1" x14ac:dyDescent="0.55000000000000004">
      <c r="A2103" t="s">
        <v>113</v>
      </c>
      <c r="B2103" t="s">
        <v>1663</v>
      </c>
      <c r="C2103" t="s">
        <v>5400</v>
      </c>
      <c r="E2103" t="s">
        <v>6060</v>
      </c>
      <c r="F2103" t="str">
        <f t="shared" si="32"/>
        <v>"C:\Program Files\VideoLAN\VLC\vlc.exe" "http://open.live.bbc.co.uk/mediaselector/5/select/version/2.0/mediaset/http-icy-mp3-a/vpid/bbc_radio_five_live/format/pls.pls"</v>
      </c>
      <c r="M2103" t="str">
        <f>VLOOKUP(A2103,logos!$A$2:$A$10004,1,FALSE)</f>
        <v>BBC Radio 5 Live</v>
      </c>
    </row>
    <row r="2104" spans="1:13" hidden="1" x14ac:dyDescent="0.55000000000000004">
      <c r="A2104" t="s">
        <v>116</v>
      </c>
      <c r="B2104" t="s">
        <v>1663</v>
      </c>
      <c r="C2104" t="s">
        <v>5401</v>
      </c>
      <c r="E2104" t="s">
        <v>6060</v>
      </c>
      <c r="F2104" t="str">
        <f t="shared" si="32"/>
        <v>"C:\Program Files\VideoLAN\VLC\vlc.exe" "http://www.radiofeeds.net/playlists/bbc5livesportsextra.pls"</v>
      </c>
      <c r="M2104" t="str">
        <f>VLOOKUP(A2104,logos!$A$2:$A$10004,1,FALSE)</f>
        <v>BBC Radio 5 Sports Extra</v>
      </c>
    </row>
    <row r="2105" spans="1:13" hidden="1" x14ac:dyDescent="0.55000000000000004">
      <c r="A2105" t="s">
        <v>118</v>
      </c>
      <c r="B2105" t="s">
        <v>1663</v>
      </c>
      <c r="C2105" t="s">
        <v>5402</v>
      </c>
      <c r="E2105" t="s">
        <v>6060</v>
      </c>
      <c r="F2105" t="str">
        <f t="shared" si="32"/>
        <v>"C:\Program Files\VideoLAN\VLC\vlc.exe" "http://open.live.bbc.co.uk/mediaselector/5/select/version/2.0/mediaset/http-icy-mp3-a/vpid/bbc_6music/format/pls.pls"</v>
      </c>
      <c r="M2105" t="str">
        <f>VLOOKUP(A2105,logos!$A$2:$A$10004,1,FALSE)</f>
        <v>BBC Radio 6 Music</v>
      </c>
    </row>
    <row r="2106" spans="1:13" hidden="1" x14ac:dyDescent="0.55000000000000004">
      <c r="A2106" t="s">
        <v>120</v>
      </c>
      <c r="B2106" t="s">
        <v>1663</v>
      </c>
      <c r="C2106" t="s">
        <v>5403</v>
      </c>
      <c r="E2106" t="s">
        <v>6060</v>
      </c>
      <c r="F2106" t="str">
        <f t="shared" si="32"/>
        <v>"C:\Program Files\VideoLAN\VLC\vlc.exe" "http://open.live.bbc.co.uk/mediaselector/5/select/version/2.0/mediaset/http-icy-mp3-a/vpid/bbc_radio_berkshire/format/pls.pls"</v>
      </c>
      <c r="M2106" t="str">
        <f>VLOOKUP(A2106,logos!$A$2:$A$10004,1,FALSE)</f>
        <v>BBC Radio Berkshire</v>
      </c>
    </row>
    <row r="2107" spans="1:13" hidden="1" x14ac:dyDescent="0.55000000000000004">
      <c r="A2107" t="s">
        <v>122</v>
      </c>
      <c r="B2107" t="s">
        <v>1663</v>
      </c>
      <c r="C2107" t="s">
        <v>5404</v>
      </c>
      <c r="E2107" t="s">
        <v>6060</v>
      </c>
      <c r="F2107" t="str">
        <f t="shared" si="32"/>
        <v>"C:\Program Files\VideoLAN\VLC\vlc.exe" "http://open.live.bbc.co.uk/mediaselector/5/select/version/2.0/mediaset/http-icy-mp3-a/vpid/bbc_radio_bristol/format/pls.pls"</v>
      </c>
      <c r="M2107" t="str">
        <f>VLOOKUP(A2107,logos!$A$2:$A$10004,1,FALSE)</f>
        <v>BBC Radio Bristol</v>
      </c>
    </row>
    <row r="2108" spans="1:13" hidden="1" x14ac:dyDescent="0.55000000000000004">
      <c r="A2108" t="s">
        <v>2846</v>
      </c>
      <c r="B2108" t="s">
        <v>1663</v>
      </c>
      <c r="C2108" t="s">
        <v>5405</v>
      </c>
      <c r="E2108" t="s">
        <v>6060</v>
      </c>
      <c r="F2108" t="str">
        <f t="shared" si="32"/>
        <v>"C:\Program Files\VideoLAN\VLC\vlc.exe" "http://open.live.bbc.co.uk/mediaselector/5/select/version/2.0/mediaset/http-icy-mp3-a/vpid/bbc_radio_cambridge/format/pls.pls"</v>
      </c>
      <c r="M2108" t="e">
        <f>VLOOKUP(A2108,logos!$A$2:$A$10004,1,FALSE)</f>
        <v>#N/A</v>
      </c>
    </row>
    <row r="2109" spans="1:13" hidden="1" x14ac:dyDescent="0.55000000000000004">
      <c r="A2109" t="s">
        <v>126</v>
      </c>
      <c r="B2109" t="s">
        <v>1663</v>
      </c>
      <c r="C2109" t="s">
        <v>5406</v>
      </c>
      <c r="E2109" t="s">
        <v>6060</v>
      </c>
      <c r="F2109" t="str">
        <f t="shared" si="32"/>
        <v>"C:\Program Files\VideoLAN\VLC\vlc.exe" "http://open.live.bbc.co.uk/mediaselector/5/select/version/2.0/mediaset/http-icy-mp3-a/vpid/bbc_radio_cornwall/format/pls.pls"</v>
      </c>
      <c r="M2109" t="str">
        <f>VLOOKUP(A2109,logos!$A$2:$A$10004,1,FALSE)</f>
        <v>BBC Radio Cornwall</v>
      </c>
    </row>
    <row r="2110" spans="1:13" hidden="1" x14ac:dyDescent="0.55000000000000004">
      <c r="A2110" t="s">
        <v>2847</v>
      </c>
      <c r="B2110" t="s">
        <v>1663</v>
      </c>
      <c r="C2110" t="s">
        <v>5407</v>
      </c>
      <c r="E2110" t="s">
        <v>6060</v>
      </c>
      <c r="F2110" t="str">
        <f t="shared" si="32"/>
        <v>"C:\Program Files\VideoLAN\VLC\vlc.exe" "http://open.live.bbc.co.uk/mediaselector/5/select/version/2.0/mediaset/http-icy-mp3-a/vpid/bbc_radio_cumbria/format/pls.pls"</v>
      </c>
      <c r="M2110" t="str">
        <f>VLOOKUP(A2110,logos!$A$2:$A$10004,1,FALSE)</f>
        <v>BBC Radio Cumbria (FM)</v>
      </c>
    </row>
    <row r="2111" spans="1:13" hidden="1" x14ac:dyDescent="0.55000000000000004">
      <c r="A2111" t="s">
        <v>2848</v>
      </c>
      <c r="B2111" t="s">
        <v>1663</v>
      </c>
      <c r="C2111" t="s">
        <v>5408</v>
      </c>
      <c r="E2111" t="s">
        <v>6060</v>
      </c>
      <c r="F2111" t="str">
        <f t="shared" si="32"/>
        <v>"C:\Program Files\VideoLAN\VLC\vlc.exe" "http://open.live.bbc.co.uk/mediaselector/5/select/version/2.0/mediaset/http-icy-mp3-a/vpid/bbc_radio_cymru/format/pls.pls"</v>
      </c>
      <c r="M2111" t="e">
        <f>VLOOKUP(A2111,logos!$A$2:$A$10004,1,FALSE)</f>
        <v>#N/A</v>
      </c>
    </row>
    <row r="2112" spans="1:13" hidden="1" x14ac:dyDescent="0.55000000000000004">
      <c r="A2112" t="s">
        <v>132</v>
      </c>
      <c r="B2112" t="s">
        <v>1663</v>
      </c>
      <c r="C2112" t="s">
        <v>5409</v>
      </c>
      <c r="E2112" t="s">
        <v>6060</v>
      </c>
      <c r="F2112" t="str">
        <f t="shared" si="32"/>
        <v>"C:\Program Files\VideoLAN\VLC\vlc.exe" "http://open.live.bbc.co.uk/mediaselector/5/select/mediaset/http-icy-mp3-a/format/pls/vpid/bbc_radio_cymru_2.pls"</v>
      </c>
      <c r="M2112" t="str">
        <f>VLOOKUP(A2112,logos!$A$2:$A$10004,1,FALSE)</f>
        <v>BBC Radio Cymru 2</v>
      </c>
    </row>
    <row r="2113" spans="1:13" hidden="1" x14ac:dyDescent="0.55000000000000004">
      <c r="A2113" t="s">
        <v>2849</v>
      </c>
      <c r="B2113" t="s">
        <v>1663</v>
      </c>
      <c r="C2113" t="s">
        <v>5410</v>
      </c>
      <c r="E2113" t="s">
        <v>6060</v>
      </c>
      <c r="F2113" t="str">
        <f t="shared" si="32"/>
        <v>"C:\Program Files\VideoLAN\VLC\vlc.exe" "http://open.live.bbc.co.uk/mediaselector/5/select/version/2.0/mediaset/http-icy-mp3-a/vpid/bbc_radio_derby/format/pls.pls"</v>
      </c>
      <c r="M2113" t="e">
        <f>VLOOKUP(A2113,logos!$A$2:$A$10004,1,FALSE)</f>
        <v>#N/A</v>
      </c>
    </row>
    <row r="2114" spans="1:13" hidden="1" x14ac:dyDescent="0.55000000000000004">
      <c r="A2114" t="s">
        <v>2850</v>
      </c>
      <c r="B2114" t="s">
        <v>1663</v>
      </c>
      <c r="C2114" t="s">
        <v>5411</v>
      </c>
      <c r="E2114" t="s">
        <v>6060</v>
      </c>
      <c r="F2114" t="str">
        <f t="shared" si="32"/>
        <v>"C:\Program Files\VideoLAN\VLC\vlc.exe" "http://open.live.bbc.co.uk/mediaselector/5/select/version/2.0/mediaset/http-icy-mp3-a/vpid/bbc_radio_devon/format/pls.pls"</v>
      </c>
      <c r="M2114" t="e">
        <f>VLOOKUP(A2114,logos!$A$2:$A$10004,1,FALSE)</f>
        <v>#N/A</v>
      </c>
    </row>
    <row r="2115" spans="1:13" hidden="1" x14ac:dyDescent="0.55000000000000004">
      <c r="A2115" t="s">
        <v>138</v>
      </c>
      <c r="B2115" t="s">
        <v>1663</v>
      </c>
      <c r="C2115" t="s">
        <v>5412</v>
      </c>
      <c r="E2115" t="s">
        <v>6060</v>
      </c>
      <c r="F2115" t="str">
        <f t="shared" ref="F2115:F2178" si="33">"""C:\Program Files\VideoLAN\VLC\vlc.exe"" """&amp;C2115&amp;""""</f>
        <v>"C:\Program Files\VideoLAN\VLC\vlc.exe" "http://open.live.bbc.co.uk/mediaselector/5/select/version/2.0/mediaset/http-icy-mp3-a/vpid/bbc_radio_foyle/format/pls.pls"</v>
      </c>
      <c r="M2115" t="str">
        <f>VLOOKUP(A2115,logos!$A$2:$A$10004,1,FALSE)</f>
        <v>BBC Radio Foyle</v>
      </c>
    </row>
    <row r="2116" spans="1:13" hidden="1" x14ac:dyDescent="0.55000000000000004">
      <c r="A2116" t="s">
        <v>140</v>
      </c>
      <c r="B2116" t="s">
        <v>1663</v>
      </c>
      <c r="C2116" t="s">
        <v>5413</v>
      </c>
      <c r="E2116" t="s">
        <v>6060</v>
      </c>
      <c r="F2116" t="str">
        <f t="shared" si="33"/>
        <v>"C:\Program Files\VideoLAN\VLC\vlc.exe" "http://open.live.bbc.co.uk/mediaselector/5/select/version/2.0/mediaset/http-icy-mp3-a/vpid/bbc_radio_gloucestershire/format/pls.pls"</v>
      </c>
      <c r="M2116" t="str">
        <f>VLOOKUP(A2116,logos!$A$2:$A$10004,1,FALSE)</f>
        <v>BBC Radio Gloucestershire</v>
      </c>
    </row>
    <row r="2117" spans="1:13" hidden="1" x14ac:dyDescent="0.55000000000000004">
      <c r="A2117" t="s">
        <v>2851</v>
      </c>
      <c r="B2117" t="s">
        <v>1663</v>
      </c>
      <c r="C2117" t="s">
        <v>5414</v>
      </c>
      <c r="E2117" t="s">
        <v>6060</v>
      </c>
      <c r="F2117" t="str">
        <f t="shared" si="33"/>
        <v>"C:\Program Files\VideoLAN\VLC\vlc.exe" "http://open.live.bbc.co.uk/mediaselector/5/select/version/2.0/mediaset/http-icy-mp3-a/vpid/bbc_radio_guernsey/format/pls.pls"</v>
      </c>
      <c r="M2117" t="e">
        <f>VLOOKUP(A2117,logos!$A$2:$A$10004,1,FALSE)</f>
        <v>#N/A</v>
      </c>
    </row>
    <row r="2118" spans="1:13" hidden="1" x14ac:dyDescent="0.55000000000000004">
      <c r="A2118" t="s">
        <v>2852</v>
      </c>
      <c r="B2118" t="s">
        <v>1663</v>
      </c>
      <c r="C2118" t="s">
        <v>5415</v>
      </c>
      <c r="E2118" t="s">
        <v>6060</v>
      </c>
      <c r="F2118" t="str">
        <f t="shared" si="33"/>
        <v>"C:\Program Files\VideoLAN\VLC\vlc.exe" "http://open.live.bbc.co.uk/mediaselector/5/select/version/2.0/mediaset/http-icy-mp3-a/vpid/bbc_radio_humberside/format/pls.pls"</v>
      </c>
      <c r="M2118" t="e">
        <f>VLOOKUP(A2118,logos!$A$2:$A$10004,1,FALSE)</f>
        <v>#N/A</v>
      </c>
    </row>
    <row r="2119" spans="1:13" hidden="1" x14ac:dyDescent="0.55000000000000004">
      <c r="A2119" t="s">
        <v>2853</v>
      </c>
      <c r="B2119" t="s">
        <v>1663</v>
      </c>
      <c r="C2119" t="s">
        <v>5416</v>
      </c>
      <c r="E2119" t="s">
        <v>6060</v>
      </c>
      <c r="F2119" t="str">
        <f t="shared" si="33"/>
        <v>"C:\Program Files\VideoLAN\VLC\vlc.exe" "http://open.live.bbc.co.uk/mediaselector/5/select/version/2.0/mediaset/http-icy-mp3-a/vpid/bbc_radio_jersey/format/pls.pls"</v>
      </c>
      <c r="M2119" t="e">
        <f>VLOOKUP(A2119,logos!$A$2:$A$10004,1,FALSE)</f>
        <v>#N/A</v>
      </c>
    </row>
    <row r="2120" spans="1:13" hidden="1" x14ac:dyDescent="0.55000000000000004">
      <c r="A2120" t="s">
        <v>148</v>
      </c>
      <c r="B2120" t="s">
        <v>1663</v>
      </c>
      <c r="C2120" t="s">
        <v>5417</v>
      </c>
      <c r="E2120" t="s">
        <v>6060</v>
      </c>
      <c r="F2120" t="str">
        <f t="shared" si="33"/>
        <v>"C:\Program Files\VideoLAN\VLC\vlc.exe" "http://open.live.bbc.co.uk/mediaselector/5/select/version/2.0/mediaset/http-icy-mp3-a/vpid/bbc_radio_kent/format/pls.pls"</v>
      </c>
      <c r="M2120" t="str">
        <f>VLOOKUP(A2120,logos!$A$2:$A$10004,1,FALSE)</f>
        <v>BBC Radio Kent</v>
      </c>
    </row>
    <row r="2121" spans="1:13" hidden="1" x14ac:dyDescent="0.55000000000000004">
      <c r="A2121" t="s">
        <v>150</v>
      </c>
      <c r="B2121" t="s">
        <v>1663</v>
      </c>
      <c r="C2121" t="s">
        <v>5418</v>
      </c>
      <c r="E2121" t="s">
        <v>6060</v>
      </c>
      <c r="F2121" t="str">
        <f t="shared" si="33"/>
        <v>"C:\Program Files\VideoLAN\VLC\vlc.exe" "http://open.live.bbc.co.uk/mediaselector/5/select/version/2.0/mediaset/http-icy-mp3-a/vpid/bbc_radio_lancashire/format/pls.pls"</v>
      </c>
      <c r="M2121" t="str">
        <f>VLOOKUP(A2121,logos!$A$2:$A$10004,1,FALSE)</f>
        <v>BBC Radio Lancashire</v>
      </c>
    </row>
    <row r="2122" spans="1:13" hidden="1" x14ac:dyDescent="0.55000000000000004">
      <c r="A2122" t="s">
        <v>152</v>
      </c>
      <c r="B2122" t="s">
        <v>1663</v>
      </c>
      <c r="C2122" t="s">
        <v>5419</v>
      </c>
      <c r="E2122" t="s">
        <v>6060</v>
      </c>
      <c r="F2122" t="str">
        <f t="shared" si="33"/>
        <v>"C:\Program Files\VideoLAN\VLC\vlc.exe" "http://open.live.bbc.co.uk/mediaselector/5/select/version/2.0/mediaset/http-icy-mp3-a/vpid/bbc_radio_leeds/format/pls.pls"</v>
      </c>
      <c r="M2122" t="str">
        <f>VLOOKUP(A2122,logos!$A$2:$A$10004,1,FALSE)</f>
        <v>BBC Radio Leeds</v>
      </c>
    </row>
    <row r="2123" spans="1:13" hidden="1" x14ac:dyDescent="0.55000000000000004">
      <c r="A2123" t="s">
        <v>154</v>
      </c>
      <c r="B2123" t="s">
        <v>1663</v>
      </c>
      <c r="C2123" t="s">
        <v>5420</v>
      </c>
      <c r="E2123" t="s">
        <v>6060</v>
      </c>
      <c r="F2123" t="str">
        <f t="shared" si="33"/>
        <v>"C:\Program Files\VideoLAN\VLC\vlc.exe" "http://open.live.bbc.co.uk/mediaselector/5/select/version/2.0/mediaset/http-icy-mp3-a/vpid/bbc_radio_leicester/format/pls.pls"</v>
      </c>
      <c r="M2123" t="str">
        <f>VLOOKUP(A2123,logos!$A$2:$A$10004,1,FALSE)</f>
        <v>BBC Radio Leicester</v>
      </c>
    </row>
    <row r="2124" spans="1:13" hidden="1" x14ac:dyDescent="0.55000000000000004">
      <c r="A2124" t="s">
        <v>156</v>
      </c>
      <c r="B2124" t="s">
        <v>1663</v>
      </c>
      <c r="C2124" t="s">
        <v>5421</v>
      </c>
      <c r="E2124" t="s">
        <v>6060</v>
      </c>
      <c r="F2124" t="str">
        <f t="shared" si="33"/>
        <v>"C:\Program Files\VideoLAN\VLC\vlc.exe" "http://open.live.bbc.co.uk/mediaselector/5/select/version/2.0/mediaset/http-icy-mp3-a/vpid/bbc_radio_lincolnshire/format/pls.pls"</v>
      </c>
      <c r="M2124" t="str">
        <f>VLOOKUP(A2124,logos!$A$2:$A$10004,1,FALSE)</f>
        <v>BBC Radio Lincolnshire</v>
      </c>
    </row>
    <row r="2125" spans="1:13" hidden="1" x14ac:dyDescent="0.55000000000000004">
      <c r="A2125" t="s">
        <v>2854</v>
      </c>
      <c r="B2125" t="s">
        <v>1663</v>
      </c>
      <c r="C2125" t="s">
        <v>5422</v>
      </c>
      <c r="E2125" t="s">
        <v>6060</v>
      </c>
      <c r="F2125" t="str">
        <f t="shared" si="33"/>
        <v>"C:\Program Files\VideoLAN\VLC\vlc.exe" "http://open.live.bbc.co.uk/mediaselector/5/select/version/2.0/mediaset/http-icy-mp3-a/vpid/bbc_london/format/pls.pls"</v>
      </c>
      <c r="M2125" t="str">
        <f>VLOOKUP(A2125,logos!$A$2:$A$10004,1,FALSE)</f>
        <v>BBC Radio London (FM)</v>
      </c>
    </row>
    <row r="2126" spans="1:13" hidden="1" x14ac:dyDescent="0.55000000000000004">
      <c r="A2126" t="s">
        <v>2855</v>
      </c>
      <c r="B2126" t="s">
        <v>1663</v>
      </c>
      <c r="C2126" t="s">
        <v>5423</v>
      </c>
      <c r="E2126" t="s">
        <v>6060</v>
      </c>
      <c r="F2126" t="str">
        <f t="shared" si="33"/>
        <v>"C:\Program Files\VideoLAN\VLC\vlc.exe" "http://open.live.bbc.co.uk/mediaselector/5/select/version/2.0/mediaset/http-icy-mp3-a/vpid/bbc_radio_manchester/format/pls.pls"</v>
      </c>
      <c r="M2126" t="str">
        <f>VLOOKUP(A2126,logos!$A$2:$A$10004,1,FALSE)</f>
        <v>BBC Radio Manchester (DAB)</v>
      </c>
    </row>
    <row r="2127" spans="1:13" hidden="1" x14ac:dyDescent="0.55000000000000004">
      <c r="A2127" t="s">
        <v>162</v>
      </c>
      <c r="B2127" t="s">
        <v>1663</v>
      </c>
      <c r="C2127" t="s">
        <v>5424</v>
      </c>
      <c r="E2127" t="s">
        <v>6060</v>
      </c>
      <c r="F2127" t="str">
        <f t="shared" si="33"/>
        <v>"C:\Program Files\VideoLAN\VLC\vlc.exe" "http://open.live.bbc.co.uk/mediaselector/5/select/version/2.0/mediaset/http-icy-mp3-a/vpid/bbc_radio_merseyside/format/pls.pls"</v>
      </c>
      <c r="M2127" t="str">
        <f>VLOOKUP(A2127,logos!$A$2:$A$10004,1,FALSE)</f>
        <v>BBC Radio Merseyside</v>
      </c>
    </row>
    <row r="2128" spans="1:13" hidden="1" x14ac:dyDescent="0.55000000000000004">
      <c r="A2128" t="s">
        <v>164</v>
      </c>
      <c r="B2128" t="s">
        <v>1663</v>
      </c>
      <c r="C2128" t="s">
        <v>5425</v>
      </c>
      <c r="E2128" t="s">
        <v>6060</v>
      </c>
      <c r="F2128" t="str">
        <f t="shared" si="33"/>
        <v>"C:\Program Files\VideoLAN\VLC\vlc.exe" "http://open.live.bbc.co.uk/mediaselector/5/select/version/2.0/mediaset/http-icy-mp3-a/vpid/bbc_radio_nan_gaidheal/format/pls.pls"</v>
      </c>
      <c r="M2128" t="e">
        <f>VLOOKUP(A2128,logos!$A$2:$A$10004,1,FALSE)</f>
        <v>#N/A</v>
      </c>
    </row>
    <row r="2129" spans="1:13" hidden="1" x14ac:dyDescent="0.55000000000000004">
      <c r="A2129" t="s">
        <v>166</v>
      </c>
      <c r="B2129" t="s">
        <v>1663</v>
      </c>
      <c r="C2129" t="s">
        <v>5426</v>
      </c>
      <c r="E2129" t="s">
        <v>6060</v>
      </c>
      <c r="F2129" t="str">
        <f t="shared" si="33"/>
        <v>"C:\Program Files\VideoLAN\VLC\vlc.exe" "http://open.live.bbc.co.uk/mediaselector/5/select/version/2.0/mediaset/http-icy-mp3-a/vpid/bbc_radio_newcastle/format/pls.pls"</v>
      </c>
      <c r="M2129" t="str">
        <f>VLOOKUP(A2129,logos!$A$2:$A$10004,1,FALSE)</f>
        <v>BBC Radio Newcastle</v>
      </c>
    </row>
    <row r="2130" spans="1:13" hidden="1" x14ac:dyDescent="0.55000000000000004">
      <c r="A2130" t="s">
        <v>168</v>
      </c>
      <c r="B2130" t="s">
        <v>1663</v>
      </c>
      <c r="C2130" t="s">
        <v>5427</v>
      </c>
      <c r="E2130" t="s">
        <v>6060</v>
      </c>
      <c r="F2130" t="str">
        <f t="shared" si="33"/>
        <v>"C:\Program Files\VideoLAN\VLC\vlc.exe" "http://open.live.bbc.co.uk/mediaselector/5/select/version/2.0/mediaset/http-icy-mp3-a/vpid/bbc_radio_norfolk/format/pls.pls"</v>
      </c>
      <c r="M2130" t="str">
        <f>VLOOKUP(A2130,logos!$A$2:$A$10004,1,FALSE)</f>
        <v>BBC Radio Norfolk</v>
      </c>
    </row>
    <row r="2131" spans="1:13" hidden="1" x14ac:dyDescent="0.55000000000000004">
      <c r="A2131" t="s">
        <v>170</v>
      </c>
      <c r="B2131" t="s">
        <v>1663</v>
      </c>
      <c r="C2131" t="s">
        <v>5428</v>
      </c>
      <c r="E2131" t="s">
        <v>6060</v>
      </c>
      <c r="F2131" t="str">
        <f t="shared" si="33"/>
        <v>"C:\Program Files\VideoLAN\VLC\vlc.exe" "http://open.live.bbc.co.uk/mediaselector/5/select/version/2.0/mediaset/http-icy-mp3-a/vpid/bbc_radio_northampton/format/pls.pls"</v>
      </c>
      <c r="M2131" t="str">
        <f>VLOOKUP(A2131,logos!$A$2:$A$10004,1,FALSE)</f>
        <v>BBC Radio Northampton</v>
      </c>
    </row>
    <row r="2132" spans="1:13" hidden="1" x14ac:dyDescent="0.55000000000000004">
      <c r="A2132" t="s">
        <v>172</v>
      </c>
      <c r="B2132" t="s">
        <v>1663</v>
      </c>
      <c r="C2132" t="s">
        <v>5429</v>
      </c>
      <c r="E2132" t="s">
        <v>6060</v>
      </c>
      <c r="F2132" t="str">
        <f t="shared" si="33"/>
        <v>"C:\Program Files\VideoLAN\VLC\vlc.exe" "http://open.live.bbc.co.uk/mediaselector/5/select/version/2.0/mediaset/http-icy-mp3-a/vpid/bbc_radio_nottingham/format/pls.pls"</v>
      </c>
      <c r="M2132" t="str">
        <f>VLOOKUP(A2132,logos!$A$2:$A$10004,1,FALSE)</f>
        <v>BBC Radio Nottingham</v>
      </c>
    </row>
    <row r="2133" spans="1:13" hidden="1" x14ac:dyDescent="0.55000000000000004">
      <c r="A2133" t="s">
        <v>174</v>
      </c>
      <c r="B2133" t="s">
        <v>1663</v>
      </c>
      <c r="C2133" t="s">
        <v>5430</v>
      </c>
      <c r="E2133" t="s">
        <v>6060</v>
      </c>
      <c r="F2133" t="str">
        <f t="shared" si="33"/>
        <v>"C:\Program Files\VideoLAN\VLC\vlc.exe" "http://open.live.bbc.co.uk/mediaselector/5/select/mediaset/http-icy-mp3-a/format/pls/vpid/bbc_radio_orkney.pls"</v>
      </c>
      <c r="M2133" t="str">
        <f>VLOOKUP(A2133,logos!$A$2:$A$10004,1,FALSE)</f>
        <v>BBC Radio Orkney</v>
      </c>
    </row>
    <row r="2134" spans="1:13" hidden="1" x14ac:dyDescent="0.55000000000000004">
      <c r="A2134" t="s">
        <v>176</v>
      </c>
      <c r="B2134" t="s">
        <v>1663</v>
      </c>
      <c r="C2134" t="s">
        <v>5431</v>
      </c>
      <c r="E2134" t="s">
        <v>6060</v>
      </c>
      <c r="F2134" t="str">
        <f t="shared" si="33"/>
        <v>"C:\Program Files\VideoLAN\VLC\vlc.exe" "http://open.live.bbc.co.uk/mediaselector/5/select/version/2.0/mediaset/http-icy-mp3-a/vpid/bbc_radio_oxford/format/pls.pls"</v>
      </c>
      <c r="M2134" t="str">
        <f>VLOOKUP(A2134,logos!$A$2:$A$10004,1,FALSE)</f>
        <v>BBC Radio Oxford</v>
      </c>
    </row>
    <row r="2135" spans="1:13" hidden="1" x14ac:dyDescent="0.55000000000000004">
      <c r="A2135" t="s">
        <v>2856</v>
      </c>
      <c r="B2135" t="s">
        <v>1663</v>
      </c>
      <c r="C2135" t="s">
        <v>5432</v>
      </c>
      <c r="E2135" t="s">
        <v>6060</v>
      </c>
      <c r="F2135" t="str">
        <f t="shared" si="33"/>
        <v>"C:\Program Files\VideoLAN\VLC\vlc.exe" "http://open.live.bbc.co.uk/mediaselector/5/select/version/2.0/mediaset/http-icy-mp3-a/vpid/bbc_radio_scotland_fm/format/pls.pls"</v>
      </c>
      <c r="M2135" t="e">
        <f>VLOOKUP(A2135,logos!$A$2:$A$10004,1,FALSE)</f>
        <v>#N/A</v>
      </c>
    </row>
    <row r="2136" spans="1:13" hidden="1" x14ac:dyDescent="0.55000000000000004">
      <c r="A2136" t="s">
        <v>2857</v>
      </c>
      <c r="B2136" t="s">
        <v>1663</v>
      </c>
      <c r="C2136" t="s">
        <v>5433</v>
      </c>
      <c r="E2136" t="s">
        <v>6060</v>
      </c>
      <c r="F2136" t="str">
        <f t="shared" si="33"/>
        <v>"C:\Program Files\VideoLAN\VLC\vlc.exe" "http://open.live.bbc.co.uk/mediaselector/5/select/version/2.0/mediaset/http-icy-mp3-a/vpid/bbc_radio_scotland_mw/format/pls.pls"</v>
      </c>
      <c r="M2136" t="e">
        <f>VLOOKUP(A2136,logos!$A$2:$A$10004,1,FALSE)</f>
        <v>#N/A</v>
      </c>
    </row>
    <row r="2137" spans="1:13" hidden="1" x14ac:dyDescent="0.55000000000000004">
      <c r="A2137" t="s">
        <v>182</v>
      </c>
      <c r="B2137" t="s">
        <v>1663</v>
      </c>
      <c r="C2137" t="s">
        <v>5434</v>
      </c>
      <c r="E2137" t="s">
        <v>6060</v>
      </c>
      <c r="F2137" t="str">
        <f t="shared" si="33"/>
        <v>"C:\Program Files\VideoLAN\VLC\vlc.exe" "http://open.live.bbc.co.uk/mediaselector/5/select/version/2.0/mediaset/http-icy-mp3-a/vpid/bbc_radio_sheffield/format/pls.pls"</v>
      </c>
      <c r="M2137" t="str">
        <f>VLOOKUP(A2137,logos!$A$2:$A$10004,1,FALSE)</f>
        <v>BBC Radio Sheffield</v>
      </c>
    </row>
    <row r="2138" spans="1:13" hidden="1" x14ac:dyDescent="0.55000000000000004">
      <c r="A2138" t="s">
        <v>184</v>
      </c>
      <c r="B2138" t="s">
        <v>1663</v>
      </c>
      <c r="C2138" t="s">
        <v>5435</v>
      </c>
      <c r="E2138" t="s">
        <v>6060</v>
      </c>
      <c r="F2138" t="str">
        <f t="shared" si="33"/>
        <v>"C:\Program Files\VideoLAN\VLC\vlc.exe" "http://www.radiofeeds.net/playlists/bbcradioshetland.pls"</v>
      </c>
      <c r="M2138" t="str">
        <f>VLOOKUP(A2138,logos!$A$2:$A$10004,1,FALSE)</f>
        <v>BBC Radio Shetland</v>
      </c>
    </row>
    <row r="2139" spans="1:13" hidden="1" x14ac:dyDescent="0.55000000000000004">
      <c r="A2139" t="s">
        <v>186</v>
      </c>
      <c r="B2139" t="s">
        <v>1663</v>
      </c>
      <c r="C2139" t="s">
        <v>5436</v>
      </c>
      <c r="E2139" t="s">
        <v>6060</v>
      </c>
      <c r="F2139" t="str">
        <f t="shared" si="33"/>
        <v>"C:\Program Files\VideoLAN\VLC\vlc.exe" "http://open.live.bbc.co.uk/mediaselector/5/select/version/2.0/mediaset/http-icy-mp3-a/vpid/bbc_radio_shropshire/format/pls.pls"</v>
      </c>
      <c r="M2139" t="str">
        <f>VLOOKUP(A2139,logos!$A$2:$A$10004,1,FALSE)</f>
        <v>BBC Radio Shropshire</v>
      </c>
    </row>
    <row r="2140" spans="1:13" hidden="1" x14ac:dyDescent="0.55000000000000004">
      <c r="A2140" t="s">
        <v>2858</v>
      </c>
      <c r="B2140" t="s">
        <v>1663</v>
      </c>
      <c r="C2140" t="s">
        <v>5437</v>
      </c>
      <c r="E2140" t="s">
        <v>6060</v>
      </c>
      <c r="F2140" t="str">
        <f t="shared" si="33"/>
        <v>"C:\Program Files\VideoLAN\VLC\vlc.exe" "http://open.live.bbc.co.uk/mediaselector/5/select/version/2.0/mediaset/http-icy-mp3-a/vpid/bbc_radio_solent/format/pls.pls"</v>
      </c>
      <c r="M2140" t="e">
        <f>VLOOKUP(A2140,logos!$A$2:$A$10004,1,FALSE)</f>
        <v>#N/A</v>
      </c>
    </row>
    <row r="2141" spans="1:13" hidden="1" x14ac:dyDescent="0.55000000000000004">
      <c r="A2141" t="s">
        <v>2859</v>
      </c>
      <c r="B2141" t="s">
        <v>1663</v>
      </c>
      <c r="C2141" t="s">
        <v>5438</v>
      </c>
      <c r="E2141" t="s">
        <v>6060</v>
      </c>
      <c r="F2141" t="str">
        <f t="shared" si="33"/>
        <v>"C:\Program Files\VideoLAN\VLC\vlc.exe" "http://open.live.bbc.co.uk/mediaselector/5/select/version/2.0/mediaset/http-icy-mp3-a/vpid/bbc_radio_solent_west_dorset/format/pls.pls"</v>
      </c>
      <c r="M2141" t="e">
        <f>VLOOKUP(A2141,logos!$A$2:$A$10004,1,FALSE)</f>
        <v>#N/A</v>
      </c>
    </row>
    <row r="2142" spans="1:13" hidden="1" x14ac:dyDescent="0.55000000000000004">
      <c r="A2142" t="s">
        <v>192</v>
      </c>
      <c r="B2142" t="s">
        <v>1663</v>
      </c>
      <c r="C2142" t="s">
        <v>5439</v>
      </c>
      <c r="E2142" t="s">
        <v>6060</v>
      </c>
      <c r="F2142" t="str">
        <f t="shared" si="33"/>
        <v>"C:\Program Files\VideoLAN\VLC\vlc.exe" "http://open.live.bbc.co.uk/mediaselector/5/select/version/2.0/mediaset/http-icy-mp3-a/vpid/bbc_radio_somerset_sound/format/pls.pls"</v>
      </c>
      <c r="M2142" t="str">
        <f>VLOOKUP(A2142,logos!$A$2:$A$10004,1,FALSE)</f>
        <v>BBC Radio Somerset</v>
      </c>
    </row>
    <row r="2143" spans="1:13" hidden="1" x14ac:dyDescent="0.55000000000000004">
      <c r="A2143" t="s">
        <v>194</v>
      </c>
      <c r="B2143" t="s">
        <v>1663</v>
      </c>
      <c r="C2143" t="s">
        <v>5440</v>
      </c>
      <c r="E2143" t="s">
        <v>6060</v>
      </c>
      <c r="F2143" t="str">
        <f t="shared" si="33"/>
        <v>"C:\Program Files\VideoLAN\VLC\vlc.exe" "http://open.live.bbc.co.uk/mediaselector/5/select/version/2.0/mediaset/http-icy-mp3-a/vpid/bbc_radio_stoke/format/pls.pls"</v>
      </c>
      <c r="M2143" t="str">
        <f>VLOOKUP(A2143,logos!$A$2:$A$10004,1,FALSE)</f>
        <v>BBC Radio Stoke</v>
      </c>
    </row>
    <row r="2144" spans="1:13" hidden="1" x14ac:dyDescent="0.55000000000000004">
      <c r="A2144" t="s">
        <v>196</v>
      </c>
      <c r="B2144" t="s">
        <v>1663</v>
      </c>
      <c r="C2144" t="s">
        <v>5441</v>
      </c>
      <c r="E2144" t="s">
        <v>6060</v>
      </c>
      <c r="F2144" t="str">
        <f t="shared" si="33"/>
        <v>"C:\Program Files\VideoLAN\VLC\vlc.exe" "http://open.live.bbc.co.uk/mediaselector/5/select/version/2.0/mediaset/http-icy-mp3-a/vpid/bbc_radio_suffolk/format/pls.pls"</v>
      </c>
      <c r="M2144" t="str">
        <f>VLOOKUP(A2144,logos!$A$2:$A$10004,1,FALSE)</f>
        <v>BBC Radio Suffolk</v>
      </c>
    </row>
    <row r="2145" spans="1:13" hidden="1" x14ac:dyDescent="0.55000000000000004">
      <c r="A2145" t="s">
        <v>198</v>
      </c>
      <c r="B2145" t="s">
        <v>1663</v>
      </c>
      <c r="C2145" t="s">
        <v>5442</v>
      </c>
      <c r="E2145" t="s">
        <v>6060</v>
      </c>
      <c r="F2145" t="str">
        <f t="shared" si="33"/>
        <v>"C:\Program Files\VideoLAN\VLC\vlc.exe" "http://open.live.bbc.co.uk/mediaselector/5/select/version/2.0/mediaset/http-icy-mp3-a/vpid/bbc_radio_surrey/format/pls.pls"</v>
      </c>
      <c r="M2145" t="str">
        <f>VLOOKUP(A2145,logos!$A$2:$A$10004,1,FALSE)</f>
        <v>BBC Radio Surrey</v>
      </c>
    </row>
    <row r="2146" spans="1:13" hidden="1" x14ac:dyDescent="0.55000000000000004">
      <c r="A2146" t="s">
        <v>200</v>
      </c>
      <c r="B2146" t="s">
        <v>1663</v>
      </c>
      <c r="C2146" t="s">
        <v>5443</v>
      </c>
      <c r="E2146" t="s">
        <v>6060</v>
      </c>
      <c r="F2146" t="str">
        <f t="shared" si="33"/>
        <v>"C:\Program Files\VideoLAN\VLC\vlc.exe" "http://open.live.bbc.co.uk/mediaselector/5/select/version/2.0/mediaset/http-icy-mp3-a/vpid/bbc_radio_sussex/format/pls.pls"</v>
      </c>
      <c r="M2146" t="str">
        <f>VLOOKUP(A2146,logos!$A$2:$A$10004,1,FALSE)</f>
        <v>BBC Radio Sussex</v>
      </c>
    </row>
    <row r="2147" spans="1:13" hidden="1" x14ac:dyDescent="0.55000000000000004">
      <c r="A2147" t="s">
        <v>202</v>
      </c>
      <c r="B2147" t="s">
        <v>1663</v>
      </c>
      <c r="C2147" t="s">
        <v>5444</v>
      </c>
      <c r="E2147" t="s">
        <v>6060</v>
      </c>
      <c r="F2147" t="str">
        <f t="shared" si="33"/>
        <v>"C:\Program Files\VideoLAN\VLC\vlc.exe" "http://open.live.bbc.co.uk/mediaselector/5/select/version/2.0/mediaset/http-icy-mp3-a/vpid/bbc_tees/format/pls.pls"</v>
      </c>
      <c r="M2147" t="str">
        <f>VLOOKUP(A2147,logos!$A$2:$A$10004,1,FALSE)</f>
        <v>BBC Radio Tees</v>
      </c>
    </row>
    <row r="2148" spans="1:13" hidden="1" x14ac:dyDescent="0.55000000000000004">
      <c r="A2148" t="s">
        <v>204</v>
      </c>
      <c r="B2148" t="s">
        <v>1663</v>
      </c>
      <c r="C2148" t="s">
        <v>5445</v>
      </c>
      <c r="E2148" t="s">
        <v>6060</v>
      </c>
      <c r="F2148" t="str">
        <f t="shared" si="33"/>
        <v>"C:\Program Files\VideoLAN\VLC\vlc.exe" "http://open.live.bbc.co.uk/mediaselector/5/select/version/2.0/mediaset/http-icy-mp3-a/vpid/bbc_radio_ulster/format/pls.pls"</v>
      </c>
      <c r="M2148" t="str">
        <f>VLOOKUP(A2148,logos!$A$2:$A$10004,1,FALSE)</f>
        <v>BBC Radio Ulster</v>
      </c>
    </row>
    <row r="2149" spans="1:13" hidden="1" x14ac:dyDescent="0.55000000000000004">
      <c r="A2149" t="s">
        <v>2860</v>
      </c>
      <c r="B2149" t="s">
        <v>1663</v>
      </c>
      <c r="C2149" t="s">
        <v>5446</v>
      </c>
      <c r="E2149" t="s">
        <v>6060</v>
      </c>
      <c r="F2149" t="str">
        <f t="shared" si="33"/>
        <v>"C:\Program Files\VideoLAN\VLC\vlc.exe" "http://open.live.bbc.co.uk/mediaselector/5/select/version/2.0/mediaset/http-icy-mp3-a/vpid/bbc_radio_wales_fm/format/pls.pls"</v>
      </c>
      <c r="M2149" t="e">
        <f>VLOOKUP(A2149,logos!$A$2:$A$10004,1,FALSE)</f>
        <v>#N/A</v>
      </c>
    </row>
    <row r="2150" spans="1:13" hidden="1" x14ac:dyDescent="0.55000000000000004">
      <c r="A2150" t="s">
        <v>2861</v>
      </c>
      <c r="B2150" t="s">
        <v>1663</v>
      </c>
      <c r="C2150" t="s">
        <v>5447</v>
      </c>
      <c r="E2150" t="s">
        <v>6060</v>
      </c>
      <c r="F2150" t="str">
        <f t="shared" si="33"/>
        <v>"C:\Program Files\VideoLAN\VLC\vlc.exe" "http://open.live.bbc.co.uk/mediaselector/5/select/version/2.0/mediaset/http-icy-mp3-a/vpid/bbc_radio_wiltshire/format/pls.pls"</v>
      </c>
      <c r="M2150" t="e">
        <f>VLOOKUP(A2150,logos!$A$2:$A$10004,1,FALSE)</f>
        <v>#N/A</v>
      </c>
    </row>
    <row r="2151" spans="1:13" hidden="1" x14ac:dyDescent="0.55000000000000004">
      <c r="A2151" t="s">
        <v>210</v>
      </c>
      <c r="B2151" t="s">
        <v>1663</v>
      </c>
      <c r="C2151" t="s">
        <v>5448</v>
      </c>
      <c r="E2151" t="s">
        <v>6060</v>
      </c>
      <c r="F2151" t="str">
        <f t="shared" si="33"/>
        <v>"C:\Program Files\VideoLAN\VLC\vlc.exe" "http://open.live.bbc.co.uk/mediaselector/5/select/version/2.0/mediaset/http-icy-mp3-a/vpid/bbc_wm/format/pls.pls"</v>
      </c>
      <c r="M2151" t="str">
        <f>VLOOKUP(A2151,logos!$A$2:$A$10004,1,FALSE)</f>
        <v>BBC Radio WM</v>
      </c>
    </row>
    <row r="2152" spans="1:13" hidden="1" x14ac:dyDescent="0.55000000000000004">
      <c r="A2152" t="s">
        <v>2862</v>
      </c>
      <c r="B2152" t="s">
        <v>1663</v>
      </c>
      <c r="C2152" t="s">
        <v>5449</v>
      </c>
      <c r="E2152" t="s">
        <v>6060</v>
      </c>
      <c r="F2152" t="str">
        <f t="shared" si="33"/>
        <v>"C:\Program Files\VideoLAN\VLC\vlc.exe" "http://open.live.bbc.co.uk/mediaselector/5/select/version/2.0/mediaset/http-icy-mp3-a/vpid/bbc_radio_york/format/pls.pls"</v>
      </c>
      <c r="M2152" t="e">
        <f>VLOOKUP(A2152,logos!$A$2:$A$10004,1,FALSE)</f>
        <v>#N/A</v>
      </c>
    </row>
    <row r="2153" spans="1:13" hidden="1" x14ac:dyDescent="0.55000000000000004">
      <c r="A2153" t="s">
        <v>214</v>
      </c>
      <c r="B2153" t="s">
        <v>1663</v>
      </c>
      <c r="C2153" t="s">
        <v>5450</v>
      </c>
      <c r="E2153" t="s">
        <v>6060</v>
      </c>
      <c r="F2153" t="str">
        <f t="shared" si="33"/>
        <v>"C:\Program Files\VideoLAN\VLC\vlc.exe" "http://open.live.bbc.co.uk/mediaselector/5/select/version/2.0/mediaset/http-icy-mp3-a/vpid/bbc_three_counties_radio/format/pls.pls"</v>
      </c>
      <c r="M2153" t="str">
        <f>VLOOKUP(A2153,logos!$A$2:$A$10004,1,FALSE)</f>
        <v>BBC Three Counties Radio</v>
      </c>
    </row>
    <row r="2154" spans="1:13" hidden="1" x14ac:dyDescent="0.55000000000000004">
      <c r="A2154" t="s">
        <v>216</v>
      </c>
      <c r="B2154" t="s">
        <v>1665</v>
      </c>
      <c r="C2154" t="s">
        <v>5451</v>
      </c>
      <c r="E2154" t="s">
        <v>6060</v>
      </c>
      <c r="F2154" t="str">
        <f t="shared" si="33"/>
        <v>"C:\Program Files\VideoLAN\VLC\vlc.exe" "http://wsdownload.bbc.co.uk/worldservice/meta/live/shoutcast/mp3/eieuk.pls"</v>
      </c>
      <c r="M2154" t="str">
        <f>VLOOKUP(A2154,logos!$A$2:$A$10004,1,FALSE)</f>
        <v>BBC World Service</v>
      </c>
    </row>
    <row r="2155" spans="1:13" hidden="1" x14ac:dyDescent="0.55000000000000004">
      <c r="A2155" t="s">
        <v>219</v>
      </c>
      <c r="B2155" t="s">
        <v>1664</v>
      </c>
      <c r="C2155" t="s">
        <v>5452</v>
      </c>
      <c r="E2155" t="s">
        <v>6060</v>
      </c>
      <c r="F2155" t="str">
        <f t="shared" si="33"/>
        <v>"C:\Program Files\VideoLAN\VLC\vlc.exe" "http://stream6.hippynet.co.uk:8001/streamLQ.m3u"</v>
      </c>
      <c r="M2155" t="e">
        <f>VLOOKUP(A2155,logos!$A$2:$A$10004,1,FALSE)</f>
        <v>#N/A</v>
      </c>
    </row>
    <row r="2156" spans="1:13" hidden="1" x14ac:dyDescent="0.55000000000000004">
      <c r="A2156" t="s">
        <v>219</v>
      </c>
      <c r="B2156" t="s">
        <v>1663</v>
      </c>
      <c r="C2156" t="s">
        <v>5453</v>
      </c>
      <c r="E2156" t="s">
        <v>6060</v>
      </c>
      <c r="F2156" t="str">
        <f t="shared" si="33"/>
        <v>"C:\Program Files\VideoLAN\VLC\vlc.exe" "http://stream6.hippynet.co.uk:8001/stream.m3u"</v>
      </c>
      <c r="M2156" t="e">
        <f>VLOOKUP(A2156,logos!$A$2:$A$10004,1,FALSE)</f>
        <v>#N/A</v>
      </c>
    </row>
    <row r="2157" spans="1:13" hidden="1" x14ac:dyDescent="0.55000000000000004">
      <c r="A2157" t="s">
        <v>223</v>
      </c>
      <c r="B2157" t="s">
        <v>1663</v>
      </c>
      <c r="C2157" t="s">
        <v>5454</v>
      </c>
      <c r="E2157" t="s">
        <v>6060</v>
      </c>
      <c r="F2157" t="str">
        <f t="shared" si="33"/>
        <v>"C:\Program Files\VideoLAN\VLC\vlc.exe" "http://bewaretheradio.out.airtime.pro:8000/bewaretheradio_b.m3u"</v>
      </c>
      <c r="M2157" t="e">
        <f>VLOOKUP(A2157,logos!$A$2:$A$10004,1,FALSE)</f>
        <v>#N/A</v>
      </c>
    </row>
    <row r="2158" spans="1:13" hidden="1" x14ac:dyDescent="0.55000000000000004">
      <c r="A2158" t="s">
        <v>223</v>
      </c>
      <c r="B2158" t="s">
        <v>1669</v>
      </c>
      <c r="C2158" t="s">
        <v>5455</v>
      </c>
      <c r="E2158" t="s">
        <v>6060</v>
      </c>
      <c r="F2158" t="str">
        <f t="shared" si="33"/>
        <v>"C:\Program Files\VideoLAN\VLC\vlc.exe" "http://bewaretheradio.out.airtime.pro:8000/bewaretheradio_a.m3u"</v>
      </c>
      <c r="M2158" t="e">
        <f>VLOOKUP(A2158,logos!$A$2:$A$10004,1,FALSE)</f>
        <v>#N/A</v>
      </c>
    </row>
    <row r="2159" spans="1:13" hidden="1" x14ac:dyDescent="0.55000000000000004">
      <c r="A2159" t="s">
        <v>226</v>
      </c>
      <c r="B2159" t="s">
        <v>1663</v>
      </c>
      <c r="C2159" t="s">
        <v>5456</v>
      </c>
      <c r="E2159" t="s">
        <v>6060</v>
      </c>
      <c r="F2159" t="str">
        <f t="shared" si="33"/>
        <v>"C:\Program Files\VideoLAN\VLC\vlc.exe" "http://stream.beyondradio.co.uk:8000/med.m3u"</v>
      </c>
      <c r="M2159" t="str">
        <f>VLOOKUP(A2159,logos!$A$2:$A$10004,1,FALSE)</f>
        <v>Beyond Radio</v>
      </c>
    </row>
    <row r="2160" spans="1:13" hidden="1" x14ac:dyDescent="0.55000000000000004">
      <c r="A2160" t="s">
        <v>2616</v>
      </c>
      <c r="B2160" t="s">
        <v>1664</v>
      </c>
      <c r="C2160" t="s">
        <v>5457</v>
      </c>
      <c r="E2160" t="s">
        <v>6060</v>
      </c>
      <c r="F2160" t="str">
        <f t="shared" si="33"/>
        <v>"C:\Program Files\VideoLAN\VLC\vlc.exe" "http://icy-e-01.sharp-stream.com/ssvcbfbs11.mp3.m3u"</v>
      </c>
      <c r="M2160" t="e">
        <f>VLOOKUP(A2160,logos!$A$2:$A$10004,1,FALSE)</f>
        <v>#N/A</v>
      </c>
    </row>
    <row r="2161" spans="1:13" hidden="1" x14ac:dyDescent="0.55000000000000004">
      <c r="A2161" t="s">
        <v>2617</v>
      </c>
      <c r="B2161" t="s">
        <v>1663</v>
      </c>
      <c r="C2161" t="s">
        <v>5458</v>
      </c>
      <c r="E2161" t="s">
        <v>6060</v>
      </c>
      <c r="F2161" t="str">
        <f t="shared" si="33"/>
        <v>"C:\Program Files\VideoLAN\VLC\vlc.exe" "http://icy-e-01.sharp-stream.com/ssvcbfbs1.mp3.m3u"</v>
      </c>
      <c r="M2161" t="e">
        <f>VLOOKUP(A2161,logos!$A$2:$A$10004,1,FALSE)</f>
        <v>#N/A</v>
      </c>
    </row>
    <row r="2162" spans="1:13" hidden="1" x14ac:dyDescent="0.55000000000000004">
      <c r="A2162" t="s">
        <v>233</v>
      </c>
      <c r="B2162" t="s">
        <v>1663</v>
      </c>
      <c r="C2162" t="s">
        <v>5459</v>
      </c>
      <c r="E2162" t="s">
        <v>6060</v>
      </c>
      <c r="F2162" t="str">
        <f t="shared" si="33"/>
        <v>"C:\Program Files\VideoLAN\VLC\vlc.exe" "http://icy-e-01.sharp-stream.com/ssvcbfbs20.mp3.m3u"</v>
      </c>
      <c r="M2162" t="e">
        <f>VLOOKUP(A2162,logos!$A$2:$A$10004,1,FALSE)</f>
        <v>#N/A</v>
      </c>
    </row>
    <row r="2163" spans="1:13" hidden="1" x14ac:dyDescent="0.55000000000000004">
      <c r="A2163" t="s">
        <v>235</v>
      </c>
      <c r="B2163" t="s">
        <v>1663</v>
      </c>
      <c r="C2163" t="s">
        <v>5460</v>
      </c>
      <c r="E2163" t="s">
        <v>6060</v>
      </c>
      <c r="F2163" t="str">
        <f t="shared" si="33"/>
        <v>"C:\Program Files\VideoLAN\VLC\vlc.exe" "http://icy-e-01.sharp-stream.com/ssvcbfbs24.mp3.m3u"</v>
      </c>
      <c r="M2163" t="e">
        <f>VLOOKUP(A2163,logos!$A$2:$A$10004,1,FALSE)</f>
        <v>#N/A</v>
      </c>
    </row>
    <row r="2164" spans="1:13" hidden="1" x14ac:dyDescent="0.55000000000000004">
      <c r="A2164" t="s">
        <v>237</v>
      </c>
      <c r="B2164" t="s">
        <v>1663</v>
      </c>
      <c r="C2164" t="s">
        <v>5461</v>
      </c>
      <c r="E2164" t="s">
        <v>6060</v>
      </c>
      <c r="F2164" t="str">
        <f t="shared" si="33"/>
        <v>"C:\Program Files\VideoLAN\VLC\vlc.exe" "http://icy-e-01.sharp-stream.com/ssvcbfbs22.mp3.m3u"</v>
      </c>
      <c r="M2164" t="e">
        <f>VLOOKUP(A2164,logos!$A$2:$A$10004,1,FALSE)</f>
        <v>#N/A</v>
      </c>
    </row>
    <row r="2165" spans="1:13" hidden="1" x14ac:dyDescent="0.55000000000000004">
      <c r="A2165" t="s">
        <v>239</v>
      </c>
      <c r="B2165" t="s">
        <v>1663</v>
      </c>
      <c r="C2165" t="s">
        <v>5462</v>
      </c>
      <c r="E2165" t="s">
        <v>6060</v>
      </c>
      <c r="F2165" t="str">
        <f t="shared" si="33"/>
        <v>"C:\Program Files\VideoLAN\VLC\vlc.exe" "http://icy-e-01.sharp-stream.com/ssvcbfbs3.mp3.m3u"</v>
      </c>
      <c r="M2165" t="e">
        <f>VLOOKUP(A2165,logos!$A$2:$A$10004,1,FALSE)</f>
        <v>#N/A</v>
      </c>
    </row>
    <row r="2166" spans="1:13" hidden="1" x14ac:dyDescent="0.55000000000000004">
      <c r="A2166" t="s">
        <v>241</v>
      </c>
      <c r="B2166" t="s">
        <v>1663</v>
      </c>
      <c r="C2166" t="s">
        <v>5463</v>
      </c>
      <c r="E2166" t="s">
        <v>6060</v>
      </c>
      <c r="F2166" t="str">
        <f t="shared" si="33"/>
        <v>"C:\Program Files\VideoLAN\VLC\vlc.exe" "http://icy-e-01.sharp-stream.com/ssvcbfbs21.mp3.m3u"</v>
      </c>
      <c r="M2166" t="e">
        <f>VLOOKUP(A2166,logos!$A$2:$A$10004,1,FALSE)</f>
        <v>#N/A</v>
      </c>
    </row>
    <row r="2167" spans="1:13" hidden="1" x14ac:dyDescent="0.55000000000000004">
      <c r="A2167" t="s">
        <v>243</v>
      </c>
      <c r="B2167" t="s">
        <v>1663</v>
      </c>
      <c r="C2167" t="s">
        <v>5464</v>
      </c>
      <c r="E2167" t="s">
        <v>6060</v>
      </c>
      <c r="F2167" t="str">
        <f t="shared" si="33"/>
        <v>"C:\Program Files\VideoLAN\VLC\vlc.exe" "http://www.radiofeeds.net/playlists/sharptemp.pls?station=65_boom_light_128_mp3"</v>
      </c>
      <c r="M2167" t="str">
        <f>VLOOKUP(A2167,logos!$A$2:$A$10004,1,FALSE)</f>
        <v>Boom Light</v>
      </c>
    </row>
    <row r="2168" spans="1:13" hidden="1" x14ac:dyDescent="0.55000000000000004">
      <c r="A2168" t="s">
        <v>245</v>
      </c>
      <c r="B2168" t="s">
        <v>1663</v>
      </c>
      <c r="C2168" t="s">
        <v>5465</v>
      </c>
      <c r="E2168" t="s">
        <v>6060</v>
      </c>
      <c r="F2168" t="str">
        <f t="shared" si="33"/>
        <v>"C:\Program Files\VideoLAN\VLC\vlc.exe" "http://www.radiofeeds.net/playlists/sharptemp.pls?station=65_boom_radio_live_128"</v>
      </c>
      <c r="M2168" t="str">
        <f>VLOOKUP(A2168,logos!$A$2:$A$10004,1,FALSE)</f>
        <v>Boom Radio</v>
      </c>
    </row>
    <row r="2169" spans="1:13" hidden="1" x14ac:dyDescent="0.55000000000000004">
      <c r="A2169" t="s">
        <v>2863</v>
      </c>
      <c r="B2169" t="s">
        <v>1692</v>
      </c>
      <c r="C2169" t="s">
        <v>5466</v>
      </c>
      <c r="E2169" t="s">
        <v>6060</v>
      </c>
      <c r="F2169" t="str">
        <f t="shared" si="33"/>
        <v>"C:\Program Files\VideoLAN\VLC\vlc.exe" "http://live.audiospace.co/bridgefm.m3u"</v>
      </c>
      <c r="M2169" t="e">
        <f>VLOOKUP(A2169,logos!$A$2:$A$10004,1,FALSE)</f>
        <v>#N/A</v>
      </c>
    </row>
    <row r="2170" spans="1:13" hidden="1" x14ac:dyDescent="0.55000000000000004">
      <c r="A2170" t="s">
        <v>2618</v>
      </c>
      <c r="B2170" t="s">
        <v>1663</v>
      </c>
      <c r="C2170" t="s">
        <v>5467</v>
      </c>
      <c r="E2170" t="s">
        <v>6060</v>
      </c>
      <c r="F2170" t="str">
        <f t="shared" si="33"/>
        <v>"C:\Program Files\VideoLAN\VLC\vlc.exe" "http://www.radiofeeds.net/playlists/sharptemp.pls?station=tcbridge-mp3"</v>
      </c>
      <c r="M2170" t="e">
        <f>VLOOKUP(A2170,logos!$A$2:$A$10004,1,FALSE)</f>
        <v>#N/A</v>
      </c>
    </row>
    <row r="2171" spans="1:13" hidden="1" x14ac:dyDescent="0.55000000000000004">
      <c r="A2171" t="s">
        <v>2618</v>
      </c>
      <c r="B2171" t="s">
        <v>1670</v>
      </c>
      <c r="C2171" t="s">
        <v>5468</v>
      </c>
      <c r="E2171" t="s">
        <v>6060</v>
      </c>
      <c r="F2171" t="str">
        <f t="shared" si="33"/>
        <v>"C:\Program Files\VideoLAN\VLC\vlc.exe" "http://icy-e-01.sharp-stream.com/bridgefmdab.mp3.m3u"</v>
      </c>
      <c r="M2171" t="e">
        <f>VLOOKUP(A2171,logos!$A$2:$A$10004,1,FALSE)</f>
        <v>#N/A</v>
      </c>
    </row>
    <row r="2172" spans="1:13" hidden="1" x14ac:dyDescent="0.55000000000000004">
      <c r="A2172" t="s">
        <v>253</v>
      </c>
      <c r="B2172" t="s">
        <v>1669</v>
      </c>
      <c r="C2172" t="s">
        <v>5469</v>
      </c>
      <c r="E2172" t="s">
        <v>6060</v>
      </c>
      <c r="F2172" t="str">
        <f t="shared" si="33"/>
        <v>"C:\Program Files\VideoLAN\VLC\vlc.exe" "http://stream4.hippynet.co.uk:8008/stream.m3u"</v>
      </c>
      <c r="M2172" t="e">
        <f>VLOOKUP(A2172,logos!$A$2:$A$10004,1,FALSE)</f>
        <v>#N/A</v>
      </c>
    </row>
    <row r="2173" spans="1:13" hidden="1" x14ac:dyDescent="0.55000000000000004">
      <c r="A2173" t="s">
        <v>2619</v>
      </c>
      <c r="B2173" t="s">
        <v>1663</v>
      </c>
      <c r="C2173" t="s">
        <v>5470</v>
      </c>
      <c r="E2173" t="s">
        <v>6060</v>
      </c>
      <c r="F2173" t="str">
        <f t="shared" si="33"/>
        <v>"C:\Program Files\VideoLAN\VLC\vlc.exe" "http://icecast.thisisdax.com/CapitalCymruMP3.m3u"</v>
      </c>
      <c r="M2173" t="str">
        <f>VLOOKUP(A2173,logos!$A$2:$A$10004,1,FALSE)</f>
        <v>Capital (Anglesey &amp; Gwynedd)</v>
      </c>
    </row>
    <row r="2174" spans="1:13" hidden="1" x14ac:dyDescent="0.55000000000000004">
      <c r="A2174" t="s">
        <v>2620</v>
      </c>
      <c r="B2174" t="s">
        <v>1663</v>
      </c>
      <c r="C2174" t="s">
        <v>5471</v>
      </c>
      <c r="E2174" t="s">
        <v>6060</v>
      </c>
      <c r="F2174" t="str">
        <f t="shared" si="33"/>
        <v>"C:\Program Files\VideoLAN\VLC\vlc.exe" "http://icecast.thisisdax.com/CapitalLiverpoolMP3.m3u"</v>
      </c>
      <c r="M2174" t="str">
        <f>VLOOKUP(A2174,logos!$A$2:$A$10004,1,FALSE)</f>
        <v>Capital (Liverpool)</v>
      </c>
    </row>
    <row r="2175" spans="1:13" hidden="1" x14ac:dyDescent="0.55000000000000004">
      <c r="A2175" t="s">
        <v>2621</v>
      </c>
      <c r="B2175" t="s">
        <v>1663</v>
      </c>
      <c r="C2175" t="s">
        <v>5472</v>
      </c>
      <c r="E2175" t="s">
        <v>6060</v>
      </c>
      <c r="F2175" t="str">
        <f t="shared" si="33"/>
        <v>"C:\Program Files\VideoLAN\VLC\vlc.exe" "http://icecast.thisisdax.com/CapitalMP3.m3u"</v>
      </c>
      <c r="M2175" t="str">
        <f>VLOOKUP(A2175,logos!$A$2:$A$10004,1,FALSE)</f>
        <v>Capital (London)</v>
      </c>
    </row>
    <row r="2176" spans="1:13" hidden="1" x14ac:dyDescent="0.55000000000000004">
      <c r="A2176" t="s">
        <v>2622</v>
      </c>
      <c r="B2176" t="s">
        <v>1663</v>
      </c>
      <c r="C2176" t="s">
        <v>5473</v>
      </c>
      <c r="E2176" t="s">
        <v>6060</v>
      </c>
      <c r="F2176" t="str">
        <f t="shared" si="33"/>
        <v>"C:\Program Files\VideoLAN\VLC\vlc.exe" "http://icecast.thisisdax.com/CapitalBirminghamMP3.m3u"</v>
      </c>
      <c r="M2176" t="str">
        <f>VLOOKUP(A2176,logos!$A$2:$A$10004,1,FALSE)</f>
        <v>Capital (Midlands) (Birmingham)</v>
      </c>
    </row>
    <row r="2177" spans="1:13" hidden="1" x14ac:dyDescent="0.55000000000000004">
      <c r="A2177" t="s">
        <v>2623</v>
      </c>
      <c r="B2177" t="s">
        <v>1663</v>
      </c>
      <c r="C2177" t="s">
        <v>5474</v>
      </c>
      <c r="E2177" t="s">
        <v>6060</v>
      </c>
      <c r="F2177" t="str">
        <f t="shared" si="33"/>
        <v>"C:\Program Files\VideoLAN\VLC\vlc.exe" "http://media-ice.musicradio.com/CapitalCoventryMP3.m3u"</v>
      </c>
      <c r="M2177" t="str">
        <f>VLOOKUP(A2177,logos!$A$2:$A$10004,1,FALSE)</f>
        <v>Capital (Midlands) (Coventry)</v>
      </c>
    </row>
    <row r="2178" spans="1:13" hidden="1" x14ac:dyDescent="0.55000000000000004">
      <c r="A2178" t="s">
        <v>2624</v>
      </c>
      <c r="B2178" t="s">
        <v>1663</v>
      </c>
      <c r="C2178" t="s">
        <v>5475</v>
      </c>
      <c r="E2178" t="s">
        <v>6060</v>
      </c>
      <c r="F2178" t="str">
        <f t="shared" si="33"/>
        <v>"C:\Program Files\VideoLAN\VLC\vlc.exe" "http://icecast.thisisdax.com/CapitalDerbyshireMP3.m3u"</v>
      </c>
      <c r="M2178" t="str">
        <f>VLOOKUP(A2178,logos!$A$2:$A$10004,1,FALSE)</f>
        <v>Capital (Midlands) (Derbyshire)</v>
      </c>
    </row>
    <row r="2179" spans="1:13" hidden="1" x14ac:dyDescent="0.55000000000000004">
      <c r="A2179" t="s">
        <v>2625</v>
      </c>
      <c r="B2179" t="s">
        <v>1663</v>
      </c>
      <c r="C2179" t="s">
        <v>5476</v>
      </c>
      <c r="E2179" t="s">
        <v>6060</v>
      </c>
      <c r="F2179" t="str">
        <f t="shared" ref="F2179:F2242" si="34">"""C:\Program Files\VideoLAN\VLC\vlc.exe"" """&amp;C2179&amp;""""</f>
        <v>"C:\Program Files\VideoLAN\VLC\vlc.exe" "http://icecast.thisisdax.com/CapitalLeicestershireMP3.m3u"</v>
      </c>
      <c r="M2179" t="str">
        <f>VLOOKUP(A2179,logos!$A$2:$A$10004,1,FALSE)</f>
        <v>Capital (Midlands) (Leicestershire)</v>
      </c>
    </row>
    <row r="2180" spans="1:13" hidden="1" x14ac:dyDescent="0.55000000000000004">
      <c r="A2180" t="s">
        <v>2626</v>
      </c>
      <c r="B2180" t="s">
        <v>1663</v>
      </c>
      <c r="C2180" t="s">
        <v>5477</v>
      </c>
      <c r="E2180" t="s">
        <v>6060</v>
      </c>
      <c r="F2180" t="str">
        <f t="shared" si="34"/>
        <v>"C:\Program Files\VideoLAN\VLC\vlc.exe" "http://media-ice.musicradio.com/CapitalNorthOxfordshireMP3.m3u"</v>
      </c>
      <c r="M2180" t="str">
        <f>VLOOKUP(A2180,logos!$A$2:$A$10004,1,FALSE)</f>
        <v>Capital (Midlands) (North Oxfordshire)</v>
      </c>
    </row>
    <row r="2181" spans="1:13" hidden="1" x14ac:dyDescent="0.55000000000000004">
      <c r="A2181" t="s">
        <v>2627</v>
      </c>
      <c r="B2181" t="s">
        <v>1663</v>
      </c>
      <c r="C2181" t="s">
        <v>5478</v>
      </c>
      <c r="E2181" t="s">
        <v>6060</v>
      </c>
      <c r="F2181" t="str">
        <f t="shared" si="34"/>
        <v>"C:\Program Files\VideoLAN\VLC\vlc.exe" "http://icecast.thisisdax.com/CapitalNottinghamshireMP3.m3u"</v>
      </c>
      <c r="M2181" t="str">
        <f>VLOOKUP(A2181,logos!$A$2:$A$10004,1,FALSE)</f>
        <v>Capital (Midlands) (Nottinghamshire)</v>
      </c>
    </row>
    <row r="2182" spans="1:13" hidden="1" x14ac:dyDescent="0.55000000000000004">
      <c r="A2182" t="s">
        <v>2628</v>
      </c>
      <c r="B2182" t="s">
        <v>1663</v>
      </c>
      <c r="C2182" t="s">
        <v>5479</v>
      </c>
      <c r="E2182" t="s">
        <v>6060</v>
      </c>
      <c r="F2182" t="str">
        <f t="shared" si="34"/>
        <v>"C:\Program Files\VideoLAN\VLC\vlc.exe" "http://media-ice.musicradio.com/CapitalRugbyMP3.m3u"</v>
      </c>
      <c r="M2182" t="str">
        <f>VLOOKUP(A2182,logos!$A$2:$A$10004,1,FALSE)</f>
        <v>Capital (Midlands) (Rugby)</v>
      </c>
    </row>
    <row r="2183" spans="1:13" hidden="1" x14ac:dyDescent="0.55000000000000004">
      <c r="A2183" t="s">
        <v>2629</v>
      </c>
      <c r="B2183" t="s">
        <v>1663</v>
      </c>
      <c r="C2183" t="s">
        <v>5480</v>
      </c>
      <c r="E2183" t="s">
        <v>6060</v>
      </c>
      <c r="F2183" t="str">
        <f t="shared" si="34"/>
        <v>"C:\Program Files\VideoLAN\VLC\vlc.exe" "http://media-ice.musicradio.com/CapitalSouthEastStaffordshireMP3.m3u"</v>
      </c>
      <c r="M2183" t="str">
        <f>VLOOKUP(A2183,logos!$A$2:$A$10004,1,FALSE)</f>
        <v>Capital (Midlands) (South East Staffordshire)</v>
      </c>
    </row>
    <row r="2184" spans="1:13" hidden="1" x14ac:dyDescent="0.55000000000000004">
      <c r="A2184" t="s">
        <v>2630</v>
      </c>
      <c r="B2184" t="s">
        <v>1663</v>
      </c>
      <c r="C2184" t="s">
        <v>5481</v>
      </c>
      <c r="E2184" t="s">
        <v>6060</v>
      </c>
      <c r="F2184" t="str">
        <f t="shared" si="34"/>
        <v>"C:\Program Files\VideoLAN\VLC\vlc.exe" "http://media-ice.musicradio.com/CapitalStratfordMP3.m3u"</v>
      </c>
      <c r="M2184" t="str">
        <f>VLOOKUP(A2184,logos!$A$2:$A$10004,1,FALSE)</f>
        <v>Capital (Midlands) (Stratford-upon-Avon)</v>
      </c>
    </row>
    <row r="2185" spans="1:13" hidden="1" x14ac:dyDescent="0.55000000000000004">
      <c r="A2185" t="s">
        <v>2631</v>
      </c>
      <c r="B2185" t="s">
        <v>1663</v>
      </c>
      <c r="C2185" t="s">
        <v>5482</v>
      </c>
      <c r="E2185" t="s">
        <v>6060</v>
      </c>
      <c r="F2185" t="str">
        <f t="shared" si="34"/>
        <v>"C:\Program Files\VideoLAN\VLC\vlc.exe" "http://icecast.thisisdax.com/CapitalWarwickMP3.m3u"</v>
      </c>
      <c r="M2185" t="str">
        <f>VLOOKUP(A2185,logos!$A$2:$A$10004,1,FALSE)</f>
        <v>Capital (Midlands) (Warwick)</v>
      </c>
    </row>
    <row r="2186" spans="1:13" hidden="1" x14ac:dyDescent="0.55000000000000004">
      <c r="A2186" t="s">
        <v>2632</v>
      </c>
      <c r="B2186" t="s">
        <v>1663</v>
      </c>
      <c r="C2186" t="s">
        <v>5483</v>
      </c>
      <c r="E2186" t="s">
        <v>6060</v>
      </c>
      <c r="F2186" t="str">
        <f t="shared" si="34"/>
        <v>"C:\Program Files\VideoLAN\VLC\vlc.exe" "http://icecast.thisisdax.com/CapitalTeessideMP3.m3u"</v>
      </c>
      <c r="M2186" t="str">
        <f>VLOOKUP(A2186,logos!$A$2:$A$10004,1,FALSE)</f>
        <v>Capital (North East England) (Teesside)</v>
      </c>
    </row>
    <row r="2187" spans="1:13" hidden="1" x14ac:dyDescent="0.55000000000000004">
      <c r="A2187" t="s">
        <v>2633</v>
      </c>
      <c r="B2187" t="s">
        <v>1663</v>
      </c>
      <c r="C2187" t="s">
        <v>5484</v>
      </c>
      <c r="E2187" t="s">
        <v>6060</v>
      </c>
      <c r="F2187" t="str">
        <f t="shared" si="34"/>
        <v>"C:\Program Files\VideoLAN\VLC\vlc.exe" "http://icecast.thisisdax.com/CapitalTyneWearMP3.m3u"</v>
      </c>
      <c r="M2187" t="str">
        <f>VLOOKUP(A2187,logos!$A$2:$A$10004,1,FALSE)</f>
        <v>Capital (North East England) (Tyne &amp; Wear)</v>
      </c>
    </row>
    <row r="2188" spans="1:13" hidden="1" x14ac:dyDescent="0.55000000000000004">
      <c r="A2188" t="s">
        <v>2634</v>
      </c>
      <c r="B2188" t="s">
        <v>1663</v>
      </c>
      <c r="C2188" t="s">
        <v>5485</v>
      </c>
      <c r="E2188" t="s">
        <v>6060</v>
      </c>
      <c r="F2188" t="str">
        <f t="shared" si="34"/>
        <v>"C:\Program Files\VideoLAN\VLC\vlc.exe" "http://icecast.thisisdax.com/CapitalWalesCoastMP3.m3u"</v>
      </c>
      <c r="M2188" t="str">
        <f>VLOOKUP(A2188,logos!$A$2:$A$10004,1,FALSE)</f>
        <v>Capital (North West &amp; North Wales) (North Wales Coast)</v>
      </c>
    </row>
    <row r="2189" spans="1:13" hidden="1" x14ac:dyDescent="0.55000000000000004">
      <c r="A2189" t="s">
        <v>2635</v>
      </c>
      <c r="B2189" t="s">
        <v>1663</v>
      </c>
      <c r="C2189" t="s">
        <v>5486</v>
      </c>
      <c r="E2189" t="s">
        <v>6060</v>
      </c>
      <c r="F2189" t="str">
        <f t="shared" si="34"/>
        <v>"C:\Program Files\VideoLAN\VLC\vlc.exe" "http://icecast.thisisdax.com/CapitalWirralMP3.m3u"</v>
      </c>
      <c r="M2189" t="str">
        <f>VLOOKUP(A2189,logos!$A$2:$A$10004,1,FALSE)</f>
        <v>Capital (North West &amp; North Wales) (The Wirral)</v>
      </c>
    </row>
    <row r="2190" spans="1:13" hidden="1" x14ac:dyDescent="0.55000000000000004">
      <c r="A2190" t="s">
        <v>2636</v>
      </c>
      <c r="B2190" t="s">
        <v>1663</v>
      </c>
      <c r="C2190" t="s">
        <v>5487</v>
      </c>
      <c r="E2190" t="s">
        <v>6060</v>
      </c>
      <c r="F2190" t="str">
        <f t="shared" si="34"/>
        <v>"C:\Program Files\VideoLAN\VLC\vlc.exe" "http://icecast.thisisdax.com/CapitalWrexhamMP3.m3u"</v>
      </c>
      <c r="M2190" t="str">
        <f>VLOOKUP(A2190,logos!$A$2:$A$10004,1,FALSE)</f>
        <v>Capital (North West &amp; North Wales) (Wrexham &amp; Cheshire)</v>
      </c>
    </row>
    <row r="2191" spans="1:13" hidden="1" x14ac:dyDescent="0.55000000000000004">
      <c r="A2191" t="s">
        <v>2637</v>
      </c>
      <c r="B2191" t="s">
        <v>1663</v>
      </c>
      <c r="C2191" t="s">
        <v>5488</v>
      </c>
      <c r="E2191" t="s">
        <v>6060</v>
      </c>
      <c r="F2191" t="str">
        <f t="shared" si="34"/>
        <v>"C:\Program Files\VideoLAN\VLC\vlc.exe" "http://icecast.thisisdax.com/CapitalBurnleyMP3.m3u"</v>
      </c>
      <c r="M2191" t="str">
        <f>VLOOKUP(A2191,logos!$A$2:$A$10004,1,FALSE)</f>
        <v>Capital (North West England) (Burnley &amp; Pendle)</v>
      </c>
    </row>
    <row r="2192" spans="1:13" hidden="1" x14ac:dyDescent="0.55000000000000004">
      <c r="A2192" t="s">
        <v>2638</v>
      </c>
      <c r="B2192" t="s">
        <v>1663</v>
      </c>
      <c r="C2192" t="s">
        <v>5489</v>
      </c>
      <c r="E2192" t="s">
        <v>6060</v>
      </c>
      <c r="F2192" t="str">
        <f t="shared" si="34"/>
        <v>"C:\Program Files\VideoLAN\VLC\vlc.exe" "http://icecast.thisisdax.com/CapitalManchesterMP3.m3u"</v>
      </c>
      <c r="M2192" t="str">
        <f>VLOOKUP(A2192,logos!$A$2:$A$10004,1,FALSE)</f>
        <v>Capital (North West England) (Manchester)</v>
      </c>
    </row>
    <row r="2193" spans="1:13" hidden="1" x14ac:dyDescent="0.55000000000000004">
      <c r="A2193" t="s">
        <v>2639</v>
      </c>
      <c r="B2193" t="s">
        <v>1663</v>
      </c>
      <c r="C2193" t="s">
        <v>5490</v>
      </c>
      <c r="E2193" t="s">
        <v>6060</v>
      </c>
      <c r="F2193" t="str">
        <f t="shared" si="34"/>
        <v>"C:\Program Files\VideoLAN\VLC\vlc.exe" "http://icecast.thisisdax.com/CapitalPrestonMP3.m3u"</v>
      </c>
      <c r="M2193" t="str">
        <f>VLOOKUP(A2193,logos!$A$2:$A$10004,1,FALSE)</f>
        <v>Capital (North West England) (Preston &amp; Blackburn)</v>
      </c>
    </row>
    <row r="2194" spans="1:13" hidden="1" x14ac:dyDescent="0.55000000000000004">
      <c r="A2194" t="s">
        <v>2640</v>
      </c>
      <c r="B2194" t="s">
        <v>1663</v>
      </c>
      <c r="C2194" t="s">
        <v>5491</v>
      </c>
      <c r="E2194" t="s">
        <v>6060</v>
      </c>
      <c r="F2194" t="str">
        <f t="shared" si="34"/>
        <v>"C:\Program Files\VideoLAN\VLC\vlc.exe" "http://icecast.thisisdax.com/CapitalEdinburghMP3.m3u"</v>
      </c>
      <c r="M2194" t="str">
        <f>VLOOKUP(A2194,logos!$A$2:$A$10004,1,FALSE)</f>
        <v>Capital (Scotland) (East)</v>
      </c>
    </row>
    <row r="2195" spans="1:13" hidden="1" x14ac:dyDescent="0.55000000000000004">
      <c r="A2195" t="s">
        <v>2641</v>
      </c>
      <c r="B2195" t="s">
        <v>1663</v>
      </c>
      <c r="C2195" t="s">
        <v>5492</v>
      </c>
      <c r="E2195" t="s">
        <v>6060</v>
      </c>
      <c r="F2195" t="str">
        <f t="shared" si="34"/>
        <v>"C:\Program Files\VideoLAN\VLC\vlc.exe" "http://icecast.thisisdax.com/CapitalGlasgowMP3.m3u"</v>
      </c>
      <c r="M2195" t="str">
        <f>VLOOKUP(A2195,logos!$A$2:$A$10004,1,FALSE)</f>
        <v>Capital (Scotland) (West)</v>
      </c>
    </row>
    <row r="2196" spans="1:13" hidden="1" x14ac:dyDescent="0.55000000000000004">
      <c r="A2196" t="s">
        <v>2642</v>
      </c>
      <c r="B2196" t="s">
        <v>1663</v>
      </c>
      <c r="C2196" t="s">
        <v>5493</v>
      </c>
      <c r="E2196" t="s">
        <v>6060</v>
      </c>
      <c r="F2196" t="str">
        <f t="shared" si="34"/>
        <v>"C:\Program Files\VideoLAN\VLC\vlc.exe" "http://icecast.thisisdax.com/CapitalBrightonMP3.m3u"</v>
      </c>
      <c r="M2196" t="str">
        <f>VLOOKUP(A2196,logos!$A$2:$A$10004,1,FALSE)</f>
        <v>Capital (South) (Brighton)</v>
      </c>
    </row>
    <row r="2197" spans="1:13" hidden="1" x14ac:dyDescent="0.55000000000000004">
      <c r="A2197" t="s">
        <v>2643</v>
      </c>
      <c r="B2197" t="s">
        <v>1663</v>
      </c>
      <c r="C2197" t="s">
        <v>5494</v>
      </c>
      <c r="E2197" t="s">
        <v>6060</v>
      </c>
      <c r="F2197" t="str">
        <f t="shared" si="34"/>
        <v>"C:\Program Files\VideoLAN\VLC\vlc.exe" "http://icecast.thisisdax.com/CapitalSouthCoastMP3.m3u"</v>
      </c>
      <c r="M2197" t="str">
        <f>VLOOKUP(A2197,logos!$A$2:$A$10004,1,FALSE)</f>
        <v>Capital (South) (South Coast)</v>
      </c>
    </row>
    <row r="2198" spans="1:13" hidden="1" x14ac:dyDescent="0.55000000000000004">
      <c r="A2198" t="s">
        <v>2644</v>
      </c>
      <c r="B2198" t="s">
        <v>1663</v>
      </c>
      <c r="C2198" t="s">
        <v>5495</v>
      </c>
      <c r="E2198" t="s">
        <v>6060</v>
      </c>
      <c r="F2198" t="str">
        <f t="shared" si="34"/>
        <v>"C:\Program Files\VideoLAN\VLC\vlc.exe" "http://icecast.thisisdax.com/CapitalSouthWalesMP3.m3u"</v>
      </c>
      <c r="M2198" t="str">
        <f>VLOOKUP(A2198,logos!$A$2:$A$10004,1,FALSE)</f>
        <v>Capital (South Wales)</v>
      </c>
    </row>
    <row r="2199" spans="1:13" hidden="1" x14ac:dyDescent="0.55000000000000004">
      <c r="A2199" t="s">
        <v>2645</v>
      </c>
      <c r="B2199" t="s">
        <v>1663</v>
      </c>
      <c r="C2199" t="s">
        <v>5496</v>
      </c>
      <c r="E2199" t="s">
        <v>6060</v>
      </c>
      <c r="F2199" t="str">
        <f t="shared" si="34"/>
        <v>"C:\Program Files\VideoLAN\VLC\vlc.exe" "http://icecast.thisisdax.com/CapitalUKMP3.m3u"</v>
      </c>
      <c r="M2199" t="str">
        <f>VLOOKUP(A2199,logos!$A$2:$A$10004,1,FALSE)</f>
        <v>Capital (UK)</v>
      </c>
    </row>
    <row r="2200" spans="1:13" hidden="1" x14ac:dyDescent="0.55000000000000004">
      <c r="A2200" t="s">
        <v>2646</v>
      </c>
      <c r="B2200" t="s">
        <v>1663</v>
      </c>
      <c r="C2200" t="s">
        <v>5497</v>
      </c>
      <c r="E2200" t="s">
        <v>6060</v>
      </c>
      <c r="F2200" t="str">
        <f t="shared" si="34"/>
        <v>"C:\Program Files\VideoLAN\VLC\vlc.exe" "http://icecast.thisisdax.com/CapitalYorkshireEastMP3.m3u"</v>
      </c>
      <c r="M2200" t="str">
        <f>VLOOKUP(A2200,logos!$A$2:$A$10004,1,FALSE)</f>
        <v>Capital (Yorkshire) (East)</v>
      </c>
    </row>
    <row r="2201" spans="1:13" hidden="1" x14ac:dyDescent="0.55000000000000004">
      <c r="A2201" t="s">
        <v>2647</v>
      </c>
      <c r="B2201" t="s">
        <v>1663</v>
      </c>
      <c r="C2201" t="s">
        <v>5498</v>
      </c>
      <c r="E2201" t="s">
        <v>6060</v>
      </c>
      <c r="F2201" t="str">
        <f t="shared" si="34"/>
        <v>"C:\Program Files\VideoLAN\VLC\vlc.exe" "http://icecast.thisisdax.com/CapitalYorkshireSouthWestMP3.m3u"</v>
      </c>
      <c r="M2201" t="str">
        <f>VLOOKUP(A2201,logos!$A$2:$A$10004,1,FALSE)</f>
        <v>Capital (Yorkshire) (South &amp; West)</v>
      </c>
    </row>
    <row r="2202" spans="1:13" hidden="1" x14ac:dyDescent="0.55000000000000004">
      <c r="A2202" t="s">
        <v>314</v>
      </c>
      <c r="B2202" t="s">
        <v>1663</v>
      </c>
      <c r="C2202" t="s">
        <v>5499</v>
      </c>
      <c r="E2202" t="s">
        <v>6060</v>
      </c>
      <c r="F2202" t="str">
        <f t="shared" si="34"/>
        <v>"C:\Program Files\VideoLAN\VLC\vlc.exe" "http://media-ice.musicradio.com/CapitalDanceMP3.m3u"</v>
      </c>
      <c r="M2202" t="str">
        <f>VLOOKUP(A2202,logos!$A$2:$A$10004,1,FALSE)</f>
        <v>Capital Dance</v>
      </c>
    </row>
    <row r="2203" spans="1:13" hidden="1" x14ac:dyDescent="0.55000000000000004">
      <c r="A2203" t="s">
        <v>2648</v>
      </c>
      <c r="B2203" t="s">
        <v>1663</v>
      </c>
      <c r="C2203" t="s">
        <v>5500</v>
      </c>
      <c r="E2203" t="s">
        <v>6060</v>
      </c>
      <c r="F2203" t="str">
        <f t="shared" si="34"/>
        <v>"C:\Program Files\VideoLAN\VLC\vlc.exe" "http://icecast.thisisdax.com/CapitalXTRALondonMP3.m3u"</v>
      </c>
      <c r="M2203" t="str">
        <f>VLOOKUP(A2203,logos!$A$2:$A$10004,1,FALSE)</f>
        <v>Capital XTRA (London)</v>
      </c>
    </row>
    <row r="2204" spans="1:13" hidden="1" x14ac:dyDescent="0.55000000000000004">
      <c r="A2204" t="s">
        <v>2649</v>
      </c>
      <c r="B2204" t="s">
        <v>1663</v>
      </c>
      <c r="C2204" t="s">
        <v>5501</v>
      </c>
      <c r="E2204" t="s">
        <v>6060</v>
      </c>
      <c r="F2204" t="str">
        <f t="shared" si="34"/>
        <v>"C:\Program Files\VideoLAN\VLC\vlc.exe" "http://icecast.thisisdax.com/CapitalXTRANationalMP3.m3u"</v>
      </c>
      <c r="M2204" t="str">
        <f>VLOOKUP(A2204,logos!$A$2:$A$10004,1,FALSE)</f>
        <v>Capital XTRA (UK)</v>
      </c>
    </row>
    <row r="2205" spans="1:13" hidden="1" x14ac:dyDescent="0.55000000000000004">
      <c r="A2205" t="s">
        <v>320</v>
      </c>
      <c r="B2205" t="s">
        <v>1663</v>
      </c>
      <c r="C2205" t="s">
        <v>5502</v>
      </c>
      <c r="E2205" t="s">
        <v>6060</v>
      </c>
      <c r="F2205" t="str">
        <f t="shared" si="34"/>
        <v>"C:\Program Files\VideoLAN\VLC\vlc.exe" "http://icecast.thisisdax.com/CapitalXTRAReloadedMP3.m3u"</v>
      </c>
      <c r="M2205" t="str">
        <f>VLOOKUP(A2205,logos!$A$2:$A$10004,1,FALSE)</f>
        <v>Capital XTRA Reloaded</v>
      </c>
    </row>
    <row r="2206" spans="1:13" hidden="1" x14ac:dyDescent="0.55000000000000004">
      <c r="A2206" t="s">
        <v>322</v>
      </c>
      <c r="B2206" t="s">
        <v>1663</v>
      </c>
      <c r="C2206" t="s">
        <v>5503</v>
      </c>
      <c r="E2206" t="s">
        <v>6060</v>
      </c>
      <c r="F2206" t="str">
        <f t="shared" si="34"/>
        <v>"C:\Program Files\VideoLAN\VLC\vlc.exe" "http://www.radiofeeds.net/playlists/sharptemp.pls?station=120_care_radio_128_mp3"</v>
      </c>
      <c r="M2206" t="e">
        <f>VLOOKUP(A2206,logos!$A$2:$A$10004,1,FALSE)</f>
        <v>#N/A</v>
      </c>
    </row>
    <row r="2207" spans="1:13" hidden="1" x14ac:dyDescent="0.55000000000000004">
      <c r="A2207" t="s">
        <v>324</v>
      </c>
      <c r="B2207" t="s">
        <v>1663</v>
      </c>
      <c r="C2207" t="s">
        <v>5504</v>
      </c>
      <c r="E2207" t="s">
        <v>6060</v>
      </c>
      <c r="F2207" t="str">
        <f t="shared" si="34"/>
        <v>"C:\Program Files\VideoLAN\VLC\vlc.exe" "http://msmn7.co:8012/listen.pls?sid=1"</v>
      </c>
      <c r="M2207" t="e">
        <f>VLOOKUP(A2207,logos!$A$2:$A$10004,1,FALSE)</f>
        <v>#N/A</v>
      </c>
    </row>
    <row r="2208" spans="1:13" hidden="1" x14ac:dyDescent="0.55000000000000004">
      <c r="A2208" t="s">
        <v>324</v>
      </c>
      <c r="B2208" t="s">
        <v>1666</v>
      </c>
      <c r="C2208" t="s">
        <v>5505</v>
      </c>
      <c r="E2208" t="s">
        <v>6060</v>
      </c>
      <c r="F2208" t="str">
        <f t="shared" si="34"/>
        <v>"C:\Program Files\VideoLAN\VLC\vlc.exe" "http://msmn7.co:8018/listen.pls?sid=1"</v>
      </c>
      <c r="M2208" t="e">
        <f>VLOOKUP(A2208,logos!$A$2:$A$10004,1,FALSE)</f>
        <v>#N/A</v>
      </c>
    </row>
    <row r="2209" spans="1:13" hidden="1" x14ac:dyDescent="0.55000000000000004">
      <c r="A2209" t="s">
        <v>2650</v>
      </c>
      <c r="B2209" t="s">
        <v>1663</v>
      </c>
      <c r="C2209" t="s">
        <v>5506</v>
      </c>
      <c r="E2209" t="s">
        <v>6060</v>
      </c>
      <c r="F2209" t="str">
        <f t="shared" si="34"/>
        <v>"C:\Program Files\VideoLAN\VLC\vlc.exe" "http://uksouth.streaming.broadcast.radio:15890/central.m3u"</v>
      </c>
      <c r="M2209" t="e">
        <f>VLOOKUP(A2209,logos!$A$2:$A$10004,1,FALSE)</f>
        <v>#N/A</v>
      </c>
    </row>
    <row r="2210" spans="1:13" hidden="1" x14ac:dyDescent="0.55000000000000004">
      <c r="A2210" t="s">
        <v>329</v>
      </c>
      <c r="B2210" t="s">
        <v>1682</v>
      </c>
      <c r="C2210" t="s">
        <v>5507</v>
      </c>
      <c r="E2210" t="s">
        <v>6060</v>
      </c>
      <c r="F2210" t="str">
        <f t="shared" si="34"/>
        <v>"C:\Program Files\VideoLAN\VLC\vlc.exe" "http://centreforce.streamgb.com:8830/listen.pls?sid=3"</v>
      </c>
      <c r="M2210" t="e">
        <f>VLOOKUP(A2210,logos!$A$2:$A$10004,1,FALSE)</f>
        <v>#N/A</v>
      </c>
    </row>
    <row r="2211" spans="1:13" hidden="1" x14ac:dyDescent="0.55000000000000004">
      <c r="A2211" t="s">
        <v>329</v>
      </c>
      <c r="B2211" t="s">
        <v>1663</v>
      </c>
      <c r="C2211" t="s">
        <v>5508</v>
      </c>
      <c r="E2211" t="s">
        <v>6060</v>
      </c>
      <c r="F2211" t="str">
        <f t="shared" si="34"/>
        <v>"C:\Program Files\VideoLAN\VLC\vlc.exe" "http://centreforce.streamgb.com:8830/listen.pls?sid=2"</v>
      </c>
      <c r="M2211" t="e">
        <f>VLOOKUP(A2211,logos!$A$2:$A$10004,1,FALSE)</f>
        <v>#N/A</v>
      </c>
    </row>
    <row r="2212" spans="1:13" hidden="1" x14ac:dyDescent="0.55000000000000004">
      <c r="A2212" t="s">
        <v>329</v>
      </c>
      <c r="B2212" t="s">
        <v>1670</v>
      </c>
      <c r="C2212" t="s">
        <v>5509</v>
      </c>
      <c r="E2212" t="s">
        <v>6060</v>
      </c>
      <c r="F2212" t="str">
        <f t="shared" si="34"/>
        <v>"C:\Program Files\VideoLAN\VLC\vlc.exe" "http://centreforce.streamgb.com:8830/listen.pls?sid=1"</v>
      </c>
      <c r="M2212" t="e">
        <f>VLOOKUP(A2212,logos!$A$2:$A$10004,1,FALSE)</f>
        <v>#N/A</v>
      </c>
    </row>
    <row r="2213" spans="1:13" hidden="1" x14ac:dyDescent="0.55000000000000004">
      <c r="A2213" t="s">
        <v>2651</v>
      </c>
      <c r="B2213" t="s">
        <v>1692</v>
      </c>
      <c r="C2213" t="s">
        <v>5510</v>
      </c>
      <c r="E2213" t="s">
        <v>6060</v>
      </c>
      <c r="F2213" t="str">
        <f t="shared" si="34"/>
        <v>"C:\Program Files\VideoLAN\VLC\vlc.exe" "http://www.radiofeeds.net/playlists/bauer.pls?station=cfm-mp3"</v>
      </c>
      <c r="M2213" t="str">
        <f>VLOOKUP(A2213,logos!$A$2:$A$10004,1,FALSE)</f>
        <v>CFM (East)</v>
      </c>
    </row>
    <row r="2214" spans="1:13" hidden="1" x14ac:dyDescent="0.55000000000000004">
      <c r="A2214" t="s">
        <v>336</v>
      </c>
      <c r="B2214" t="s">
        <v>1668</v>
      </c>
      <c r="C2214" t="s">
        <v>5511</v>
      </c>
      <c r="E2214" t="s">
        <v>6060</v>
      </c>
      <c r="F2214" t="str">
        <f t="shared" si="34"/>
        <v>"C:\Program Files\VideoLAN\VLC\vlc.exe" "http://stream.rcs.revma.com/kbxu5chhqd0uv.m3u"</v>
      </c>
      <c r="M2214" t="str">
        <f>VLOOKUP(A2214,logos!$A$2:$A$10004,1,FALSE)</f>
        <v>Channel 103</v>
      </c>
    </row>
    <row r="2215" spans="1:13" hidden="1" x14ac:dyDescent="0.55000000000000004">
      <c r="A2215" t="s">
        <v>336</v>
      </c>
      <c r="B2215" t="s">
        <v>1670</v>
      </c>
      <c r="C2215" t="s">
        <v>5512</v>
      </c>
      <c r="E2215" t="s">
        <v>6060</v>
      </c>
      <c r="F2215" t="str">
        <f t="shared" si="34"/>
        <v>"C:\Program Files\VideoLAN\VLC\vlc.exe" "http://stream.rcs.revma.com/1b7wddebanzuv.m3u"</v>
      </c>
      <c r="M2215" t="str">
        <f>VLOOKUP(A2215,logos!$A$2:$A$10004,1,FALSE)</f>
        <v>Channel 103</v>
      </c>
    </row>
    <row r="2216" spans="1:13" hidden="1" x14ac:dyDescent="0.55000000000000004">
      <c r="A2216" t="s">
        <v>339</v>
      </c>
      <c r="B2216" t="s">
        <v>1663</v>
      </c>
      <c r="C2216" t="s">
        <v>5513</v>
      </c>
      <c r="E2216" t="s">
        <v>6060</v>
      </c>
      <c r="F2216" t="str">
        <f t="shared" si="34"/>
        <v>"C:\Program Files\VideoLAN\VLC\vlc.exe" "http://www.radiofeeds.net/playlists/sharptemp.pls?station=cheesyfm-mp3"</v>
      </c>
      <c r="M2216" t="e">
        <f>VLOOKUP(A2216,logos!$A$2:$A$10004,1,FALSE)</f>
        <v>#N/A</v>
      </c>
    </row>
    <row r="2217" spans="1:13" hidden="1" x14ac:dyDescent="0.55000000000000004">
      <c r="A2217" t="s">
        <v>341</v>
      </c>
      <c r="B2217" t="s">
        <v>1663</v>
      </c>
      <c r="C2217" t="s">
        <v>5514</v>
      </c>
      <c r="E2217" t="s">
        <v>6060</v>
      </c>
      <c r="F2217" t="str">
        <f t="shared" si="34"/>
        <v>"C:\Program Files\VideoLAN\VLC\vlc.exe" "http://chiefradio.out.airtime.pro:8000/chiefradio_a.m3u"</v>
      </c>
      <c r="M2217" t="e">
        <f>VLOOKUP(A2217,logos!$A$2:$A$10004,1,FALSE)</f>
        <v>#N/A</v>
      </c>
    </row>
    <row r="2218" spans="1:13" hidden="1" x14ac:dyDescent="0.55000000000000004">
      <c r="A2218" t="s">
        <v>2652</v>
      </c>
      <c r="B2218" t="s">
        <v>1663</v>
      </c>
      <c r="C2218" t="s">
        <v>5515</v>
      </c>
      <c r="E2218" t="s">
        <v>6060</v>
      </c>
      <c r="F2218" t="str">
        <f t="shared" si="34"/>
        <v>"C:\Program Files\VideoLAN\VLC\vlc.exe" "http://icecast.thisisdax.com/ClassicFMMP3.m3u"</v>
      </c>
      <c r="M2218" t="str">
        <f>VLOOKUP(A2218,logos!$A$2:$A$10004,1,FALSE)</f>
        <v>Classic FM (UK)</v>
      </c>
    </row>
    <row r="2219" spans="1:13" hidden="1" x14ac:dyDescent="0.55000000000000004">
      <c r="A2219" t="s">
        <v>345</v>
      </c>
      <c r="B2219" t="s">
        <v>1669</v>
      </c>
      <c r="C2219" t="s">
        <v>5516</v>
      </c>
      <c r="E2219" t="s">
        <v>6060</v>
      </c>
      <c r="F2219" t="str">
        <f t="shared" si="34"/>
        <v>"C:\Program Files\VideoLAN\VLC\vlc.exe" "http://s3.citrus3.com:8320/stream.m3u"</v>
      </c>
      <c r="M2219" t="e">
        <f>VLOOKUP(A2219,logos!$A$2:$A$10004,1,FALSE)</f>
        <v>#N/A</v>
      </c>
    </row>
    <row r="2220" spans="1:13" hidden="1" x14ac:dyDescent="0.55000000000000004">
      <c r="A2220" t="s">
        <v>347</v>
      </c>
      <c r="B2220" t="s">
        <v>1692</v>
      </c>
      <c r="C2220" t="s">
        <v>5517</v>
      </c>
      <c r="E2220" t="s">
        <v>6060</v>
      </c>
      <c r="F2220" t="str">
        <f t="shared" si="34"/>
        <v>"C:\Program Files\VideoLAN\VLC\vlc.exe" "http://www.radiofeeds.net/playlists/bauer.pls?station=clyde1-mp3"</v>
      </c>
      <c r="M2220" t="str">
        <f>VLOOKUP(A2220,logos!$A$2:$A$10004,1,FALSE)</f>
        <v>Clyde 1</v>
      </c>
    </row>
    <row r="2221" spans="1:13" hidden="1" x14ac:dyDescent="0.55000000000000004">
      <c r="A2221" t="s">
        <v>349</v>
      </c>
      <c r="B2221" t="s">
        <v>1692</v>
      </c>
      <c r="C2221" t="s">
        <v>5518</v>
      </c>
      <c r="E2221" t="s">
        <v>6060</v>
      </c>
      <c r="F2221" t="str">
        <f t="shared" si="34"/>
        <v>"C:\Program Files\VideoLAN\VLC\vlc.exe" "http://www.radiofeeds.net/playlists/bauer.pls?station=clyde2-mp3"</v>
      </c>
      <c r="M2221" t="str">
        <f>VLOOKUP(A2221,logos!$A$2:$A$10004,1,FALSE)</f>
        <v>Clyde 2</v>
      </c>
    </row>
    <row r="2222" spans="1:13" hidden="1" x14ac:dyDescent="0.55000000000000004">
      <c r="A2222" t="s">
        <v>351</v>
      </c>
      <c r="B2222" t="s">
        <v>1663</v>
      </c>
      <c r="C2222" t="s">
        <v>5519</v>
      </c>
      <c r="E2222" t="s">
        <v>6060</v>
      </c>
      <c r="F2222" t="str">
        <f t="shared" si="34"/>
        <v>"C:\Program Files\VideoLAN\VLC\vlc.exe" "http://uksouth.streaming.broadcast.radio:16070/coastal.m3u"</v>
      </c>
      <c r="M2222" t="e">
        <f>VLOOKUP(A2222,logos!$A$2:$A$10004,1,FALSE)</f>
        <v>#N/A</v>
      </c>
    </row>
    <row r="2223" spans="1:13" hidden="1" x14ac:dyDescent="0.55000000000000004">
      <c r="A2223" t="s">
        <v>353</v>
      </c>
      <c r="B2223" t="s">
        <v>1670</v>
      </c>
      <c r="C2223" t="s">
        <v>5520</v>
      </c>
      <c r="E2223" t="s">
        <v>6060</v>
      </c>
      <c r="F2223" t="str">
        <f t="shared" si="34"/>
        <v>"C:\Program Files\VideoLAN\VLC\vlc.exe" "http://streaming.colourfulradio.com:8000/colourful.m3u"</v>
      </c>
      <c r="M2223" t="e">
        <f>VLOOKUP(A2223,logos!$A$2:$A$10004,1,FALSE)</f>
        <v>#N/A</v>
      </c>
    </row>
    <row r="2224" spans="1:13" hidden="1" x14ac:dyDescent="0.55000000000000004">
      <c r="A2224" t="s">
        <v>353</v>
      </c>
      <c r="B2224" t="s">
        <v>1670</v>
      </c>
      <c r="C2224" t="s">
        <v>5521</v>
      </c>
      <c r="E2224" t="s">
        <v>6060</v>
      </c>
      <c r="F2224" t="str">
        <f t="shared" si="34"/>
        <v>"C:\Program Files\VideoLAN\VLC\vlc.exe" "http://streaming.colourfulradio.com:8000/live.m3u"</v>
      </c>
      <c r="M2224" t="e">
        <f>VLOOKUP(A2224,logos!$A$2:$A$10004,1,FALSE)</f>
        <v>#N/A</v>
      </c>
    </row>
    <row r="2225" spans="1:13" hidden="1" x14ac:dyDescent="0.55000000000000004">
      <c r="A2225" t="s">
        <v>355</v>
      </c>
      <c r="B2225" t="s">
        <v>1692</v>
      </c>
      <c r="C2225" t="s">
        <v>5522</v>
      </c>
      <c r="E2225" t="s">
        <v>6060</v>
      </c>
      <c r="F2225" t="str">
        <f t="shared" si="34"/>
        <v>"C:\Program Files\VideoLAN\VLC\vlc.exe" "http://www.radiofeeds.net/playlists/bauer.pls?station=coolfm-mp3"</v>
      </c>
      <c r="M2225" t="str">
        <f>VLOOKUP(A2225,logos!$A$2:$A$10004,1,FALSE)</f>
        <v>Cool FM</v>
      </c>
    </row>
    <row r="2226" spans="1:13" hidden="1" x14ac:dyDescent="0.55000000000000004">
      <c r="A2226" t="s">
        <v>357</v>
      </c>
      <c r="B2226" t="s">
        <v>1682</v>
      </c>
      <c r="C2226" t="s">
        <v>5523</v>
      </c>
      <c r="E2226" t="s">
        <v>6060</v>
      </c>
      <c r="F2226" t="str">
        <f t="shared" si="34"/>
        <v>"C:\Program Files\VideoLAN\VLC\vlc.exe" "http://8.38.78.173:8264/listen.pls?sid=1"</v>
      </c>
      <c r="M2226" t="e">
        <f>VLOOKUP(A2226,logos!$A$2:$A$10004,1,FALSE)</f>
        <v>#N/A</v>
      </c>
    </row>
    <row r="2227" spans="1:13" hidden="1" x14ac:dyDescent="0.55000000000000004">
      <c r="A2227" t="s">
        <v>359</v>
      </c>
      <c r="B2227" t="s">
        <v>1663</v>
      </c>
      <c r="C2227" t="s">
        <v>5524</v>
      </c>
      <c r="E2227" t="s">
        <v>6060</v>
      </c>
      <c r="F2227" t="str">
        <f t="shared" si="34"/>
        <v>"C:\Program Files\VideoLAN\VLC\vlc.exe" "http://www.radiofeeds.net/playlists/cosoro.m3u"</v>
      </c>
      <c r="M2227" t="str">
        <f>VLOOKUP(A2227,logos!$A$2:$A$10004,1,FALSE)</f>
        <v>Cosoro Radio</v>
      </c>
    </row>
    <row r="2228" spans="1:13" hidden="1" x14ac:dyDescent="0.55000000000000004">
      <c r="A2228" t="s">
        <v>2654</v>
      </c>
      <c r="B2228" t="s">
        <v>1662</v>
      </c>
      <c r="C2228" t="s">
        <v>5525</v>
      </c>
      <c r="E2228" t="s">
        <v>6060</v>
      </c>
      <c r="F2228" t="str">
        <f t="shared" si="34"/>
        <v>"C:\Program Files\VideoLAN\VLC\vlc.exe" "http://www.radiofeeds.net/playlists/sharptemp.pls?station=chriscountryi-mp3"</v>
      </c>
      <c r="M2228" t="e">
        <f>VLOOKUP(A2228,logos!$A$2:$A$10004,1,FALSE)</f>
        <v>#N/A</v>
      </c>
    </row>
    <row r="2229" spans="1:13" hidden="1" x14ac:dyDescent="0.55000000000000004">
      <c r="A2229" t="s">
        <v>2654</v>
      </c>
      <c r="B2229" t="s">
        <v>1663</v>
      </c>
      <c r="C2229" t="s">
        <v>5526</v>
      </c>
      <c r="E2229" t="s">
        <v>6060</v>
      </c>
      <c r="F2229" t="str">
        <f t="shared" si="34"/>
        <v>"C:\Program Files\VideoLAN\VLC\vlc.exe" "http://www.radiofeeds.net/playlists/sharptemp.pls?station=chriscountry-mp3"</v>
      </c>
      <c r="M2229" t="e">
        <f>VLOOKUP(A2229,logos!$A$2:$A$10004,1,FALSE)</f>
        <v>#N/A</v>
      </c>
    </row>
    <row r="2230" spans="1:13" hidden="1" x14ac:dyDescent="0.55000000000000004">
      <c r="A2230" t="s">
        <v>2654</v>
      </c>
      <c r="B2230" t="s">
        <v>1670</v>
      </c>
      <c r="C2230" t="s">
        <v>5527</v>
      </c>
      <c r="E2230" t="s">
        <v>6060</v>
      </c>
      <c r="F2230" t="str">
        <f t="shared" si="34"/>
        <v>"C:\Program Files\VideoLAN\VLC\vlc.exe" "http://icy-e-01.sharp-stream.com/chriscountrydab.mp3.m3u"</v>
      </c>
      <c r="M2230" t="e">
        <f>VLOOKUP(A2230,logos!$A$2:$A$10004,1,FALSE)</f>
        <v>#N/A</v>
      </c>
    </row>
    <row r="2231" spans="1:13" hidden="1" x14ac:dyDescent="0.55000000000000004">
      <c r="A2231" t="s">
        <v>365</v>
      </c>
      <c r="B2231" t="s">
        <v>1663</v>
      </c>
      <c r="C2231" t="s">
        <v>5528</v>
      </c>
      <c r="E2231" t="s">
        <v>6060</v>
      </c>
      <c r="F2231" t="str">
        <f t="shared" si="34"/>
        <v>"C:\Program Files\VideoLAN\VLC\vlc.exe" "http://s5.radio.co/s89dcf578d/listen.m3u"</v>
      </c>
      <c r="M2231" t="e">
        <f>VLOOKUP(A2231,logos!$A$2:$A$10004,1,FALSE)</f>
        <v>#N/A</v>
      </c>
    </row>
    <row r="2232" spans="1:13" hidden="1" x14ac:dyDescent="0.55000000000000004">
      <c r="A2232" t="s">
        <v>367</v>
      </c>
      <c r="B2232" t="s">
        <v>1663</v>
      </c>
      <c r="C2232" t="s">
        <v>5529</v>
      </c>
      <c r="E2232" t="s">
        <v>6060</v>
      </c>
      <c r="F2232" t="str">
        <f t="shared" si="34"/>
        <v>"C:\Program Files\VideoLAN\VLC\vlc.exe" "http://dab.decadanceradio.net:8000/radio.mp3.m3u"</v>
      </c>
      <c r="M2232" t="e">
        <f>VLOOKUP(A2232,logos!$A$2:$A$10004,1,FALSE)</f>
        <v>#N/A</v>
      </c>
    </row>
    <row r="2233" spans="1:13" hidden="1" x14ac:dyDescent="0.55000000000000004">
      <c r="A2233" t="s">
        <v>369</v>
      </c>
      <c r="B2233" t="s">
        <v>1662</v>
      </c>
      <c r="C2233" t="s">
        <v>5530</v>
      </c>
      <c r="E2233" t="s">
        <v>6060</v>
      </c>
      <c r="F2233" t="str">
        <f t="shared" si="34"/>
        <v>"C:\Program Files\VideoLAN\VLC\vlc.exe" "http://icy-e-01.sharp-stream.com/tcdeei.mp3.m3u"</v>
      </c>
      <c r="M2233" t="e">
        <f>VLOOKUP(A2233,logos!$A$2:$A$10004,1,FALSE)</f>
        <v>#N/A</v>
      </c>
    </row>
    <row r="2234" spans="1:13" hidden="1" x14ac:dyDescent="0.55000000000000004">
      <c r="A2234" t="s">
        <v>369</v>
      </c>
      <c r="B2234" t="s">
        <v>1663</v>
      </c>
      <c r="C2234" t="s">
        <v>5531</v>
      </c>
      <c r="E2234" t="s">
        <v>6060</v>
      </c>
      <c r="F2234" t="str">
        <f t="shared" si="34"/>
        <v>"C:\Program Files\VideoLAN\VLC\vlc.exe" "http://icy-e-01.sharp-stream.com/tcdee.mp3.m3u"</v>
      </c>
      <c r="M2234" t="e">
        <f>VLOOKUP(A2234,logos!$A$2:$A$10004,1,FALSE)</f>
        <v>#N/A</v>
      </c>
    </row>
    <row r="2235" spans="1:13" hidden="1" x14ac:dyDescent="0.55000000000000004">
      <c r="A2235" t="s">
        <v>372</v>
      </c>
      <c r="B2235" t="s">
        <v>1682</v>
      </c>
      <c r="C2235" t="s">
        <v>5532</v>
      </c>
      <c r="E2235" t="s">
        <v>6060</v>
      </c>
      <c r="F2235" t="str">
        <f t="shared" si="34"/>
        <v>"C:\Program Files\VideoLAN\VLC\vlc.exe" "http://s4.voscast.com:8642/live.m3u"</v>
      </c>
      <c r="M2235" t="e">
        <f>VLOOKUP(A2235,logos!$A$2:$A$10004,1,FALSE)</f>
        <v>#N/A</v>
      </c>
    </row>
    <row r="2236" spans="1:13" hidden="1" x14ac:dyDescent="0.55000000000000004">
      <c r="A2236" t="s">
        <v>372</v>
      </c>
      <c r="B2236" t="s">
        <v>1663</v>
      </c>
      <c r="C2236" t="s">
        <v>5533</v>
      </c>
      <c r="E2236" t="s">
        <v>6060</v>
      </c>
      <c r="F2236" t="str">
        <f t="shared" si="34"/>
        <v>"C:\Program Files\VideoLAN\VLC\vlc.exe" "http://stream.deliteonline.com:48000/live128.m3u"</v>
      </c>
      <c r="M2236" t="e">
        <f>VLOOKUP(A2236,logos!$A$2:$A$10004,1,FALSE)</f>
        <v>#N/A</v>
      </c>
    </row>
    <row r="2237" spans="1:13" hidden="1" x14ac:dyDescent="0.55000000000000004">
      <c r="A2237" t="s">
        <v>372</v>
      </c>
      <c r="B2237" t="s">
        <v>1669</v>
      </c>
      <c r="C2237" t="s">
        <v>5534</v>
      </c>
      <c r="E2237" t="s">
        <v>6060</v>
      </c>
      <c r="F2237" t="str">
        <f t="shared" si="34"/>
        <v>"C:\Program Files\VideoLAN\VLC\vlc.exe" "http://stream.deliteonline.com:48000/live192.m3u"</v>
      </c>
      <c r="M2237" t="e">
        <f>VLOOKUP(A2237,logos!$A$2:$A$10004,1,FALSE)</f>
        <v>#N/A</v>
      </c>
    </row>
    <row r="2238" spans="1:13" hidden="1" x14ac:dyDescent="0.55000000000000004">
      <c r="A2238" t="s">
        <v>372</v>
      </c>
      <c r="B2238" t="s">
        <v>1670</v>
      </c>
      <c r="C2238" t="s">
        <v>5535</v>
      </c>
      <c r="E2238" t="s">
        <v>6060</v>
      </c>
      <c r="F2238" t="str">
        <f t="shared" si="34"/>
        <v>"C:\Program Files\VideoLAN\VLC\vlc.exe" "http://stream.deliteonline.com:48000/live320.m3u"</v>
      </c>
      <c r="M2238" t="e">
        <f>VLOOKUP(A2238,logos!$A$2:$A$10004,1,FALSE)</f>
        <v>#N/A</v>
      </c>
    </row>
    <row r="2239" spans="1:13" hidden="1" x14ac:dyDescent="0.55000000000000004">
      <c r="A2239" t="s">
        <v>377</v>
      </c>
      <c r="B2239" t="s">
        <v>1692</v>
      </c>
      <c r="C2239" t="s">
        <v>5536</v>
      </c>
      <c r="E2239" t="s">
        <v>6060</v>
      </c>
      <c r="F2239" t="str">
        <f t="shared" si="34"/>
        <v>"C:\Program Files\VideoLAN\VLC\vlc.exe" "http://www.radiofeeds.net/playlists/bauer.pls?station=downtowncountry-mp3"</v>
      </c>
      <c r="M2239" t="str">
        <f>VLOOKUP(A2239,logos!$A$2:$A$10004,1,FALSE)</f>
        <v>Downtown Country</v>
      </c>
    </row>
    <row r="2240" spans="1:13" hidden="1" x14ac:dyDescent="0.55000000000000004">
      <c r="A2240" t="s">
        <v>379</v>
      </c>
      <c r="B2240" t="s">
        <v>1692</v>
      </c>
      <c r="C2240" t="s">
        <v>5537</v>
      </c>
      <c r="E2240" t="s">
        <v>6060</v>
      </c>
      <c r="F2240" t="str">
        <f t="shared" si="34"/>
        <v>"C:\Program Files\VideoLAN\VLC\vlc.exe" "http://www.radiofeeds.net/playlists/bauer.pls?station=downtown-mp3"</v>
      </c>
      <c r="M2240" t="str">
        <f>VLOOKUP(A2240,logos!$A$2:$A$10004,1,FALSE)</f>
        <v>Downtown Radio</v>
      </c>
    </row>
    <row r="2241" spans="1:13" hidden="1" x14ac:dyDescent="0.55000000000000004">
      <c r="A2241" t="s">
        <v>381</v>
      </c>
      <c r="B2241" t="s">
        <v>1663</v>
      </c>
      <c r="C2241" t="s">
        <v>5538</v>
      </c>
      <c r="E2241" t="s">
        <v>6060</v>
      </c>
      <c r="F2241" t="str">
        <f t="shared" si="34"/>
        <v>"C:\Program Files\VideoLAN\VLC\vlc.exe" "http://www.radiofeeds.net/playlists/sharptemp.pls?station=tcnationdigital-mp3"</v>
      </c>
      <c r="M2241" t="e">
        <f>VLOOKUP(A2241,logos!$A$2:$A$10004,1,FALSE)</f>
        <v>#N/A</v>
      </c>
    </row>
    <row r="2242" spans="1:13" hidden="1" x14ac:dyDescent="0.55000000000000004">
      <c r="A2242" t="s">
        <v>381</v>
      </c>
      <c r="B2242" t="s">
        <v>1670</v>
      </c>
      <c r="C2242" t="s">
        <v>5539</v>
      </c>
      <c r="E2242" t="s">
        <v>6060</v>
      </c>
      <c r="F2242" t="str">
        <f t="shared" si="34"/>
        <v>"C:\Program Files\VideoLAN\VLC\vlc.exe" "http://icy-e-01.sharp-stream.com/dragonradio-dab.mp3.m3u"</v>
      </c>
      <c r="M2242" t="e">
        <f>VLOOKUP(A2242,logos!$A$2:$A$10004,1,FALSE)</f>
        <v>#N/A</v>
      </c>
    </row>
    <row r="2243" spans="1:13" hidden="1" x14ac:dyDescent="0.55000000000000004">
      <c r="A2243" t="s">
        <v>384</v>
      </c>
      <c r="B2243" t="s">
        <v>1669</v>
      </c>
      <c r="C2243" t="s">
        <v>5540</v>
      </c>
      <c r="E2243" t="s">
        <v>6060</v>
      </c>
      <c r="F2243" t="str">
        <f t="shared" ref="F2243:F2306" si="35">"""C:\Program Files\VideoLAN\VLC\vlc.exe"" """&amp;C2243&amp;""""</f>
        <v>"C:\Program Files\VideoLAN\VLC\vlc.exe" "http://fra-ranger01.dedicateware.com:18010/stream.m3u"</v>
      </c>
      <c r="M2243" t="e">
        <f>VLOOKUP(A2243,logos!$A$2:$A$10004,1,FALSE)</f>
        <v>#N/A</v>
      </c>
    </row>
    <row r="2244" spans="1:13" hidden="1" x14ac:dyDescent="0.55000000000000004">
      <c r="A2244" t="s">
        <v>386</v>
      </c>
      <c r="B2244" t="s">
        <v>1669</v>
      </c>
      <c r="C2244" t="s">
        <v>5541</v>
      </c>
      <c r="E2244" t="s">
        <v>6060</v>
      </c>
      <c r="F2244" t="str">
        <f t="shared" si="35"/>
        <v>"C:\Program Files\VideoLAN\VLC\vlc.exe" "http://109.169.54.86:8018/live.m3u"</v>
      </c>
      <c r="M2244" t="e">
        <f>VLOOKUP(A2244,logos!$A$2:$A$10004,1,FALSE)</f>
        <v>#N/A</v>
      </c>
    </row>
    <row r="2245" spans="1:13" hidden="1" x14ac:dyDescent="0.55000000000000004">
      <c r="A2245" t="s">
        <v>2655</v>
      </c>
      <c r="B2245" t="s">
        <v>1663</v>
      </c>
      <c r="C2245" t="s">
        <v>5542</v>
      </c>
      <c r="E2245" t="s">
        <v>6060</v>
      </c>
      <c r="F2245" t="str">
        <f t="shared" si="35"/>
        <v>"C:\Program Files\VideoLAN\VLC\vlc.exe" "http://www.radiofeeds.net/playlists/sharptemp.pls?station=nationeasyports-mp3"</v>
      </c>
      <c r="M2245" t="e">
        <f>VLOOKUP(A2245,logos!$A$2:$A$10004,1,FALSE)</f>
        <v>#N/A</v>
      </c>
    </row>
    <row r="2246" spans="1:13" hidden="1" x14ac:dyDescent="0.55000000000000004">
      <c r="A2246" t="s">
        <v>2655</v>
      </c>
      <c r="B2246" t="s">
        <v>1670</v>
      </c>
      <c r="C2246" t="s">
        <v>5543</v>
      </c>
      <c r="E2246" t="s">
        <v>6060</v>
      </c>
      <c r="F2246" t="str">
        <f t="shared" si="35"/>
        <v>"C:\Program Files\VideoLAN\VLC\vlc.exe" "http://www.radiofeeds.net/playlists/sharptemp.pls?station=nationeasyportsdab-mp3"</v>
      </c>
      <c r="M2246" t="e">
        <f>VLOOKUP(A2246,logos!$A$2:$A$10004,1,FALSE)</f>
        <v>#N/A</v>
      </c>
    </row>
    <row r="2247" spans="1:13" hidden="1" x14ac:dyDescent="0.55000000000000004">
      <c r="A2247" t="s">
        <v>2656</v>
      </c>
      <c r="B2247" t="s">
        <v>1663</v>
      </c>
      <c r="C2247" t="s">
        <v>5544</v>
      </c>
      <c r="E2247" t="s">
        <v>6060</v>
      </c>
      <c r="F2247" t="str">
        <f t="shared" si="35"/>
        <v>"C:\Program Files\VideoLAN\VLC\vlc.exe" "http://www.radiofeeds.net/playlists/sharptemp.pls?station=nationeasysoton-mp3"</v>
      </c>
      <c r="M2247" t="e">
        <f>VLOOKUP(A2247,logos!$A$2:$A$10004,1,FALSE)</f>
        <v>#N/A</v>
      </c>
    </row>
    <row r="2248" spans="1:13" hidden="1" x14ac:dyDescent="0.55000000000000004">
      <c r="A2248" t="s">
        <v>2656</v>
      </c>
      <c r="B2248" t="s">
        <v>1670</v>
      </c>
      <c r="C2248" t="s">
        <v>5545</v>
      </c>
      <c r="E2248" t="s">
        <v>6060</v>
      </c>
      <c r="F2248" t="str">
        <f t="shared" si="35"/>
        <v>"C:\Program Files\VideoLAN\VLC\vlc.exe" "http://www.radiofeeds.net/playlists/sharptemp.pls?station=nationeasysotondab-mp3"</v>
      </c>
      <c r="M2248" t="e">
        <f>VLOOKUP(A2248,logos!$A$2:$A$10004,1,FALSE)</f>
        <v>#N/A</v>
      </c>
    </row>
    <row r="2249" spans="1:13" hidden="1" x14ac:dyDescent="0.55000000000000004">
      <c r="A2249" t="s">
        <v>2657</v>
      </c>
      <c r="B2249" t="s">
        <v>1663</v>
      </c>
      <c r="C2249" t="s">
        <v>5546</v>
      </c>
      <c r="E2249" t="s">
        <v>6060</v>
      </c>
      <c r="F2249" t="str">
        <f t="shared" si="35"/>
        <v>"C:\Program Files\VideoLAN\VLC\vlc.exe" "http://www.radiofeeds.net/playlists/sharptemp.pls?station=breezyradiouk-mp3"</v>
      </c>
      <c r="M2249" t="e">
        <f>VLOOKUP(A2249,logos!$A$2:$A$10004,1,FALSE)</f>
        <v>#N/A</v>
      </c>
    </row>
    <row r="2250" spans="1:13" hidden="1" x14ac:dyDescent="0.55000000000000004">
      <c r="A2250" t="s">
        <v>2657</v>
      </c>
      <c r="B2250" t="s">
        <v>1670</v>
      </c>
      <c r="C2250" t="s">
        <v>5547</v>
      </c>
      <c r="E2250" t="s">
        <v>6060</v>
      </c>
      <c r="F2250" t="str">
        <f t="shared" si="35"/>
        <v>"C:\Program Files\VideoLAN\VLC\vlc.exe" "http://www.radiofeeds.net/playlists/sharptemp.pls?station=breezyradioukdab-mp3"</v>
      </c>
      <c r="M2250" t="e">
        <f>VLOOKUP(A2250,logos!$A$2:$A$10004,1,FALSE)</f>
        <v>#N/A</v>
      </c>
    </row>
    <row r="2251" spans="1:13" hidden="1" x14ac:dyDescent="0.55000000000000004">
      <c r="A2251" t="s">
        <v>2658</v>
      </c>
      <c r="B2251" t="s">
        <v>1663</v>
      </c>
      <c r="C2251" t="s">
        <v>5548</v>
      </c>
      <c r="E2251" t="s">
        <v>6060</v>
      </c>
      <c r="F2251" t="str">
        <f t="shared" si="35"/>
        <v>"C:\Program Files\VideoLAN\VLC\vlc.exe" "http://www.radiofeeds.net/playlists/sharptemp.pls?station=tcbay-mp3"</v>
      </c>
      <c r="M2251" t="e">
        <f>VLOOKUP(A2251,logos!$A$2:$A$10004,1,FALSE)</f>
        <v>#N/A</v>
      </c>
    </row>
    <row r="2252" spans="1:13" hidden="1" x14ac:dyDescent="0.55000000000000004">
      <c r="A2252" t="s">
        <v>2658</v>
      </c>
      <c r="B2252" t="s">
        <v>1670</v>
      </c>
      <c r="C2252" t="s">
        <v>5549</v>
      </c>
      <c r="E2252" t="s">
        <v>6060</v>
      </c>
      <c r="F2252" t="str">
        <f t="shared" si="35"/>
        <v>"C:\Program Files\VideoLAN\VLC\vlc.exe" "http://icy-e-01.sharp-stream.com/swanseabay.mp3.m3u"</v>
      </c>
      <c r="M2252" t="e">
        <f>VLOOKUP(A2252,logos!$A$2:$A$10004,1,FALSE)</f>
        <v>#N/A</v>
      </c>
    </row>
    <row r="2253" spans="1:13" hidden="1" x14ac:dyDescent="0.55000000000000004">
      <c r="A2253" t="s">
        <v>401</v>
      </c>
      <c r="B2253" t="s">
        <v>1669</v>
      </c>
      <c r="C2253" t="s">
        <v>5550</v>
      </c>
      <c r="E2253" t="s">
        <v>6060</v>
      </c>
      <c r="F2253" t="str">
        <f t="shared" si="35"/>
        <v>"C:\Program Files\VideoLAN\VLC\vlc.exe" "http://s5.radio.co/s813789af2/listen.m3u"</v>
      </c>
      <c r="M2253" t="e">
        <f>VLOOKUP(A2253,logos!$A$2:$A$10004,1,FALSE)</f>
        <v>#N/A</v>
      </c>
    </row>
    <row r="2254" spans="1:13" hidden="1" x14ac:dyDescent="0.55000000000000004">
      <c r="A2254" t="s">
        <v>403</v>
      </c>
      <c r="B2254" t="s">
        <v>1663</v>
      </c>
      <c r="C2254" t="s">
        <v>5551</v>
      </c>
      <c r="E2254" t="s">
        <v>6060</v>
      </c>
      <c r="F2254" t="str">
        <f t="shared" si="35"/>
        <v>"C:\Program Files\VideoLAN\VLC\vlc.exe" "http://www.radiofeeds.net/playlists/eirewave.m3u"</v>
      </c>
      <c r="M2254" t="e">
        <f>VLOOKUP(A2254,logos!$A$2:$A$10004,1,FALSE)</f>
        <v>#N/A</v>
      </c>
    </row>
    <row r="2255" spans="1:13" hidden="1" x14ac:dyDescent="0.55000000000000004">
      <c r="A2255" t="s">
        <v>405</v>
      </c>
      <c r="B2255" t="s">
        <v>1666</v>
      </c>
      <c r="C2255" t="s">
        <v>5552</v>
      </c>
      <c r="E2255" t="s">
        <v>6060</v>
      </c>
      <c r="F2255" t="str">
        <f t="shared" si="35"/>
        <v>"C:\Program Files\VideoLAN\VLC\vlc.exe" "http://uksouth.streaming.broadcast.radio:15580/energyfm.m3u"</v>
      </c>
      <c r="M2255" t="e">
        <f>VLOOKUP(A2255,logos!$A$2:$A$10004,1,FALSE)</f>
        <v>#N/A</v>
      </c>
    </row>
    <row r="2256" spans="1:13" hidden="1" x14ac:dyDescent="0.55000000000000004">
      <c r="A2256" t="s">
        <v>407</v>
      </c>
      <c r="B2256" t="s">
        <v>1663</v>
      </c>
      <c r="C2256" t="s">
        <v>5553</v>
      </c>
      <c r="E2256" t="s">
        <v>6060</v>
      </c>
      <c r="F2256" t="str">
        <f t="shared" si="35"/>
        <v>"C:\Program Files\VideoLAN\VLC\vlc.exe" "http://a11.streamgb.com:8083/listen.pls?sid=1"</v>
      </c>
      <c r="M2256" t="e">
        <f>VLOOKUP(A2256,logos!$A$2:$A$10004,1,FALSE)</f>
        <v>#N/A</v>
      </c>
    </row>
    <row r="2257" spans="1:13" hidden="1" x14ac:dyDescent="0.55000000000000004">
      <c r="A2257" t="s">
        <v>407</v>
      </c>
      <c r="B2257" t="s">
        <v>1669</v>
      </c>
      <c r="C2257" t="s">
        <v>5554</v>
      </c>
      <c r="E2257" t="s">
        <v>6060</v>
      </c>
      <c r="F2257" t="str">
        <f t="shared" si="35"/>
        <v>"C:\Program Files\VideoLAN\VLC\vlc.exe" "http://aries.streaming.zfast.co.uk:8116/listen.pls?sid=1"</v>
      </c>
      <c r="M2257" t="e">
        <f>VLOOKUP(A2257,logos!$A$2:$A$10004,1,FALSE)</f>
        <v>#N/A</v>
      </c>
    </row>
    <row r="2258" spans="1:13" hidden="1" x14ac:dyDescent="0.55000000000000004">
      <c r="A2258" t="s">
        <v>410</v>
      </c>
      <c r="B2258" t="s">
        <v>1663</v>
      </c>
      <c r="C2258" t="s">
        <v>5555</v>
      </c>
      <c r="E2258" t="s">
        <v>6060</v>
      </c>
      <c r="F2258" t="str">
        <f t="shared" si="35"/>
        <v>"C:\Program Files\VideoLAN\VLC\vlc.exe" "http://stream1.themediasite.co.uk:8030/listen.pls?sid=1"</v>
      </c>
      <c r="M2258" t="e">
        <f>VLOOKUP(A2258,logos!$A$2:$A$10004,1,FALSE)</f>
        <v>#N/A</v>
      </c>
    </row>
    <row r="2259" spans="1:13" hidden="1" x14ac:dyDescent="0.55000000000000004">
      <c r="A2259" t="s">
        <v>412</v>
      </c>
      <c r="B2259" t="s">
        <v>1663</v>
      </c>
      <c r="C2259" t="s">
        <v>5556</v>
      </c>
      <c r="E2259" t="s">
        <v>6060</v>
      </c>
      <c r="F2259" t="str">
        <f t="shared" si="35"/>
        <v>"C:\Program Files\VideoLAN\VLC\vlc.exe" "http://icy-e-01.sharp-stream.com/fixradio.mp3.m3u"</v>
      </c>
      <c r="M2259" t="e">
        <f>VLOOKUP(A2259,logos!$A$2:$A$10004,1,FALSE)</f>
        <v>#N/A</v>
      </c>
    </row>
    <row r="2260" spans="1:13" hidden="1" x14ac:dyDescent="0.55000000000000004">
      <c r="A2260" t="s">
        <v>414</v>
      </c>
      <c r="B2260" t="s">
        <v>1692</v>
      </c>
      <c r="C2260" t="s">
        <v>5557</v>
      </c>
      <c r="E2260" t="s">
        <v>6060</v>
      </c>
      <c r="F2260" t="str">
        <f t="shared" si="35"/>
        <v>"C:\Program Files\VideoLAN\VLC\vlc.exe" "http://www.radiofeeds.net/playlists/bauer.pls?station=forth1-mp3"</v>
      </c>
      <c r="M2260" t="str">
        <f>VLOOKUP(A2260,logos!$A$2:$A$10004,1,FALSE)</f>
        <v>Forth 1</v>
      </c>
    </row>
    <row r="2261" spans="1:13" hidden="1" x14ac:dyDescent="0.55000000000000004">
      <c r="A2261" t="s">
        <v>416</v>
      </c>
      <c r="B2261" t="s">
        <v>1692</v>
      </c>
      <c r="C2261" t="s">
        <v>5558</v>
      </c>
      <c r="E2261" t="s">
        <v>6060</v>
      </c>
      <c r="F2261" t="str">
        <f t="shared" si="35"/>
        <v>"C:\Program Files\VideoLAN\VLC\vlc.exe" "http://www.radiofeeds.net/playlists/bauer.pls?station=forth2-mp3"</v>
      </c>
      <c r="M2261" t="str">
        <f>VLOOKUP(A2261,logos!$A$2:$A$10004,1,FALSE)</f>
        <v>Forth 2</v>
      </c>
    </row>
    <row r="2262" spans="1:13" hidden="1" x14ac:dyDescent="0.55000000000000004">
      <c r="A2262" t="s">
        <v>1576</v>
      </c>
      <c r="B2262" t="s">
        <v>1692</v>
      </c>
      <c r="C2262" t="s">
        <v>5559</v>
      </c>
      <c r="E2262" t="s">
        <v>6060</v>
      </c>
      <c r="F2262" t="str">
        <f t="shared" si="35"/>
        <v>"C:\Program Files\VideoLAN\VLC\vlc.exe" "http://www.radiofeeds.net/playlists/bauer.pls?station=freebirmingham-mp3"</v>
      </c>
      <c r="M2262" t="str">
        <f>VLOOKUP(A2262,logos!$A$2:$A$10004,1,FALSE)</f>
        <v>Free Radio (Birmingham)</v>
      </c>
    </row>
    <row r="2263" spans="1:13" hidden="1" x14ac:dyDescent="0.55000000000000004">
      <c r="A2263" t="s">
        <v>1577</v>
      </c>
      <c r="B2263" t="s">
        <v>1692</v>
      </c>
      <c r="C2263" t="s">
        <v>5560</v>
      </c>
      <c r="E2263" t="s">
        <v>6060</v>
      </c>
      <c r="F2263" t="str">
        <f t="shared" si="35"/>
        <v>"C:\Program Files\VideoLAN\VLC\vlc.exe" "http://www.radiofeeds.net/playlists/bauer.pls?station=freeblackcountry-mp3"</v>
      </c>
      <c r="M2263" t="str">
        <f>VLOOKUP(A2263,logos!$A$2:$A$10004,1,FALSE)</f>
        <v>Free Radio (Black Country)</v>
      </c>
    </row>
    <row r="2264" spans="1:13" hidden="1" x14ac:dyDescent="0.55000000000000004">
      <c r="A2264" t="s">
        <v>1578</v>
      </c>
      <c r="B2264" t="s">
        <v>1692</v>
      </c>
      <c r="C2264" t="s">
        <v>5561</v>
      </c>
      <c r="E2264" t="s">
        <v>6060</v>
      </c>
      <c r="F2264" t="str">
        <f t="shared" si="35"/>
        <v>"C:\Program Files\VideoLAN\VLC\vlc.exe" "http://www.radiofeeds.net/playlists/bauer.pls?station=freecoventry-mp3"</v>
      </c>
      <c r="M2264" t="str">
        <f>VLOOKUP(A2264,logos!$A$2:$A$10004,1,FALSE)</f>
        <v>Free Radio (Coventry &amp; Warwickshire)</v>
      </c>
    </row>
    <row r="2265" spans="1:13" hidden="1" x14ac:dyDescent="0.55000000000000004">
      <c r="A2265" t="s">
        <v>2661</v>
      </c>
      <c r="B2265" t="s">
        <v>1692</v>
      </c>
      <c r="C2265" t="s">
        <v>5562</v>
      </c>
      <c r="E2265" t="s">
        <v>6060</v>
      </c>
      <c r="F2265" t="str">
        <f t="shared" si="35"/>
        <v>"C:\Program Files\VideoLAN\VLC\vlc.exe" "http://www.radiofeeds.net/playlists/bauer.pls?station=freehereford-mp3"</v>
      </c>
      <c r="M2265" t="e">
        <f>VLOOKUP(A2265,logos!$A$2:$A$10004,1,FALSE)</f>
        <v>#N/A</v>
      </c>
    </row>
    <row r="2266" spans="1:13" hidden="1" x14ac:dyDescent="0.55000000000000004">
      <c r="A2266" t="s">
        <v>1580</v>
      </c>
      <c r="B2266" t="s">
        <v>1692</v>
      </c>
      <c r="C2266" t="s">
        <v>5563</v>
      </c>
      <c r="E2266" t="s">
        <v>6060</v>
      </c>
      <c r="F2266" t="str">
        <f t="shared" si="35"/>
        <v>"C:\Program Files\VideoLAN\VLC\vlc.exe" "http://www.radiofeeds.net/playlists/bauer.pls?station=freeshropshire-mp3"</v>
      </c>
      <c r="M2266" t="str">
        <f>VLOOKUP(A2266,logos!$A$2:$A$10004,1,FALSE)</f>
        <v>Free Radio (Shropshire)</v>
      </c>
    </row>
    <row r="2267" spans="1:13" hidden="1" x14ac:dyDescent="0.55000000000000004">
      <c r="A2267" t="s">
        <v>428</v>
      </c>
      <c r="B2267" t="s">
        <v>1663</v>
      </c>
      <c r="C2267" t="s">
        <v>5564</v>
      </c>
      <c r="E2267" t="s">
        <v>6060</v>
      </c>
      <c r="F2267" t="str">
        <f t="shared" si="35"/>
        <v>"C:\Program Files\VideoLAN\VLC\vlc.exe" "http://www.radiofeeds.net/playlists/sharptemp.pls?station=funkids-mp3"</v>
      </c>
      <c r="M2267" t="e">
        <f>VLOOKUP(A2267,logos!$A$2:$A$10004,1,FALSE)</f>
        <v>#N/A</v>
      </c>
    </row>
    <row r="2268" spans="1:13" hidden="1" x14ac:dyDescent="0.55000000000000004">
      <c r="A2268" t="s">
        <v>430</v>
      </c>
      <c r="B2268" t="s">
        <v>1663</v>
      </c>
      <c r="C2268" t="s">
        <v>5565</v>
      </c>
      <c r="E2268" t="s">
        <v>6060</v>
      </c>
      <c r="F2268" t="str">
        <f t="shared" si="35"/>
        <v>"C:\Program Files\VideoLAN\VLC\vlc.exe" "http://www.radiofeeds.net/playlists/sharptemp.pls?station=funkidsjunior-mp3"</v>
      </c>
      <c r="M2268" t="e">
        <f>VLOOKUP(A2268,logos!$A$2:$A$10004,1,FALSE)</f>
        <v>#N/A</v>
      </c>
    </row>
    <row r="2269" spans="1:13" hidden="1" x14ac:dyDescent="0.55000000000000004">
      <c r="A2269" t="s">
        <v>432</v>
      </c>
      <c r="B2269" t="s">
        <v>1663</v>
      </c>
      <c r="C2269" t="s">
        <v>5566</v>
      </c>
      <c r="E2269" t="s">
        <v>6060</v>
      </c>
      <c r="F2269" t="str">
        <f t="shared" si="35"/>
        <v>"C:\Program Files\VideoLAN\VLC\vlc.exe" "http://stream.rcs.revma.com/pp2cg1z3tm0uv.m3u"</v>
      </c>
      <c r="M2269" t="str">
        <f>VLOOKUP(A2269,logos!$A$2:$A$10004,1,FALSE)</f>
        <v>Fun Kids Naps</v>
      </c>
    </row>
    <row r="2270" spans="1:13" hidden="1" x14ac:dyDescent="0.55000000000000004">
      <c r="A2270" t="s">
        <v>434</v>
      </c>
      <c r="B2270" t="s">
        <v>1663</v>
      </c>
      <c r="C2270" t="s">
        <v>5567</v>
      </c>
      <c r="E2270" t="s">
        <v>6060</v>
      </c>
      <c r="F2270" t="str">
        <f t="shared" si="35"/>
        <v>"C:\Program Files\VideoLAN\VLC\vlc.exe" "http://stream.rcs.revma.com/6m5ucmz3tm0uv.m3u"</v>
      </c>
      <c r="M2270" t="e">
        <f>VLOOKUP(A2270,logos!$A$2:$A$10004,1,FALSE)</f>
        <v>#N/A</v>
      </c>
    </row>
    <row r="2271" spans="1:13" hidden="1" x14ac:dyDescent="0.55000000000000004">
      <c r="A2271" t="s">
        <v>2662</v>
      </c>
      <c r="B2271" t="s">
        <v>1663</v>
      </c>
      <c r="C2271" t="s">
        <v>5568</v>
      </c>
      <c r="E2271" t="s">
        <v>6060</v>
      </c>
      <c r="F2271" t="str">
        <f t="shared" si="35"/>
        <v>"C:\Program Files\VideoLAN\VLC\vlc.exe" "http://www.radiofeeds.net/playlists/sharptemp.pls?station=467_gaydio_birmingham_128_mp3"</v>
      </c>
      <c r="M2271" t="e">
        <f>VLOOKUP(A2271,logos!$A$2:$A$10004,1,FALSE)</f>
        <v>#N/A</v>
      </c>
    </row>
    <row r="2272" spans="1:13" hidden="1" x14ac:dyDescent="0.55000000000000004">
      <c r="A2272" t="s">
        <v>2662</v>
      </c>
      <c r="B2272" t="s">
        <v>1670</v>
      </c>
      <c r="C2272" t="s">
        <v>5569</v>
      </c>
      <c r="E2272" t="s">
        <v>6060</v>
      </c>
      <c r="F2272" t="str">
        <f t="shared" si="35"/>
        <v>"C:\Program Files\VideoLAN\VLC\vlc.exe" "http://www.radiofeeds.net/playlists/sharptemp.pls?station=467_gaydio_birmingham_320_mp3"</v>
      </c>
      <c r="M2272" t="e">
        <f>VLOOKUP(A2272,logos!$A$2:$A$10004,1,FALSE)</f>
        <v>#N/A</v>
      </c>
    </row>
    <row r="2273" spans="1:13" hidden="1" x14ac:dyDescent="0.55000000000000004">
      <c r="A2273" t="s">
        <v>2663</v>
      </c>
      <c r="B2273" t="s">
        <v>1663</v>
      </c>
      <c r="C2273" t="s">
        <v>5570</v>
      </c>
      <c r="E2273" t="s">
        <v>6060</v>
      </c>
      <c r="F2273" t="str">
        <f t="shared" si="35"/>
        <v>"C:\Program Files\VideoLAN\VLC\vlc.exe" "http://www.radiofeeds.net/playlists/sharptemp.pls?station=76_gaydio_scotland_128"</v>
      </c>
      <c r="M2273" t="e">
        <f>VLOOKUP(A2273,logos!$A$2:$A$10004,1,FALSE)</f>
        <v>#N/A</v>
      </c>
    </row>
    <row r="2274" spans="1:13" hidden="1" x14ac:dyDescent="0.55000000000000004">
      <c r="A2274" t="s">
        <v>2663</v>
      </c>
      <c r="B2274" t="s">
        <v>1670</v>
      </c>
      <c r="C2274" t="s">
        <v>5571</v>
      </c>
      <c r="E2274" t="s">
        <v>6060</v>
      </c>
      <c r="F2274" t="str">
        <f t="shared" si="35"/>
        <v>"C:\Program Files\VideoLAN\VLC\vlc.exe" "http://www.radiofeeds.net/playlists/sharptemp.pls?station=76_gaydio_scotland_320"</v>
      </c>
      <c r="M2274" t="e">
        <f>VLOOKUP(A2274,logos!$A$2:$A$10004,1,FALSE)</f>
        <v>#N/A</v>
      </c>
    </row>
    <row r="2275" spans="1:13" hidden="1" x14ac:dyDescent="0.55000000000000004">
      <c r="A2275" t="s">
        <v>2664</v>
      </c>
      <c r="B2275" t="s">
        <v>1663</v>
      </c>
      <c r="C2275" t="s">
        <v>5572</v>
      </c>
      <c r="E2275" t="s">
        <v>6060</v>
      </c>
      <c r="F2275" t="str">
        <f t="shared" si="35"/>
        <v>"C:\Program Files\VideoLAN\VLC\vlc.exe" "http://www.radiofeeds.net/playlists/sharptemp.pls?station=472_gaydio_london_128_mp3"</v>
      </c>
      <c r="M2275" t="e">
        <f>VLOOKUP(A2275,logos!$A$2:$A$10004,1,FALSE)</f>
        <v>#N/A</v>
      </c>
    </row>
    <row r="2276" spans="1:13" hidden="1" x14ac:dyDescent="0.55000000000000004">
      <c r="A2276" t="s">
        <v>2664</v>
      </c>
      <c r="B2276" t="s">
        <v>1670</v>
      </c>
      <c r="C2276" t="s">
        <v>5573</v>
      </c>
      <c r="E2276" t="s">
        <v>6060</v>
      </c>
      <c r="F2276" t="str">
        <f t="shared" si="35"/>
        <v>"C:\Program Files\VideoLAN\VLC\vlc.exe" "http://www.radiofeeds.net/playlists/sharptemp.pls?station=472_gaydio_london_320_mp3"</v>
      </c>
      <c r="M2276" t="e">
        <f>VLOOKUP(A2276,logos!$A$2:$A$10004,1,FALSE)</f>
        <v>#N/A</v>
      </c>
    </row>
    <row r="2277" spans="1:13" hidden="1" x14ac:dyDescent="0.55000000000000004">
      <c r="A2277" t="s">
        <v>2665</v>
      </c>
      <c r="B2277" t="s">
        <v>1663</v>
      </c>
      <c r="C2277" t="s">
        <v>5574</v>
      </c>
      <c r="E2277" t="s">
        <v>6060</v>
      </c>
      <c r="F2277" t="str">
        <f t="shared" si="35"/>
        <v>"C:\Program Files\VideoLAN\VLC\vlc.exe" "http://www.radiofeeds.net/playlists/sharptemp.pls?station=gaydiouk-mp3"</v>
      </c>
      <c r="M2277" t="e">
        <f>VLOOKUP(A2277,logos!$A$2:$A$10004,1,FALSE)</f>
        <v>#N/A</v>
      </c>
    </row>
    <row r="2278" spans="1:13" hidden="1" x14ac:dyDescent="0.55000000000000004">
      <c r="A2278" t="s">
        <v>2665</v>
      </c>
      <c r="B2278" t="s">
        <v>1670</v>
      </c>
      <c r="C2278" t="s">
        <v>5575</v>
      </c>
      <c r="E2278" t="s">
        <v>6060</v>
      </c>
      <c r="F2278" t="str">
        <f t="shared" si="35"/>
        <v>"C:\Program Files\VideoLAN\VLC\vlc.exe" "http://www.radiofeeds.net/playlists/sharptemp.pls?station=gaydioukhq-mp3"</v>
      </c>
      <c r="M2278" t="e">
        <f>VLOOKUP(A2278,logos!$A$2:$A$10004,1,FALSE)</f>
        <v>#N/A</v>
      </c>
    </row>
    <row r="2279" spans="1:13" hidden="1" x14ac:dyDescent="0.55000000000000004">
      <c r="A2279" t="s">
        <v>449</v>
      </c>
      <c r="B2279" t="s">
        <v>1663</v>
      </c>
      <c r="C2279" t="s">
        <v>5576</v>
      </c>
      <c r="E2279" t="s">
        <v>6060</v>
      </c>
      <c r="F2279" t="str">
        <f t="shared" si="35"/>
        <v>"C:\Program Files\VideoLAN\VLC\vlc.exe" "http://www.radiofeeds.net/playlists/sharptemp.pls?station=gbnews-mp3"</v>
      </c>
      <c r="M2279" t="e">
        <f>VLOOKUP(A2279,logos!$A$2:$A$10004,1,FALSE)</f>
        <v>#N/A</v>
      </c>
    </row>
    <row r="2280" spans="1:13" hidden="1" x14ac:dyDescent="0.55000000000000004">
      <c r="A2280" t="s">
        <v>451</v>
      </c>
      <c r="B2280" t="s">
        <v>1692</v>
      </c>
      <c r="C2280" t="s">
        <v>5577</v>
      </c>
      <c r="E2280" t="s">
        <v>6060</v>
      </c>
      <c r="F2280" t="str">
        <f t="shared" si="35"/>
        <v>"C:\Program Files\VideoLAN\VLC\vlc.exe" "http://www.radiofeeds.net/playlists/bauer.pls?station=gem106-mp3"</v>
      </c>
      <c r="M2280" t="str">
        <f>VLOOKUP(A2280,logos!$A$2:$A$10004,1,FALSE)</f>
        <v>Gem</v>
      </c>
    </row>
    <row r="2281" spans="1:13" hidden="1" x14ac:dyDescent="0.55000000000000004">
      <c r="A2281" t="s">
        <v>453</v>
      </c>
      <c r="B2281" t="s">
        <v>1663</v>
      </c>
      <c r="C2281" t="s">
        <v>5578</v>
      </c>
      <c r="E2281" t="s">
        <v>6060</v>
      </c>
      <c r="F2281" t="str">
        <f t="shared" si="35"/>
        <v>"C:\Program Files\VideoLAN\VLC\vlc.exe" "http://stream.getradio.co.uk/mp3.m3u"</v>
      </c>
      <c r="M2281" t="e">
        <f>VLOOKUP(A2281,logos!$A$2:$A$10004,1,FALSE)</f>
        <v>#N/A</v>
      </c>
    </row>
    <row r="2282" spans="1:13" hidden="1" x14ac:dyDescent="0.55000000000000004">
      <c r="A2282" t="s">
        <v>455</v>
      </c>
      <c r="B2282" t="s">
        <v>1663</v>
      </c>
      <c r="C2282" t="s">
        <v>5579</v>
      </c>
      <c r="E2282" t="s">
        <v>6060</v>
      </c>
      <c r="F2282" t="str">
        <f t="shared" si="35"/>
        <v>"C:\Program Files\VideoLAN\VLC\vlc.exe" "http://s7.yesstreaming.net:8050/stream.m3u"</v>
      </c>
      <c r="M2282" t="e">
        <f>VLOOKUP(A2282,logos!$A$2:$A$10004,1,FALSE)</f>
        <v>#N/A</v>
      </c>
    </row>
    <row r="2283" spans="1:13" hidden="1" x14ac:dyDescent="0.55000000000000004">
      <c r="A2283" t="s">
        <v>457</v>
      </c>
      <c r="B2283" t="s">
        <v>1663</v>
      </c>
      <c r="C2283" t="s">
        <v>5580</v>
      </c>
      <c r="E2283" t="s">
        <v>6060</v>
      </c>
      <c r="F2283" t="str">
        <f t="shared" si="35"/>
        <v>"C:\Program Files\VideoLAN\VLC\vlc.exe" "http://streaming.broadcastradio.com:8250/goradio.m3u"</v>
      </c>
      <c r="M2283" t="e">
        <f>VLOOKUP(A2283,logos!$A$2:$A$10004,1,FALSE)</f>
        <v>#N/A</v>
      </c>
    </row>
    <row r="2284" spans="1:13" hidden="1" x14ac:dyDescent="0.55000000000000004">
      <c r="A2284" t="s">
        <v>459</v>
      </c>
      <c r="B2284" t="s">
        <v>1663</v>
      </c>
      <c r="C2284" t="s">
        <v>5581</v>
      </c>
      <c r="E2284" t="s">
        <v>6060</v>
      </c>
      <c r="F2284" t="str">
        <f t="shared" si="35"/>
        <v>"C:\Program Files\VideoLAN\VLC\vlc.exe" "http://icecast.thisisdax.com/GoldMP3.m3u"</v>
      </c>
      <c r="M2284" t="str">
        <f>VLOOKUP(A2284,logos!$A$2:$A$10004,1,FALSE)</f>
        <v>Gold</v>
      </c>
    </row>
    <row r="2285" spans="1:13" hidden="1" x14ac:dyDescent="0.55000000000000004">
      <c r="A2285" t="s">
        <v>461</v>
      </c>
      <c r="B2285" t="s">
        <v>1663</v>
      </c>
      <c r="C2285" t="s">
        <v>5582</v>
      </c>
      <c r="E2285" t="s">
        <v>6060</v>
      </c>
      <c r="F2285" t="str">
        <f t="shared" si="35"/>
        <v>"C:\Program Files\VideoLAN\VLC\vlc.exe" "http://www.radiofeeds.net/playlists/sharptemp.pls?station=45_gorgeous_fm_128_mp3"</v>
      </c>
      <c r="M2285" t="str">
        <f>VLOOKUP(A2285,logos!$A$2:$A$10004,1,FALSE)</f>
        <v>Gorgeous</v>
      </c>
    </row>
    <row r="2286" spans="1:13" hidden="1" x14ac:dyDescent="0.55000000000000004">
      <c r="A2286" t="s">
        <v>463</v>
      </c>
      <c r="B2286" t="s">
        <v>1668</v>
      </c>
      <c r="C2286" t="s">
        <v>5583</v>
      </c>
      <c r="E2286" t="s">
        <v>6060</v>
      </c>
      <c r="F2286" t="str">
        <f t="shared" si="35"/>
        <v>"C:\Program Files\VideoLAN\VLC\vlc.exe" "http://s6.citrus3.com:8008/stream.m3u"</v>
      </c>
      <c r="M2286" t="e">
        <f>VLOOKUP(A2286,logos!$A$2:$A$10004,1,FALSE)</f>
        <v>#N/A</v>
      </c>
    </row>
    <row r="2287" spans="1:13" hidden="1" x14ac:dyDescent="0.55000000000000004">
      <c r="A2287" t="s">
        <v>463</v>
      </c>
      <c r="B2287" t="s">
        <v>1663</v>
      </c>
      <c r="C2287" t="s">
        <v>5584</v>
      </c>
      <c r="E2287" t="s">
        <v>6060</v>
      </c>
      <c r="F2287" t="str">
        <f t="shared" si="35"/>
        <v>"C:\Program Files\VideoLAN\VLC\vlc.exe" "http://s6.citrus3.com:8010/stream.m3u"</v>
      </c>
      <c r="M2287" t="e">
        <f>VLOOKUP(A2287,logos!$A$2:$A$10004,1,FALSE)</f>
        <v>#N/A</v>
      </c>
    </row>
    <row r="2288" spans="1:13" hidden="1" x14ac:dyDescent="0.55000000000000004">
      <c r="A2288" t="s">
        <v>463</v>
      </c>
      <c r="B2288" t="s">
        <v>1666</v>
      </c>
      <c r="C2288" t="s">
        <v>5585</v>
      </c>
      <c r="E2288" t="s">
        <v>6060</v>
      </c>
      <c r="F2288" t="str">
        <f t="shared" si="35"/>
        <v>"C:\Program Files\VideoLAN\VLC\vlc.exe" "http://s6.citrus3.com:8216/stream.m3u"</v>
      </c>
      <c r="M2288" t="e">
        <f>VLOOKUP(A2288,logos!$A$2:$A$10004,1,FALSE)</f>
        <v>#N/A</v>
      </c>
    </row>
    <row r="2289" spans="1:13" hidden="1" x14ac:dyDescent="0.55000000000000004">
      <c r="A2289" t="s">
        <v>467</v>
      </c>
      <c r="B2289" t="s">
        <v>1670</v>
      </c>
      <c r="C2289" t="s">
        <v>5586</v>
      </c>
      <c r="E2289" t="s">
        <v>6060</v>
      </c>
      <c r="F2289" t="str">
        <f t="shared" si="35"/>
        <v>"C:\Program Files\VideoLAN\VLC\vlc.exe" "http://my.superstreaming.co.uk:8064/gyronline.m3u"</v>
      </c>
      <c r="M2289" t="e">
        <f>VLOOKUP(A2289,logos!$A$2:$A$10004,1,FALSE)</f>
        <v>#N/A</v>
      </c>
    </row>
    <row r="2290" spans="1:13" hidden="1" x14ac:dyDescent="0.55000000000000004">
      <c r="A2290" t="s">
        <v>2666</v>
      </c>
      <c r="B2290" t="s">
        <v>1692</v>
      </c>
      <c r="C2290" t="s">
        <v>5587</v>
      </c>
      <c r="E2290" t="s">
        <v>6060</v>
      </c>
      <c r="F2290" t="str">
        <f t="shared" si="35"/>
        <v>"C:\Program Files\VideoLAN\VLC\vlc.exe" "http://www.radiofeeds.net/playlists/bauer.pls?station=net2essex-mp3"</v>
      </c>
      <c r="M2290" t="str">
        <f>VLOOKUP(A2290,logos!$A$2:$A$10004,1,FALSE)</f>
        <v>Greatest Hits Radio (East) (Essex)</v>
      </c>
    </row>
    <row r="2291" spans="1:13" hidden="1" x14ac:dyDescent="0.55000000000000004">
      <c r="A2291" t="s">
        <v>2667</v>
      </c>
      <c r="B2291" t="s">
        <v>1692</v>
      </c>
      <c r="C2291" t="s">
        <v>5588</v>
      </c>
      <c r="E2291" t="s">
        <v>6060</v>
      </c>
      <c r="F2291" t="str">
        <f t="shared" si="35"/>
        <v>"C:\Program Files\VideoLAN\VLC\vlc.exe" "http://www.radiofeeds.net/playlists/bauer.pls?station=net2suffolk-mp3"</v>
      </c>
      <c r="M2291" t="str">
        <f>VLOOKUP(A2291,logos!$A$2:$A$10004,1,FALSE)</f>
        <v>Greatest Hits Radio (East) (Ipswich &amp; Suffolk)</v>
      </c>
    </row>
    <row r="2292" spans="1:13" hidden="1" x14ac:dyDescent="0.55000000000000004">
      <c r="A2292" t="s">
        <v>2668</v>
      </c>
      <c r="B2292" t="s">
        <v>1692</v>
      </c>
      <c r="C2292" t="s">
        <v>5589</v>
      </c>
      <c r="E2292" t="s">
        <v>6060</v>
      </c>
      <c r="F2292" t="str">
        <f t="shared" si="35"/>
        <v>"C:\Program Files\VideoLAN\VLC\vlc.exe" "http://www.radiofeeds.net/playlists/bauer.pls?station=net2norfolk-mp3"</v>
      </c>
      <c r="M2292" t="str">
        <f>VLOOKUP(A2292,logos!$A$2:$A$10004,1,FALSE)</f>
        <v>Greatest Hits Radio (East) (Norfolk &amp; North Suffolk)</v>
      </c>
    </row>
    <row r="2293" spans="1:13" hidden="1" x14ac:dyDescent="0.55000000000000004">
      <c r="A2293" t="s">
        <v>2669</v>
      </c>
      <c r="B2293" t="s">
        <v>1692</v>
      </c>
      <c r="C2293" t="s">
        <v>5590</v>
      </c>
      <c r="E2293" t="s">
        <v>6060</v>
      </c>
      <c r="F2293" t="str">
        <f t="shared" si="35"/>
        <v>"C:\Program Files\VideoLAN\VLC\vlc.exe" "http://www.radiofeeds.net/playlists/bauer.pls?station=net2westnorfolk-mp3"</v>
      </c>
      <c r="M2293" t="str">
        <f>VLOOKUP(A2293,logos!$A$2:$A$10004,1,FALSE)</f>
        <v>Greatest Hits Radio (East) (West Norfolk)</v>
      </c>
    </row>
    <row r="2294" spans="1:13" hidden="1" x14ac:dyDescent="0.55000000000000004">
      <c r="A2294" t="s">
        <v>1590</v>
      </c>
      <c r="B2294" t="s">
        <v>1692</v>
      </c>
      <c r="C2294" t="s">
        <v>5591</v>
      </c>
      <c r="E2294" t="s">
        <v>6060</v>
      </c>
      <c r="F2294" t="str">
        <f t="shared" si="35"/>
        <v>"C:\Program Files\VideoLAN\VLC\vlc.exe" "http://www.radiofeeds.net/playlists/bauer.pls?station=net2london-mp3"</v>
      </c>
      <c r="M2294" t="str">
        <f>VLOOKUP(A2294,logos!$A$2:$A$10004,1,FALSE)</f>
        <v>Greatest Hits Radio (London)</v>
      </c>
    </row>
    <row r="2295" spans="1:13" hidden="1" x14ac:dyDescent="0.55000000000000004">
      <c r="A2295" t="s">
        <v>2670</v>
      </c>
      <c r="B2295" t="s">
        <v>1692</v>
      </c>
      <c r="C2295" t="s">
        <v>5592</v>
      </c>
      <c r="E2295" t="s">
        <v>6060</v>
      </c>
      <c r="F2295" t="str">
        <f t="shared" si="35"/>
        <v>"C:\Program Files\VideoLAN\VLC\vlc.exe" "http://www.radiofeeds.net/playlists/bauer.pls?station=net2westmidlands-mp3"</v>
      </c>
      <c r="M2295" t="str">
        <f>VLOOKUP(A2295,logos!$A$2:$A$10004,1,FALSE)</f>
        <v>Greatest Hits Radio (Midlands) (Birmingham &amp; the West Midlands)</v>
      </c>
    </row>
    <row r="2296" spans="1:13" hidden="1" x14ac:dyDescent="0.55000000000000004">
      <c r="A2296" t="s">
        <v>2671</v>
      </c>
      <c r="B2296" t="s">
        <v>1692</v>
      </c>
      <c r="C2296" t="s">
        <v>5593</v>
      </c>
      <c r="E2296" t="s">
        <v>6060</v>
      </c>
      <c r="F2296" t="str">
        <f t="shared" si="35"/>
        <v>"C:\Program Files\VideoLAN\VLC\vlc.exe" "http://www.radiofeeds.net/playlists/bauer.pls?station=net2wolverhampton-mp3"</v>
      </c>
      <c r="M2296" t="str">
        <f>VLOOKUP(A2296,logos!$A$2:$A$10004,1,FALSE)</f>
        <v>Greatest Hits Radio (Midlands) (Black Country &amp; Shropshire) (Black Country)</v>
      </c>
    </row>
    <row r="2297" spans="1:13" hidden="1" x14ac:dyDescent="0.55000000000000004">
      <c r="A2297" t="s">
        <v>2672</v>
      </c>
      <c r="B2297" t="s">
        <v>1692</v>
      </c>
      <c r="C2297" t="s">
        <v>5594</v>
      </c>
      <c r="E2297" t="s">
        <v>6060</v>
      </c>
      <c r="F2297" t="str">
        <f t="shared" si="35"/>
        <v>"C:\Program Files\VideoLAN\VLC\vlc.exe" "http://www.radiofeeds.net/playlists/bauer.pls?station=net2coventry-mp3"</v>
      </c>
      <c r="M2297" t="str">
        <f>VLOOKUP(A2297,logos!$A$2:$A$10004,1,FALSE)</f>
        <v>Greatest Hits Radio (Midlands) (Coventry &amp; Warwickshire)</v>
      </c>
    </row>
    <row r="2298" spans="1:13" hidden="1" x14ac:dyDescent="0.55000000000000004">
      <c r="A2298" t="s">
        <v>2673</v>
      </c>
      <c r="B2298" t="s">
        <v>1692</v>
      </c>
      <c r="C2298" t="s">
        <v>5595</v>
      </c>
      <c r="E2298" t="s">
        <v>6060</v>
      </c>
      <c r="F2298" t="str">
        <f t="shared" si="35"/>
        <v>"C:\Program Files\VideoLAN\VLC\vlc.exe" "http://www.radiofeeds.net/playlists/bauer.pls?station=net2eastmidlands-mp3"</v>
      </c>
      <c r="M2298" t="str">
        <f>VLOOKUP(A2298,logos!$A$2:$A$10004,1,FALSE)</f>
        <v>Greatest Hits Radio (Midlands) (East Midlands)</v>
      </c>
    </row>
    <row r="2299" spans="1:13" hidden="1" x14ac:dyDescent="0.55000000000000004">
      <c r="A2299" t="s">
        <v>2674</v>
      </c>
      <c r="B2299" t="s">
        <v>1692</v>
      </c>
      <c r="C2299" t="s">
        <v>5596</v>
      </c>
      <c r="E2299" t="s">
        <v>6060</v>
      </c>
      <c r="F2299" t="str">
        <f t="shared" si="35"/>
        <v>"C:\Program Files\VideoLAN\VLC\vlc.exe" "http://www.radiofeeds.net/playlists/bauer.pls?station=net2worcester-mp3"</v>
      </c>
      <c r="M2299" t="str">
        <f>VLOOKUP(A2299,logos!$A$2:$A$10004,1,FALSE)</f>
        <v>Greatest Hits Radio (Midlands) (Herefordshire &amp; Worcestershire)</v>
      </c>
    </row>
    <row r="2300" spans="1:13" hidden="1" x14ac:dyDescent="0.55000000000000004">
      <c r="A2300" t="s">
        <v>2675</v>
      </c>
      <c r="B2300" t="s">
        <v>1692</v>
      </c>
      <c r="C2300" t="s">
        <v>5597</v>
      </c>
      <c r="E2300" t="s">
        <v>6060</v>
      </c>
      <c r="F2300" t="str">
        <f t="shared" si="35"/>
        <v>"C:\Program Files\VideoLAN\VLC\vlc.exe" "http://www.radiofeeds.net/playlists/bauer.pls?station=net2derbyshire-mp3"</v>
      </c>
      <c r="M2300" t="str">
        <f>VLOOKUP(A2300,logos!$A$2:$A$10004,1,FALSE)</f>
        <v>Greatest Hits Radio (Midlands) (South Derbyshire)</v>
      </c>
    </row>
    <row r="2301" spans="1:13" hidden="1" x14ac:dyDescent="0.55000000000000004">
      <c r="A2301" t="s">
        <v>2676</v>
      </c>
      <c r="B2301" t="s">
        <v>1692</v>
      </c>
      <c r="C2301" t="s">
        <v>5598</v>
      </c>
      <c r="E2301" t="s">
        <v>6060</v>
      </c>
      <c r="F2301" t="str">
        <f t="shared" si="35"/>
        <v>"C:\Program Files\VideoLAN\VLC\vlc.exe" "http://www.radiofeeds.net/playlists/bauer.pls?station=net2stoke-mp3"</v>
      </c>
      <c r="M2301" t="str">
        <f>VLOOKUP(A2301,logos!$A$2:$A$10004,1,FALSE)</f>
        <v>Greatest Hits Radio (Midlands) (Staffordshire &amp; Cheshire)</v>
      </c>
    </row>
    <row r="2302" spans="1:13" hidden="1" x14ac:dyDescent="0.55000000000000004">
      <c r="A2302" t="s">
        <v>2677</v>
      </c>
      <c r="B2302" t="s">
        <v>1692</v>
      </c>
      <c r="C2302" t="s">
        <v>5599</v>
      </c>
      <c r="E2302" t="s">
        <v>6060</v>
      </c>
      <c r="F2302" t="str">
        <f t="shared" si="35"/>
        <v>"C:\Program Files\VideoLAN\VLC\vlc.exe" "http://www.radiofeeds.net/playlists/bauer.pls?station=net2rutland-mp3"</v>
      </c>
      <c r="M2302" t="str">
        <f>VLOOKUP(A2302,logos!$A$2:$A$10004,1,FALSE)</f>
        <v>Greatest Hits Radio (Midlands) (Stamford &amp; Rutland)</v>
      </c>
    </row>
    <row r="2303" spans="1:13" hidden="1" x14ac:dyDescent="0.55000000000000004">
      <c r="A2303" t="s">
        <v>2678</v>
      </c>
      <c r="B2303" t="s">
        <v>1692</v>
      </c>
      <c r="C2303" t="s">
        <v>5600</v>
      </c>
      <c r="E2303" t="s">
        <v>6060</v>
      </c>
      <c r="F2303" t="str">
        <f t="shared" si="35"/>
        <v>"C:\Program Files\VideoLAN\VLC\vlc.exe" "http://www.radiofeeds.net/playlists/bauer.pls?station=magic1170-mp3"</v>
      </c>
      <c r="M2303" t="str">
        <f>VLOOKUP(A2303,logos!$A$2:$A$10004,1,FALSE)</f>
        <v>Greatest Hits Radio (North East) (Teesside)</v>
      </c>
    </row>
    <row r="2304" spans="1:13" hidden="1" x14ac:dyDescent="0.55000000000000004">
      <c r="A2304" t="s">
        <v>2679</v>
      </c>
      <c r="B2304" t="s">
        <v>1692</v>
      </c>
      <c r="C2304" t="s">
        <v>5601</v>
      </c>
      <c r="E2304" t="s">
        <v>6060</v>
      </c>
      <c r="F2304" t="str">
        <f t="shared" si="35"/>
        <v>"C:\Program Files\VideoLAN\VLC\vlc.exe" "http://www.radiofeeds.net/playlists/bauer.pls?station=magic1152n-mp3"</v>
      </c>
      <c r="M2304" t="str">
        <f>VLOOKUP(A2304,logos!$A$2:$A$10004,1,FALSE)</f>
        <v>Greatest Hits Radio (North East) (Tyne &amp; Wear)</v>
      </c>
    </row>
    <row r="2305" spans="1:13" hidden="1" x14ac:dyDescent="0.55000000000000004">
      <c r="A2305" t="s">
        <v>2680</v>
      </c>
      <c r="B2305" t="s">
        <v>1692</v>
      </c>
      <c r="C2305" t="s">
        <v>5602</v>
      </c>
      <c r="E2305" t="s">
        <v>6060</v>
      </c>
      <c r="F2305" t="str">
        <f t="shared" si="35"/>
        <v>"C:\Program Files\VideoLAN\VLC\vlc.exe" "http://www.radiofeeds.net/playlists/bauer.pls?station=net2cumbria-mp3"</v>
      </c>
      <c r="M2305" t="str">
        <f>VLOOKUP(A2305,logos!$A$2:$A$10004,1,FALSE)</f>
        <v>Greatest Hits Radio (North West) (Cumbria)</v>
      </c>
    </row>
    <row r="2306" spans="1:13" hidden="1" x14ac:dyDescent="0.55000000000000004">
      <c r="A2306" t="s">
        <v>2681</v>
      </c>
      <c r="B2306" t="s">
        <v>1692</v>
      </c>
      <c r="C2306" t="s">
        <v>5603</v>
      </c>
      <c r="E2306" t="s">
        <v>6060</v>
      </c>
      <c r="F2306" t="str">
        <f t="shared" si="35"/>
        <v>"C:\Program Files\VideoLAN\VLC\vlc.exe" "http://www.radiofeeds.net/playlists/bauer.pls?station=magic999-mp3"</v>
      </c>
      <c r="M2306" t="str">
        <f>VLOOKUP(A2306,logos!$A$2:$A$10004,1,FALSE)</f>
        <v>Greatest Hits Radio (North West) (Lancashire) (DAB)</v>
      </c>
    </row>
    <row r="2307" spans="1:13" hidden="1" x14ac:dyDescent="0.55000000000000004">
      <c r="A2307" t="s">
        <v>2682</v>
      </c>
      <c r="B2307" t="s">
        <v>1692</v>
      </c>
      <c r="C2307" t="s">
        <v>5604</v>
      </c>
      <c r="E2307" t="s">
        <v>6060</v>
      </c>
      <c r="F2307" t="str">
        <f t="shared" ref="F2307:F2370" si="36">"""C:\Program Files\VideoLAN\VLC\vlc.exe"" """&amp;C2307&amp;""""</f>
        <v>"C:\Program Files\VideoLAN\VLC\vlc.exe" "http://www.radiofeeds.net/playlists/bauer.pls?station=magic1548-mp3"</v>
      </c>
      <c r="M2307" t="str">
        <f>VLOOKUP(A2307,logos!$A$2:$A$10004,1,FALSE)</f>
        <v>Greatest Hits Radio (North West) (Liverpool &amp; the North West) (Liverpool)</v>
      </c>
    </row>
    <row r="2308" spans="1:13" hidden="1" x14ac:dyDescent="0.55000000000000004">
      <c r="A2308" t="s">
        <v>2683</v>
      </c>
      <c r="B2308" t="s">
        <v>1692</v>
      </c>
      <c r="C2308" t="s">
        <v>5605</v>
      </c>
      <c r="E2308" t="s">
        <v>6060</v>
      </c>
      <c r="F2308" t="str">
        <f t="shared" si="36"/>
        <v>"C:\Program Files\VideoLAN\VLC\vlc.exe" "http://www.radiofeeds.net/playlists/bauer.pls?station=magic1152m-mp3"</v>
      </c>
      <c r="M2308" t="str">
        <f>VLOOKUP(A2308,logos!$A$2:$A$10004,1,FALSE)</f>
        <v>Greatest Hits Radio (North West) (Manchester &amp; the North West) (DAB &amp; Oldham)</v>
      </c>
    </row>
    <row r="2309" spans="1:13" hidden="1" x14ac:dyDescent="0.55000000000000004">
      <c r="A2309" t="s">
        <v>2684</v>
      </c>
      <c r="B2309" t="s">
        <v>1692</v>
      </c>
      <c r="C2309" t="s">
        <v>5606</v>
      </c>
      <c r="E2309" t="s">
        <v>6060</v>
      </c>
      <c r="F2309" t="str">
        <f t="shared" si="36"/>
        <v>"C:\Program Files\VideoLAN\VLC\vlc.exe" "http://www.radiofeeds.net/playlists/bauer.pls?station=net2stockport-mp3"</v>
      </c>
      <c r="M2309" t="str">
        <f>VLOOKUP(A2309,logos!$A$2:$A$10004,1,FALSE)</f>
        <v>Greatest Hits Radio (North West) (South Manchester)</v>
      </c>
    </row>
    <row r="2310" spans="1:13" hidden="1" x14ac:dyDescent="0.55000000000000004">
      <c r="A2310" t="s">
        <v>2685</v>
      </c>
      <c r="B2310" t="s">
        <v>1692</v>
      </c>
      <c r="C2310" t="s">
        <v>5607</v>
      </c>
      <c r="E2310" t="s">
        <v>6060</v>
      </c>
      <c r="F2310" t="str">
        <f t="shared" si="36"/>
        <v>"C:\Program Files\VideoLAN\VLC\vlc.exe" "http://www.radiofeeds.net/playlists/bauer.pls?station=net2wigan-mp3"</v>
      </c>
      <c r="M2310" t="str">
        <f>VLOOKUP(A2310,logos!$A$2:$A$10004,1,FALSE)</f>
        <v>Greatest Hits Radio (North West) (Wigan &amp; St Helens)</v>
      </c>
    </row>
    <row r="2311" spans="1:13" hidden="1" x14ac:dyDescent="0.55000000000000004">
      <c r="A2311" t="s">
        <v>2686</v>
      </c>
      <c r="B2311" t="s">
        <v>1692</v>
      </c>
      <c r="C2311" t="s">
        <v>5608</v>
      </c>
      <c r="E2311" t="s">
        <v>6060</v>
      </c>
      <c r="F2311" t="str">
        <f t="shared" si="36"/>
        <v>"C:\Program Files\VideoLAN\VLC\vlc.exe" "http://www.radiofeeds.net/playlists/bauer.pls?station=net2berkshire-mp3"</v>
      </c>
      <c r="M2311" t="str">
        <f>VLOOKUP(A2311,logos!$A$2:$A$10004,1,FALSE)</f>
        <v>Greatest Hits Radio (South) (Berkshire &amp; North Hampshire)</v>
      </c>
    </row>
    <row r="2312" spans="1:13" hidden="1" x14ac:dyDescent="0.55000000000000004">
      <c r="A2312" t="s">
        <v>2687</v>
      </c>
      <c r="B2312" t="s">
        <v>1692</v>
      </c>
      <c r="C2312" t="s">
        <v>5609</v>
      </c>
      <c r="E2312" t="s">
        <v>6060</v>
      </c>
      <c r="F2312" t="str">
        <f t="shared" si="36"/>
        <v>"C:\Program Files\VideoLAN\VLC\vlc.exe" "http://www.radiofeeds.net/playlists/bauer.pls?station=net2bournemouth-mp3"</v>
      </c>
      <c r="M2312" t="str">
        <f>VLOOKUP(A2312,logos!$A$2:$A$10004,1,FALSE)</f>
        <v>Greatest Hits Radio (South) (Bournemouth &amp; Poole)</v>
      </c>
    </row>
    <row r="2313" spans="1:13" hidden="1" x14ac:dyDescent="0.55000000000000004">
      <c r="A2313" t="s">
        <v>2688</v>
      </c>
      <c r="B2313" t="s">
        <v>1692</v>
      </c>
      <c r="C2313" t="s">
        <v>5610</v>
      </c>
      <c r="E2313" t="s">
        <v>6060</v>
      </c>
      <c r="F2313" t="str">
        <f t="shared" si="36"/>
        <v>"C:\Program Files\VideoLAN\VLC\vlc.exe" "http://www.radiofeeds.net/playlists/bauer.pls?station=net2aylesbury-mp3"</v>
      </c>
      <c r="M2313" t="str">
        <f>VLOOKUP(A2313,logos!$A$2:$A$10004,1,FALSE)</f>
        <v>Greatest Hits Radio (South) (Bucks, Beds &amp; Herts)</v>
      </c>
    </row>
    <row r="2314" spans="1:13" hidden="1" x14ac:dyDescent="0.55000000000000004">
      <c r="A2314" t="s">
        <v>2689</v>
      </c>
      <c r="B2314" t="s">
        <v>1692</v>
      </c>
      <c r="C2314" t="s">
        <v>5611</v>
      </c>
      <c r="E2314" t="s">
        <v>6060</v>
      </c>
      <c r="F2314" t="str">
        <f t="shared" si="36"/>
        <v>"C:\Program Files\VideoLAN\VLC\vlc.exe" "http://www.radiofeeds.net/playlists/bauer.pls?station=net2dorset-mp3"</v>
      </c>
      <c r="M2314" t="str">
        <f>VLOOKUP(A2314,logos!$A$2:$A$10004,1,FALSE)</f>
        <v>Greatest Hits Radio (South) (North &amp; West Dorset) (East)</v>
      </c>
    </row>
    <row r="2315" spans="1:13" hidden="1" x14ac:dyDescent="0.55000000000000004">
      <c r="A2315" t="s">
        <v>2690</v>
      </c>
      <c r="B2315" t="s">
        <v>1692</v>
      </c>
      <c r="C2315" t="s">
        <v>5612</v>
      </c>
      <c r="E2315" t="s">
        <v>6060</v>
      </c>
      <c r="F2315" t="str">
        <f t="shared" si="36"/>
        <v>"C:\Program Files\VideoLAN\VLC\vlc.exe" "http://www.radiofeeds.net/playlists/bauer.pls?station=net2salisbury-mp3"</v>
      </c>
      <c r="M2315" t="str">
        <f>VLOOKUP(A2315,logos!$A$2:$A$10004,1,FALSE)</f>
        <v>Greatest Hits Radio (South) (Salisbury)</v>
      </c>
    </row>
    <row r="2316" spans="1:13" hidden="1" x14ac:dyDescent="0.55000000000000004">
      <c r="A2316" t="s">
        <v>2691</v>
      </c>
      <c r="B2316" t="s">
        <v>1692</v>
      </c>
      <c r="C2316" t="s">
        <v>5613</v>
      </c>
      <c r="E2316" t="s">
        <v>6060</v>
      </c>
      <c r="F2316" t="str">
        <f t="shared" si="36"/>
        <v>"C:\Program Files\VideoLAN\VLC\vlc.exe" "http://www.radiofeeds.net/playlists/bauer.pls?station=net2southcoast-mp3"</v>
      </c>
      <c r="M2316" t="str">
        <f>VLOOKUP(A2316,logos!$A$2:$A$10004,1,FALSE)</f>
        <v>Greatest Hits Radio (South) (South Hampshire &amp; Isle of Wight)</v>
      </c>
    </row>
    <row r="2317" spans="1:13" hidden="1" x14ac:dyDescent="0.55000000000000004">
      <c r="A2317" t="s">
        <v>2692</v>
      </c>
      <c r="B2317" t="s">
        <v>1692</v>
      </c>
      <c r="C2317" t="s">
        <v>5614</v>
      </c>
      <c r="E2317" t="s">
        <v>6060</v>
      </c>
      <c r="F2317" t="str">
        <f t="shared" si="36"/>
        <v>"C:\Program Files\VideoLAN\VLC\vlc.exe" "http://www.radiofeeds.net/playlists/bauer.pls?station=net2surrey-mp3"</v>
      </c>
      <c r="M2317" t="str">
        <f>VLOOKUP(A2317,logos!$A$2:$A$10004,1,FALSE)</f>
        <v>Greatest Hits Radio (South) (Surrey &amp; East Hampshire)</v>
      </c>
    </row>
    <row r="2318" spans="1:13" hidden="1" x14ac:dyDescent="0.55000000000000004">
      <c r="A2318" t="s">
        <v>2693</v>
      </c>
      <c r="B2318" t="s">
        <v>1692</v>
      </c>
      <c r="C2318" t="s">
        <v>5615</v>
      </c>
      <c r="E2318" t="s">
        <v>6060</v>
      </c>
      <c r="F2318" t="str">
        <f t="shared" si="36"/>
        <v>"C:\Program Files\VideoLAN\VLC\vlc.exe" "http://www.radiofeeds.net/playlists/bauerflash.pls?station=net2sussex-mp3"</v>
      </c>
      <c r="M2318" t="str">
        <f>VLOOKUP(A2318,logos!$A$2:$A$10004,1,FALSE)</f>
        <v>Greatest Hits Radio (South) (West Sussex) (South)</v>
      </c>
    </row>
    <row r="2319" spans="1:13" hidden="1" x14ac:dyDescent="0.55000000000000004">
      <c r="A2319" t="s">
        <v>1592</v>
      </c>
      <c r="B2319" t="s">
        <v>1692</v>
      </c>
      <c r="C2319" t="s">
        <v>5616</v>
      </c>
      <c r="E2319" t="s">
        <v>6060</v>
      </c>
      <c r="F2319" t="str">
        <f t="shared" si="36"/>
        <v>"C:\Program Files\VideoLAN\VLC\vlc.exe" "http://www.radiofeeds.net/playlists/bauer.pls?station=net2southwales-mp3"</v>
      </c>
      <c r="M2319" t="str">
        <f>VLOOKUP(A2319,logos!$A$2:$A$10004,1,FALSE)</f>
        <v>Greatest Hits Radio (South Wales)</v>
      </c>
    </row>
    <row r="2320" spans="1:13" hidden="1" x14ac:dyDescent="0.55000000000000004">
      <c r="A2320" t="s">
        <v>2694</v>
      </c>
      <c r="B2320" t="s">
        <v>1692</v>
      </c>
      <c r="C2320" t="s">
        <v>5617</v>
      </c>
      <c r="E2320" t="s">
        <v>6060</v>
      </c>
      <c r="F2320" t="str">
        <f t="shared" si="36"/>
        <v>"C:\Program Files\VideoLAN\VLC\vlc.exe" "http://www.radiofeeds.net/playlists/bauer.pls?station=net2bath-mp3"</v>
      </c>
      <c r="M2320" t="str">
        <f>VLOOKUP(A2320,logos!$A$2:$A$10004,1,FALSE)</f>
        <v>Greatest Hits Radio (South West) (Bath &amp; the South West)</v>
      </c>
    </row>
    <row r="2321" spans="1:13" hidden="1" x14ac:dyDescent="0.55000000000000004">
      <c r="A2321" t="s">
        <v>2695</v>
      </c>
      <c r="B2321" t="s">
        <v>1692</v>
      </c>
      <c r="C2321" t="s">
        <v>5618</v>
      </c>
      <c r="E2321" t="s">
        <v>6060</v>
      </c>
      <c r="F2321" t="str">
        <f t="shared" si="36"/>
        <v>"C:\Program Files\VideoLAN\VLC\vlc.exe" "http://www.radiofeeds.net/playlists/bauer.pls?station=net2bristol-mp3"</v>
      </c>
      <c r="M2321" t="str">
        <f>VLOOKUP(A2321,logos!$A$2:$A$10004,1,FALSE)</f>
        <v>Greatest Hits Radio (South West) (Bristol &amp; the South West)</v>
      </c>
    </row>
    <row r="2322" spans="1:13" hidden="1" x14ac:dyDescent="0.55000000000000004">
      <c r="A2322" t="s">
        <v>2696</v>
      </c>
      <c r="B2322" t="s">
        <v>1692</v>
      </c>
      <c r="C2322" t="s">
        <v>5619</v>
      </c>
      <c r="E2322" t="s">
        <v>6060</v>
      </c>
      <c r="F2322" t="str">
        <f t="shared" si="36"/>
        <v>"C:\Program Files\VideoLAN\VLC\vlc.exe" "http://www.radiofeeds.net/playlists/bauer.pls?station=net2cornwall-mp3"</v>
      </c>
      <c r="M2322" t="str">
        <f>VLOOKUP(A2322,logos!$A$2:$A$10004,1,FALSE)</f>
        <v>Greatest Hits Radio (South West) (Cornwall)</v>
      </c>
    </row>
    <row r="2323" spans="1:13" hidden="1" x14ac:dyDescent="0.55000000000000004">
      <c r="A2323" t="s">
        <v>2697</v>
      </c>
      <c r="B2323" t="s">
        <v>1692</v>
      </c>
      <c r="C2323" t="s">
        <v>5620</v>
      </c>
      <c r="E2323" t="s">
        <v>6060</v>
      </c>
      <c r="F2323" t="str">
        <f t="shared" si="36"/>
        <v>"C:\Program Files\VideoLAN\VLC\vlc.exe" "http://www.radiofeeds.net/playlists/bauer.pls?station=net2devon-mp3"</v>
      </c>
      <c r="M2323" t="str">
        <f>VLOOKUP(A2323,logos!$A$2:$A$10004,1,FALSE)</f>
        <v>Greatest Hits Radio (South West) (Devon)</v>
      </c>
    </row>
    <row r="2324" spans="1:13" hidden="1" x14ac:dyDescent="0.55000000000000004">
      <c r="A2324" t="s">
        <v>2698</v>
      </c>
      <c r="B2324" t="s">
        <v>1692</v>
      </c>
      <c r="C2324" t="s">
        <v>5621</v>
      </c>
      <c r="E2324" t="s">
        <v>6060</v>
      </c>
      <c r="F2324" t="str">
        <f t="shared" si="36"/>
        <v>"C:\Program Files\VideoLAN\VLC\vlc.exe" "http://www.radiofeeds.net/playlists/bauer.pls?station=net2gloucester-mp3"</v>
      </c>
      <c r="M2324" t="str">
        <f>VLOOKUP(A2324,logos!$A$2:$A$10004,1,FALSE)</f>
        <v>Greatest Hits Radio (South West) (Gloucestershire)</v>
      </c>
    </row>
    <row r="2325" spans="1:13" hidden="1" x14ac:dyDescent="0.55000000000000004">
      <c r="A2325" t="s">
        <v>2699</v>
      </c>
      <c r="B2325" t="s">
        <v>1692</v>
      </c>
      <c r="C2325" t="s">
        <v>5622</v>
      </c>
      <c r="E2325" t="s">
        <v>6060</v>
      </c>
      <c r="F2325" t="str">
        <f t="shared" si="36"/>
        <v>"C:\Program Files\VideoLAN\VLC\vlc.exe" "http://www.radiofeeds.net/playlists/bauer.pls?station=net2plymouth-mp3"</v>
      </c>
      <c r="M2325" t="str">
        <f>VLOOKUP(A2325,logos!$A$2:$A$10004,1,FALSE)</f>
        <v>Greatest Hits Radio (South West) (Plymouth)</v>
      </c>
    </row>
    <row r="2326" spans="1:13" hidden="1" x14ac:dyDescent="0.55000000000000004">
      <c r="A2326" t="s">
        <v>2700</v>
      </c>
      <c r="B2326" t="s">
        <v>1692</v>
      </c>
      <c r="C2326" t="s">
        <v>5623</v>
      </c>
      <c r="E2326" t="s">
        <v>6060</v>
      </c>
      <c r="F2326" t="str">
        <f t="shared" si="36"/>
        <v>"C:\Program Files\VideoLAN\VLC\vlc.exe" "http://www.radiofeeds.net/playlists/bauer.pls?station=net2somerset-mp3"</v>
      </c>
      <c r="M2326" t="str">
        <f>VLOOKUP(A2326,logos!$A$2:$A$10004,1,FALSE)</f>
        <v>Greatest Hits Radio (South West) (Somerset)</v>
      </c>
    </row>
    <row r="2327" spans="1:13" hidden="1" x14ac:dyDescent="0.55000000000000004">
      <c r="A2327" t="s">
        <v>2701</v>
      </c>
      <c r="B2327" t="s">
        <v>1692</v>
      </c>
      <c r="C2327" t="s">
        <v>5624</v>
      </c>
      <c r="E2327" t="s">
        <v>6060</v>
      </c>
      <c r="F2327" t="str">
        <f t="shared" si="36"/>
        <v>"C:\Program Files\VideoLAN\VLC\vlc.exe" "http://www.radiofeeds.net/playlists/bauer.pls?station=net2swindon-mp3"</v>
      </c>
      <c r="M2327" t="str">
        <f>VLOOKUP(A2327,logos!$A$2:$A$10004,1,FALSE)</f>
        <v>Greatest Hits Radio (South West) (Swindon)</v>
      </c>
    </row>
    <row r="2328" spans="1:13" hidden="1" x14ac:dyDescent="0.55000000000000004">
      <c r="A2328" t="s">
        <v>2702</v>
      </c>
      <c r="B2328" t="s">
        <v>1692</v>
      </c>
      <c r="C2328" t="s">
        <v>5625</v>
      </c>
      <c r="E2328" t="s">
        <v>6060</v>
      </c>
      <c r="F2328" t="str">
        <f t="shared" si="36"/>
        <v>"C:\Program Files\VideoLAN\VLC\vlc.exe" "http://www.radiofeeds.net/playlists/bauer.pls?station=net2national-mp3"</v>
      </c>
      <c r="M2328" t="str">
        <f>VLOOKUP(A2328,logos!$A$2:$A$10004,1,FALSE)</f>
        <v>Greatest Hits Radio (UK)</v>
      </c>
    </row>
    <row r="2329" spans="1:13" hidden="1" x14ac:dyDescent="0.55000000000000004">
      <c r="A2329" t="s">
        <v>2703</v>
      </c>
      <c r="B2329" t="s">
        <v>1692</v>
      </c>
      <c r="C2329" t="s">
        <v>5626</v>
      </c>
      <c r="E2329" t="s">
        <v>6060</v>
      </c>
      <c r="F2329" t="str">
        <f t="shared" si="36"/>
        <v>"C:\Program Files\VideoLAN\VLC\vlc.exe" "http://www.radiofeeds.net/playlists/bauer.pls?station=net2hull-mp3"</v>
      </c>
      <c r="M2329" t="str">
        <f>VLOOKUP(A2329,logos!$A$2:$A$10004,1,FALSE)</f>
        <v>Greatest Hits Radio (Yorkshire) (East Yorkshire &amp; Northern Lincolnshire)</v>
      </c>
    </row>
    <row r="2330" spans="1:13" hidden="1" x14ac:dyDescent="0.55000000000000004">
      <c r="A2330" t="s">
        <v>2704</v>
      </c>
      <c r="B2330" t="s">
        <v>1692</v>
      </c>
      <c r="C2330" t="s">
        <v>5627</v>
      </c>
      <c r="E2330" t="s">
        <v>6060</v>
      </c>
      <c r="F2330" t="str">
        <f t="shared" si="36"/>
        <v>"C:\Program Files\VideoLAN\VLC\vlc.exe" "http://www.radiofeeds.net/playlists/bauer.pls?station=net2grimsby-mp3"</v>
      </c>
      <c r="M2330" t="str">
        <f>VLOOKUP(A2330,logos!$A$2:$A$10004,1,FALSE)</f>
        <v>Greatest Hits Radio (Yorkshire) (Grimsby)</v>
      </c>
    </row>
    <row r="2331" spans="1:13" hidden="1" x14ac:dyDescent="0.55000000000000004">
      <c r="A2331" t="s">
        <v>2705</v>
      </c>
      <c r="B2331" t="s">
        <v>1692</v>
      </c>
      <c r="C2331" t="s">
        <v>5628</v>
      </c>
      <c r="E2331" t="s">
        <v>6060</v>
      </c>
      <c r="F2331" t="str">
        <f t="shared" si="36"/>
        <v>"C:\Program Files\VideoLAN\VLC\vlc.exe" "http://www.radiofeeds.net/playlists/bauer.pls?station=net2harrogate-mp3"</v>
      </c>
      <c r="M2331" t="str">
        <f>VLOOKUP(A2331,logos!$A$2:$A$10004,1,FALSE)</f>
        <v>Greatest Hits Radio (Yorkshire) (Harrogate &amp; the Yorkshire Dales) (Harrogate)</v>
      </c>
    </row>
    <row r="2332" spans="1:13" hidden="1" x14ac:dyDescent="0.55000000000000004">
      <c r="A2332" t="s">
        <v>2706</v>
      </c>
      <c r="B2332" t="s">
        <v>1692</v>
      </c>
      <c r="C2332" t="s">
        <v>5629</v>
      </c>
      <c r="E2332" t="s">
        <v>6060</v>
      </c>
      <c r="F2332" t="str">
        <f t="shared" si="36"/>
        <v>"C:\Program Files\VideoLAN\VLC\vlc.exe" "http://www.radiofeeds.net/playlists/bauer.pls?station=net2lincoln-mp3"</v>
      </c>
      <c r="M2332" t="str">
        <f>VLOOKUP(A2332,logos!$A$2:$A$10004,1,FALSE)</f>
        <v>Greatest Hits Radio (Yorkshire) (Lincolnshire)</v>
      </c>
    </row>
    <row r="2333" spans="1:13" hidden="1" x14ac:dyDescent="0.55000000000000004">
      <c r="A2333" t="s">
        <v>2707</v>
      </c>
      <c r="B2333" t="s">
        <v>1692</v>
      </c>
      <c r="C2333" t="s">
        <v>5630</v>
      </c>
      <c r="E2333" t="s">
        <v>6060</v>
      </c>
      <c r="F2333" t="str">
        <f t="shared" si="36"/>
        <v>"C:\Program Files\VideoLAN\VLC\vlc.exe" "http://www.radiofeeds.net/playlists/bauer.pls?station=net2chesterfield-mp3"</v>
      </c>
      <c r="M2333" t="str">
        <f>VLOOKUP(A2333,logos!$A$2:$A$10004,1,FALSE)</f>
        <v>Greatest Hits Radio (Yorkshire) (North Derbyshire)</v>
      </c>
    </row>
    <row r="2334" spans="1:13" hidden="1" x14ac:dyDescent="0.55000000000000004">
      <c r="A2334" t="s">
        <v>2708</v>
      </c>
      <c r="B2334" t="s">
        <v>1692</v>
      </c>
      <c r="C2334" t="s">
        <v>5631</v>
      </c>
      <c r="E2334" t="s">
        <v>6060</v>
      </c>
      <c r="F2334" t="str">
        <f t="shared" si="36"/>
        <v>"C:\Program Files\VideoLAN\VLC\vlc.exe" "http://www.radiofeeds.net/playlists/bauer.pls?station=magicam-mp3"</v>
      </c>
      <c r="M2334" t="str">
        <f>VLOOKUP(A2334,logos!$A$2:$A$10004,1,FALSE)</f>
        <v>Greatest Hits Radio (Yorkshire) (South Yorkshire)</v>
      </c>
    </row>
    <row r="2335" spans="1:13" hidden="1" x14ac:dyDescent="0.55000000000000004">
      <c r="A2335" t="s">
        <v>2709</v>
      </c>
      <c r="B2335" t="s">
        <v>1692</v>
      </c>
      <c r="C2335" t="s">
        <v>5632</v>
      </c>
      <c r="E2335" t="s">
        <v>6060</v>
      </c>
      <c r="F2335" t="str">
        <f t="shared" si="36"/>
        <v>"C:\Program Files\VideoLAN\VLC\vlc.exe" "http://www.radiofeeds.net/playlists/bauer.pls?station=magic828-mp3"</v>
      </c>
      <c r="M2335" t="str">
        <f>VLOOKUP(A2335,logos!$A$2:$A$10004,1,FALSE)</f>
        <v>Greatest Hits Radio (Yorkshire) (West Yorkshire) (Leeds)</v>
      </c>
    </row>
    <row r="2336" spans="1:13" hidden="1" x14ac:dyDescent="0.55000000000000004">
      <c r="A2336" t="s">
        <v>2710</v>
      </c>
      <c r="B2336" t="s">
        <v>1692</v>
      </c>
      <c r="C2336" t="s">
        <v>5633</v>
      </c>
      <c r="E2336" t="s">
        <v>6060</v>
      </c>
      <c r="F2336" t="str">
        <f t="shared" si="36"/>
        <v>"C:\Program Files\VideoLAN\VLC\vlc.exe" "http://www.radiofeeds.net/playlists/bauer.pls?station=net2york-mp3"</v>
      </c>
      <c r="M2336" t="str">
        <f>VLOOKUP(A2336,logos!$A$2:$A$10004,1,FALSE)</f>
        <v>Greatest Hits Radio (Yorkshire) (York &amp; North Yorkshire) (York)</v>
      </c>
    </row>
    <row r="2337" spans="1:13" hidden="1" x14ac:dyDescent="0.55000000000000004">
      <c r="A2337" t="s">
        <v>2711</v>
      </c>
      <c r="B2337" t="s">
        <v>1692</v>
      </c>
      <c r="C2337" t="s">
        <v>5634</v>
      </c>
      <c r="E2337" t="s">
        <v>6060</v>
      </c>
      <c r="F2337" t="str">
        <f t="shared" si="36"/>
        <v>"C:\Program Files\VideoLAN\VLC\vlc.exe" "http://www.radiofeeds.net/playlists/bauer.pls?station=net2yorkshirecoast-mp3"</v>
      </c>
      <c r="M2337" t="str">
        <f>VLOOKUP(A2337,logos!$A$2:$A$10004,1,FALSE)</f>
        <v>Greatest Hits Radio (Yorkshire) (Yorkshire Coast) (Scarborough)</v>
      </c>
    </row>
    <row r="2338" spans="1:13" hidden="1" x14ac:dyDescent="0.55000000000000004">
      <c r="A2338" t="s">
        <v>566</v>
      </c>
      <c r="B2338" t="s">
        <v>1692</v>
      </c>
      <c r="C2338" t="s">
        <v>5635</v>
      </c>
      <c r="E2338" t="s">
        <v>6060</v>
      </c>
      <c r="F2338" t="str">
        <f t="shared" si="36"/>
        <v>"C:\Program Files\VideoLAN\VLC\vlc.exe" "http://www.radiofeeds.net/playlists/bauer.pls?station=hallam-mp3"</v>
      </c>
      <c r="M2338" t="str">
        <f>VLOOKUP(A2338,logos!$A$2:$A$10004,1,FALSE)</f>
        <v>Hallam FM</v>
      </c>
    </row>
    <row r="2339" spans="1:13" hidden="1" x14ac:dyDescent="0.55000000000000004">
      <c r="A2339" t="s">
        <v>568</v>
      </c>
      <c r="B2339" t="s">
        <v>1668</v>
      </c>
      <c r="C2339" t="s">
        <v>5636</v>
      </c>
      <c r="E2339" t="s">
        <v>6060</v>
      </c>
      <c r="F2339" t="str">
        <f t="shared" si="36"/>
        <v>"C:\Program Files\VideoLAN\VLC\vlc.exe" "http://s43.myradiostream.com:22874/listen.pls?sid=1"</v>
      </c>
      <c r="M2339" t="e">
        <f>VLOOKUP(A2339,logos!$A$2:$A$10004,1,FALSE)</f>
        <v>#N/A</v>
      </c>
    </row>
    <row r="2340" spans="1:13" hidden="1" x14ac:dyDescent="0.55000000000000004">
      <c r="A2340" t="s">
        <v>568</v>
      </c>
      <c r="B2340" t="s">
        <v>1682</v>
      </c>
      <c r="C2340" t="s">
        <v>5637</v>
      </c>
      <c r="E2340" t="s">
        <v>6060</v>
      </c>
      <c r="F2340" t="str">
        <f t="shared" si="36"/>
        <v>"C:\Program Files\VideoLAN\VLC\vlc.exe" "http://provisioning.streamtheworld.com/pls/SAM07AAC214.pls"</v>
      </c>
      <c r="M2340" t="e">
        <f>VLOOKUP(A2340,logos!$A$2:$A$10004,1,FALSE)</f>
        <v>#N/A</v>
      </c>
    </row>
    <row r="2341" spans="1:13" hidden="1" x14ac:dyDescent="0.55000000000000004">
      <c r="A2341" t="s">
        <v>574</v>
      </c>
      <c r="B2341" t="s">
        <v>1663</v>
      </c>
      <c r="C2341" t="s">
        <v>5638</v>
      </c>
      <c r="E2341" t="s">
        <v>6060</v>
      </c>
      <c r="F2341" t="str">
        <f t="shared" si="36"/>
        <v>"C:\Program Files\VideoLAN\VLC\vlc.exe" "http://playoutonestreaming.com:8026/listen.pls?sid=1"</v>
      </c>
      <c r="M2341" t="e">
        <f>VLOOKUP(A2341,logos!$A$2:$A$10004,1,FALSE)</f>
        <v>#N/A</v>
      </c>
    </row>
    <row r="2342" spans="1:13" hidden="1" x14ac:dyDescent="0.55000000000000004">
      <c r="A2342" t="s">
        <v>574</v>
      </c>
      <c r="B2342" t="s">
        <v>1666</v>
      </c>
      <c r="C2342" t="s">
        <v>5639</v>
      </c>
      <c r="E2342" t="s">
        <v>6060</v>
      </c>
      <c r="F2342" t="str">
        <f t="shared" si="36"/>
        <v>"C:\Program Files\VideoLAN\VLC\vlc.exe" "http://playoutonestreaming.com:8026/listen.pls?sid=2"</v>
      </c>
      <c r="M2342" t="e">
        <f>VLOOKUP(A2342,logos!$A$2:$A$10004,1,FALSE)</f>
        <v>#N/A</v>
      </c>
    </row>
    <row r="2343" spans="1:13" hidden="1" x14ac:dyDescent="0.55000000000000004">
      <c r="A2343" t="s">
        <v>2712</v>
      </c>
      <c r="B2343" t="s">
        <v>1663</v>
      </c>
      <c r="C2343" t="s">
        <v>5640</v>
      </c>
      <c r="E2343" t="s">
        <v>6060</v>
      </c>
      <c r="F2343" t="str">
        <f t="shared" si="36"/>
        <v>"C:\Program Files\VideoLAN\VLC\vlc.exe" "http://icecast.thisisdax.com/HeartBedfordshireMP3.m3u"</v>
      </c>
      <c r="M2343" t="str">
        <f>VLOOKUP(A2343,logos!$A$2:$A$10004,1,FALSE)</f>
        <v>Heart (East) (Bedfordshire)</v>
      </c>
    </row>
    <row r="2344" spans="1:13" hidden="1" x14ac:dyDescent="0.55000000000000004">
      <c r="A2344" t="s">
        <v>2713</v>
      </c>
      <c r="B2344" t="s">
        <v>1663</v>
      </c>
      <c r="C2344" t="s">
        <v>5641</v>
      </c>
      <c r="E2344" t="s">
        <v>6060</v>
      </c>
      <c r="F2344" t="str">
        <f t="shared" si="36"/>
        <v>"C:\Program Files\VideoLAN\VLC\vlc.exe" "http://icecast.thisisdax.com/HeartBedsBucksHertsMP3.m3u"</v>
      </c>
      <c r="M2344" t="str">
        <f>VLOOKUP(A2344,logos!$A$2:$A$10004,1,FALSE)</f>
        <v>Heart (East) (Beds, Bucks &amp; Herts)</v>
      </c>
    </row>
    <row r="2345" spans="1:13" hidden="1" x14ac:dyDescent="0.55000000000000004">
      <c r="A2345" t="s">
        <v>2714</v>
      </c>
      <c r="B2345" t="s">
        <v>1663</v>
      </c>
      <c r="C2345" t="s">
        <v>5642</v>
      </c>
      <c r="E2345" t="s">
        <v>6060</v>
      </c>
      <c r="F2345" t="str">
        <f t="shared" si="36"/>
        <v>"C:\Program Files\VideoLAN\VLC\vlc.exe" "http://icecast.thisisdax.com/HeartCambridgeMP3.m3u"</v>
      </c>
      <c r="M2345" t="str">
        <f>VLOOKUP(A2345,logos!$A$2:$A$10004,1,FALSE)</f>
        <v>Heart (East) (Cambridge &amp; Newmarket)</v>
      </c>
    </row>
    <row r="2346" spans="1:13" hidden="1" x14ac:dyDescent="0.55000000000000004">
      <c r="A2346" t="s">
        <v>2715</v>
      </c>
      <c r="B2346" t="s">
        <v>1663</v>
      </c>
      <c r="C2346" t="s">
        <v>5643</v>
      </c>
      <c r="E2346" t="s">
        <v>6060</v>
      </c>
      <c r="F2346" t="str">
        <f t="shared" si="36"/>
        <v>"C:\Program Files\VideoLAN\VLC\vlc.exe" "http://icecast.thisisdax.com/HeartColchesterMP3.m3u"</v>
      </c>
      <c r="M2346" t="str">
        <f>VLOOKUP(A2346,logos!$A$2:$A$10004,1,FALSE)</f>
        <v>Heart (East) (Colchester)</v>
      </c>
    </row>
    <row r="2347" spans="1:13" hidden="1" x14ac:dyDescent="0.55000000000000004">
      <c r="A2347" t="s">
        <v>2716</v>
      </c>
      <c r="B2347" t="s">
        <v>1663</v>
      </c>
      <c r="C2347" t="s">
        <v>5644</v>
      </c>
      <c r="E2347" t="s">
        <v>6060</v>
      </c>
      <c r="F2347" t="str">
        <f t="shared" si="36"/>
        <v>"C:\Program Files\VideoLAN\VLC\vlc.exe" "http://icecast.thisisdax.com/HeartPeterboroughMP3.m3u"</v>
      </c>
      <c r="M2347" t="str">
        <f>VLOOKUP(A2347,logos!$A$2:$A$10004,1,FALSE)</f>
        <v>Heart (East) (Greater Peterborough)</v>
      </c>
    </row>
    <row r="2348" spans="1:13" hidden="1" x14ac:dyDescent="0.55000000000000004">
      <c r="A2348" t="s">
        <v>2717</v>
      </c>
      <c r="B2348" t="s">
        <v>1663</v>
      </c>
      <c r="C2348" t="s">
        <v>5645</v>
      </c>
      <c r="E2348" t="s">
        <v>6060</v>
      </c>
      <c r="F2348" t="str">
        <f t="shared" si="36"/>
        <v>"C:\Program Files\VideoLAN\VLC\vlc.exe" "http://icecast.thisisdax.com/HeartHarlowMP3.m3u"</v>
      </c>
      <c r="M2348" t="str">
        <f>VLOOKUP(A2348,logos!$A$2:$A$10004,1,FALSE)</f>
        <v>Heart (East) (Harlow)</v>
      </c>
    </row>
    <row r="2349" spans="1:13" hidden="1" x14ac:dyDescent="0.55000000000000004">
      <c r="A2349" t="s">
        <v>2718</v>
      </c>
      <c r="B2349" t="s">
        <v>1663</v>
      </c>
      <c r="C2349" t="s">
        <v>5646</v>
      </c>
      <c r="E2349" t="s">
        <v>6060</v>
      </c>
      <c r="F2349" t="str">
        <f t="shared" si="36"/>
        <v>"C:\Program Files\VideoLAN\VLC\vlc.exe" "http://icecast.thisisdax.com/HeartMiltonKeynesMP3.m3u"</v>
      </c>
      <c r="M2349" t="str">
        <f>VLOOKUP(A2349,logos!$A$2:$A$10004,1,FALSE)</f>
        <v>Heart (East) (Milton Keynes)</v>
      </c>
    </row>
    <row r="2350" spans="1:13" hidden="1" x14ac:dyDescent="0.55000000000000004">
      <c r="A2350" t="s">
        <v>2719</v>
      </c>
      <c r="B2350" t="s">
        <v>1663</v>
      </c>
      <c r="C2350" t="s">
        <v>5647</v>
      </c>
      <c r="E2350" t="s">
        <v>6060</v>
      </c>
      <c r="F2350" t="str">
        <f t="shared" si="36"/>
        <v>"C:\Program Files\VideoLAN\VLC\vlc.exe" "http://icecast.thisisdax.com/HeartNorfolkMP3.m3u"</v>
      </c>
      <c r="M2350" t="str">
        <f>VLOOKUP(A2350,logos!$A$2:$A$10004,1,FALSE)</f>
        <v>Heart (East) (Norfolk &amp; North Suffolk)</v>
      </c>
    </row>
    <row r="2351" spans="1:13" hidden="1" x14ac:dyDescent="0.55000000000000004">
      <c r="A2351" t="s">
        <v>2720</v>
      </c>
      <c r="B2351" t="s">
        <v>1663</v>
      </c>
      <c r="C2351" t="s">
        <v>5648</v>
      </c>
      <c r="E2351" t="s">
        <v>6060</v>
      </c>
      <c r="F2351" t="str">
        <f t="shared" si="36"/>
        <v>"C:\Program Files\VideoLAN\VLC\vlc.exe" "http://icecast.thisisdax.com/HeartNorthamptonshireMP3.m3u"</v>
      </c>
      <c r="M2351" t="str">
        <f>VLOOKUP(A2351,logos!$A$2:$A$10004,1,FALSE)</f>
        <v>Heart (East) (Northamptonshire)</v>
      </c>
    </row>
    <row r="2352" spans="1:13" hidden="1" x14ac:dyDescent="0.55000000000000004">
      <c r="A2352" t="s">
        <v>2721</v>
      </c>
      <c r="B2352" t="s">
        <v>1663</v>
      </c>
      <c r="C2352" t="s">
        <v>5649</v>
      </c>
      <c r="E2352" t="s">
        <v>6060</v>
      </c>
      <c r="F2352" t="str">
        <f t="shared" si="36"/>
        <v>"C:\Program Files\VideoLAN\VLC\vlc.exe" "http://icecast.thisisdax.com/HeartEssexMP3.m3u"</v>
      </c>
      <c r="M2352" t="str">
        <f>VLOOKUP(A2352,logos!$A$2:$A$10004,1,FALSE)</f>
        <v>Heart (East) (Southend &amp; Chelmsford)</v>
      </c>
    </row>
    <row r="2353" spans="1:13" hidden="1" x14ac:dyDescent="0.55000000000000004">
      <c r="A2353" t="s">
        <v>2722</v>
      </c>
      <c r="B2353" t="s">
        <v>1663</v>
      </c>
      <c r="C2353" t="s">
        <v>5650</v>
      </c>
      <c r="E2353" t="s">
        <v>6060</v>
      </c>
      <c r="F2353" t="str">
        <f t="shared" si="36"/>
        <v>"C:\Program Files\VideoLAN\VLC\vlc.exe" "http://icecast.thisisdax.com/HeartSuffolkMP3.m3u"</v>
      </c>
      <c r="M2353" t="str">
        <f>VLOOKUP(A2353,logos!$A$2:$A$10004,1,FALSE)</f>
        <v>Heart (East) (Suffolk)</v>
      </c>
    </row>
    <row r="2354" spans="1:13" hidden="1" x14ac:dyDescent="0.55000000000000004">
      <c r="A2354" t="s">
        <v>2723</v>
      </c>
      <c r="B2354" t="s">
        <v>1663</v>
      </c>
      <c r="C2354" t="s">
        <v>5651</v>
      </c>
      <c r="E2354" t="s">
        <v>6060</v>
      </c>
      <c r="F2354" t="str">
        <f t="shared" si="36"/>
        <v>"C:\Program Files\VideoLAN\VLC\vlc.exe" "http://icecast.thisisdax.com/HeartHertsNorthMP3.m3u"</v>
      </c>
      <c r="M2354" t="str">
        <f>VLOOKUP(A2354,logos!$A$2:$A$10004,1,FALSE)</f>
        <v>Heart (Hertfordshire) (North)</v>
      </c>
    </row>
    <row r="2355" spans="1:13" hidden="1" x14ac:dyDescent="0.55000000000000004">
      <c r="A2355" t="s">
        <v>2724</v>
      </c>
      <c r="B2355" t="s">
        <v>1663</v>
      </c>
      <c r="C2355" t="s">
        <v>5652</v>
      </c>
      <c r="E2355" t="s">
        <v>6060</v>
      </c>
      <c r="F2355" t="str">
        <f t="shared" si="36"/>
        <v>"C:\Program Files\VideoLAN\VLC\vlc.exe" "http://icecast.thisisdax.com/HeartWatfordMP3.m3u"</v>
      </c>
      <c r="M2355" t="str">
        <f>VLOOKUP(A2355,logos!$A$2:$A$10004,1,FALSE)</f>
        <v>Heart (Hertfordshire) (Watford &amp; Hemel)</v>
      </c>
    </row>
    <row r="2356" spans="1:13" hidden="1" x14ac:dyDescent="0.55000000000000004">
      <c r="A2356" t="s">
        <v>2725</v>
      </c>
      <c r="B2356" t="s">
        <v>1663</v>
      </c>
      <c r="C2356" t="s">
        <v>5653</v>
      </c>
      <c r="E2356" t="s">
        <v>6060</v>
      </c>
      <c r="F2356" t="str">
        <f t="shared" si="36"/>
        <v>"C:\Program Files\VideoLAN\VLC\vlc.exe" "http://icecast.thisisdax.com/HeartLondonMP3.m3u"</v>
      </c>
      <c r="M2356" t="str">
        <f>VLOOKUP(A2356,logos!$A$2:$A$10004,1,FALSE)</f>
        <v>Heart (London)</v>
      </c>
    </row>
    <row r="2357" spans="1:13" hidden="1" x14ac:dyDescent="0.55000000000000004">
      <c r="A2357" t="s">
        <v>2726</v>
      </c>
      <c r="B2357" t="s">
        <v>1663</v>
      </c>
      <c r="C2357" t="s">
        <v>5654</v>
      </c>
      <c r="E2357" t="s">
        <v>6060</v>
      </c>
      <c r="F2357" t="str">
        <f t="shared" si="36"/>
        <v>"C:\Program Files\VideoLAN\VLC\vlc.exe" "http://icecast.thisisdax.com/HeartNorthWalesMP3.m3u"</v>
      </c>
      <c r="M2357" t="str">
        <f>VLOOKUP(A2357,logos!$A$2:$A$10004,1,FALSE)</f>
        <v>Heart (North &amp; Mid Wales)</v>
      </c>
    </row>
    <row r="2358" spans="1:13" hidden="1" x14ac:dyDescent="0.55000000000000004">
      <c r="A2358" t="s">
        <v>2727</v>
      </c>
      <c r="B2358" t="s">
        <v>1663</v>
      </c>
      <c r="C2358" t="s">
        <v>5655</v>
      </c>
      <c r="E2358" t="s">
        <v>6060</v>
      </c>
      <c r="F2358" t="str">
        <f t="shared" si="36"/>
        <v>"C:\Program Files\VideoLAN\VLC\vlc.exe" "http://icecast.thisisdax.com/HeartTeessideMP3.m3u"</v>
      </c>
      <c r="M2358" t="str">
        <f>VLOOKUP(A2358,logos!$A$2:$A$10004,1,FALSE)</f>
        <v>Heart (North East England) (Teesside)</v>
      </c>
    </row>
    <row r="2359" spans="1:13" hidden="1" x14ac:dyDescent="0.55000000000000004">
      <c r="A2359" t="s">
        <v>2728</v>
      </c>
      <c r="B2359" t="s">
        <v>1663</v>
      </c>
      <c r="C2359" t="s">
        <v>5656</v>
      </c>
      <c r="E2359" t="s">
        <v>6060</v>
      </c>
      <c r="F2359" t="str">
        <f t="shared" si="36"/>
        <v>"C:\Program Files\VideoLAN\VLC\vlc.exe" "http://icecast.thisisdax.com/HeartTyneWearMP3.m3u"</v>
      </c>
      <c r="M2359" t="str">
        <f>VLOOKUP(A2359,logos!$A$2:$A$10004,1,FALSE)</f>
        <v>Heart (North East England) (Tyne &amp; Wear)</v>
      </c>
    </row>
    <row r="2360" spans="1:13" hidden="1" x14ac:dyDescent="0.55000000000000004">
      <c r="A2360" t="s">
        <v>2729</v>
      </c>
      <c r="B2360" t="s">
        <v>1663</v>
      </c>
      <c r="C2360" t="s">
        <v>5657</v>
      </c>
      <c r="E2360" t="s">
        <v>6060</v>
      </c>
      <c r="F2360" t="str">
        <f t="shared" si="36"/>
        <v>"C:\Program Files\VideoLAN\VLC\vlc.exe" "http://icecast.thisisdax.com/HeartNorthLancsCumbriaMP3.m3u"</v>
      </c>
      <c r="M2360" t="str">
        <f>VLOOKUP(A2360,logos!$A$2:$A$10004,1,FALSE)</f>
        <v>Heart (North West England) (North Lancashire &amp; Cumbria)</v>
      </c>
    </row>
    <row r="2361" spans="1:13" hidden="1" x14ac:dyDescent="0.55000000000000004">
      <c r="A2361" t="s">
        <v>2730</v>
      </c>
      <c r="B2361" t="s">
        <v>1663</v>
      </c>
      <c r="C2361" t="s">
        <v>5658</v>
      </c>
      <c r="E2361" t="s">
        <v>6060</v>
      </c>
      <c r="F2361" t="str">
        <f t="shared" si="36"/>
        <v>"C:\Program Files\VideoLAN\VLC\vlc.exe" "http://icecast.thisisdax.com/HeartNorthWestMP3.m3u"</v>
      </c>
      <c r="M2361" t="str">
        <f>VLOOKUP(A2361,logos!$A$2:$A$10004,1,FALSE)</f>
        <v>Heart (North West England) (North West England)</v>
      </c>
    </row>
    <row r="2362" spans="1:13" hidden="1" x14ac:dyDescent="0.55000000000000004">
      <c r="A2362" t="s">
        <v>2731</v>
      </c>
      <c r="B2362" t="s">
        <v>1663</v>
      </c>
      <c r="C2362" t="s">
        <v>5659</v>
      </c>
      <c r="E2362" t="s">
        <v>6060</v>
      </c>
      <c r="F2362" t="str">
        <f t="shared" si="36"/>
        <v>"C:\Program Files\VideoLAN\VLC\vlc.exe" "http://icecast.thisisdax.com/HeartEdinburghMP3.m3u"</v>
      </c>
      <c r="M2362" t="str">
        <f>VLOOKUP(A2362,logos!$A$2:$A$10004,1,FALSE)</f>
        <v>Heart (Scotland) (East)</v>
      </c>
    </row>
    <row r="2363" spans="1:13" hidden="1" x14ac:dyDescent="0.55000000000000004">
      <c r="A2363" t="s">
        <v>2732</v>
      </c>
      <c r="B2363" t="s">
        <v>1663</v>
      </c>
      <c r="C2363" t="s">
        <v>5660</v>
      </c>
      <c r="E2363" t="s">
        <v>6060</v>
      </c>
      <c r="F2363" t="str">
        <f t="shared" si="36"/>
        <v>"C:\Program Files\VideoLAN\VLC\vlc.exe" "http://icecast.thisisdax.com/HeartGlasgowMP3.m3u"</v>
      </c>
      <c r="M2363" t="str">
        <f>VLOOKUP(A2363,logos!$A$2:$A$10004,1,FALSE)</f>
        <v>Heart (Scotland) (West)</v>
      </c>
    </row>
    <row r="2364" spans="1:13" hidden="1" x14ac:dyDescent="0.55000000000000004">
      <c r="A2364" t="s">
        <v>2733</v>
      </c>
      <c r="B2364" t="s">
        <v>1663</v>
      </c>
      <c r="C2364" t="s">
        <v>5661</v>
      </c>
      <c r="E2364" t="s">
        <v>6060</v>
      </c>
      <c r="F2364" t="str">
        <f t="shared" si="36"/>
        <v>"C:\Program Files\VideoLAN\VLC\vlc.exe" "http://icecast.thisisdax.com/HeartBerkshireMP3.m3u"</v>
      </c>
      <c r="M2364" t="str">
        <f>VLOOKUP(A2364,logos!$A$2:$A$10004,1,FALSE)</f>
        <v>Heart (South) (Berkshire &amp; North Hampshire)</v>
      </c>
    </row>
    <row r="2365" spans="1:13" hidden="1" x14ac:dyDescent="0.55000000000000004">
      <c r="A2365" t="s">
        <v>2734</v>
      </c>
      <c r="B2365" t="s">
        <v>1663</v>
      </c>
      <c r="C2365" t="s">
        <v>5662</v>
      </c>
      <c r="E2365" t="s">
        <v>6060</v>
      </c>
      <c r="F2365" t="str">
        <f t="shared" si="36"/>
        <v>"C:\Program Files\VideoLAN\VLC\vlc.exe" "http://icecast.thisisdax.com/HeartCrawleyMP3.m3u"</v>
      </c>
      <c r="M2365" t="str">
        <f>VLOOKUP(A2365,logos!$A$2:$A$10004,1,FALSE)</f>
        <v>Heart (South) (Crawley &amp; Surrey)</v>
      </c>
    </row>
    <row r="2366" spans="1:13" hidden="1" x14ac:dyDescent="0.55000000000000004">
      <c r="A2366" t="s">
        <v>2735</v>
      </c>
      <c r="B2366" t="s">
        <v>1663</v>
      </c>
      <c r="C2366" t="s">
        <v>5663</v>
      </c>
      <c r="E2366" t="s">
        <v>6060</v>
      </c>
      <c r="F2366" t="str">
        <f t="shared" si="36"/>
        <v>"C:\Program Files\VideoLAN\VLC\vlc.exe" "http://icecast.thisisdax.com/HeartDorsetMP3.m3u"</v>
      </c>
      <c r="M2366" t="str">
        <f>VLOOKUP(A2366,logos!$A$2:$A$10004,1,FALSE)</f>
        <v>Heart (South) (Dorset &amp; The New Forest)</v>
      </c>
    </row>
    <row r="2367" spans="1:13" hidden="1" x14ac:dyDescent="0.55000000000000004">
      <c r="A2367" t="s">
        <v>2736</v>
      </c>
      <c r="B2367" t="s">
        <v>1663</v>
      </c>
      <c r="C2367" t="s">
        <v>5664</v>
      </c>
      <c r="E2367" t="s">
        <v>6060</v>
      </c>
      <c r="F2367" t="str">
        <f t="shared" si="36"/>
        <v>"C:\Program Files\VideoLAN\VLC\vlc.exe" "http://icecast.thisisdax.com/HeartHampshireMP3.m3u"</v>
      </c>
      <c r="M2367" t="str">
        <f>VLOOKUP(A2367,logos!$A$2:$A$10004,1,FALSE)</f>
        <v>Heart (South) (Hampshire &amp; West Sussex)</v>
      </c>
    </row>
    <row r="2368" spans="1:13" hidden="1" x14ac:dyDescent="0.55000000000000004">
      <c r="A2368" t="s">
        <v>2737</v>
      </c>
      <c r="B2368" t="s">
        <v>1663</v>
      </c>
      <c r="C2368" t="s">
        <v>5665</v>
      </c>
      <c r="E2368" t="s">
        <v>6060</v>
      </c>
      <c r="F2368" t="str">
        <f t="shared" si="36"/>
        <v>"C:\Program Files\VideoLAN\VLC\vlc.exe" "http://icecast.thisisdax.com/HeartKentMP3.m3u"</v>
      </c>
      <c r="M2368" t="str">
        <f>VLOOKUP(A2368,logos!$A$2:$A$10004,1,FALSE)</f>
        <v>Heart (South) (Kent)</v>
      </c>
    </row>
    <row r="2369" spans="1:13" hidden="1" x14ac:dyDescent="0.55000000000000004">
      <c r="A2369" t="s">
        <v>2738</v>
      </c>
      <c r="B2369" t="s">
        <v>1663</v>
      </c>
      <c r="C2369" t="s">
        <v>5666</v>
      </c>
      <c r="E2369" t="s">
        <v>6060</v>
      </c>
      <c r="F2369" t="str">
        <f t="shared" si="36"/>
        <v>"C:\Program Files\VideoLAN\VLC\vlc.exe" "http://icecast.thisisdax.com/HeartOxfordshireMP3.m3u"</v>
      </c>
      <c r="M2369" t="str">
        <f>VLOOKUP(A2369,logos!$A$2:$A$10004,1,FALSE)</f>
        <v>Heart (South) (Oxfordshire)</v>
      </c>
    </row>
    <row r="2370" spans="1:13" hidden="1" x14ac:dyDescent="0.55000000000000004">
      <c r="A2370" t="s">
        <v>2739</v>
      </c>
      <c r="B2370" t="s">
        <v>1663</v>
      </c>
      <c r="C2370" t="s">
        <v>5667</v>
      </c>
      <c r="E2370" t="s">
        <v>6060</v>
      </c>
      <c r="F2370" t="str">
        <f t="shared" si="36"/>
        <v>"C:\Program Files\VideoLAN\VLC\vlc.exe" "http://icecast.thisisdax.com/HeartSussexMP3.m3u"</v>
      </c>
      <c r="M2370" t="str">
        <f>VLOOKUP(A2370,logos!$A$2:$A$10004,1,FALSE)</f>
        <v>Heart (South) (Sussex)</v>
      </c>
    </row>
    <row r="2371" spans="1:13" hidden="1" x14ac:dyDescent="0.55000000000000004">
      <c r="A2371" t="s">
        <v>2740</v>
      </c>
      <c r="B2371" t="s">
        <v>1663</v>
      </c>
      <c r="C2371" t="s">
        <v>5668</v>
      </c>
      <c r="E2371" t="s">
        <v>6060</v>
      </c>
      <c r="F2371" t="str">
        <f t="shared" ref="F2371:F2434" si="37">"""C:\Program Files\VideoLAN\VLC\vlc.exe"" """&amp;C2371&amp;""""</f>
        <v>"C:\Program Files\VideoLAN\VLC\vlc.exe" "http://icecast.thisisdax.com/HeartSouthWalesMP3.m3u"</v>
      </c>
      <c r="M2371" t="str">
        <f>VLOOKUP(A2371,logos!$A$2:$A$10004,1,FALSE)</f>
        <v>Heart (South Wales) (East)</v>
      </c>
    </row>
    <row r="2372" spans="1:13" hidden="1" x14ac:dyDescent="0.55000000000000004">
      <c r="A2372" t="s">
        <v>2741</v>
      </c>
      <c r="B2372" t="s">
        <v>1663</v>
      </c>
      <c r="C2372" t="s">
        <v>5669</v>
      </c>
      <c r="E2372" t="s">
        <v>6060</v>
      </c>
      <c r="F2372" t="str">
        <f t="shared" si="37"/>
        <v>"C:\Program Files\VideoLAN\VLC\vlc.exe" "http://icecast.thisisdax.com/HeartWestWalesMP3.m3u"</v>
      </c>
      <c r="M2372" t="str">
        <f>VLOOKUP(A2372,logos!$A$2:$A$10004,1,FALSE)</f>
        <v>Heart (South Wales) (West)</v>
      </c>
    </row>
    <row r="2373" spans="1:13" hidden="1" x14ac:dyDescent="0.55000000000000004">
      <c r="A2373" t="s">
        <v>2742</v>
      </c>
      <c r="B2373" t="s">
        <v>1663</v>
      </c>
      <c r="C2373" t="s">
        <v>5670</v>
      </c>
      <c r="E2373" t="s">
        <v>6060</v>
      </c>
      <c r="F2373" t="str">
        <f t="shared" si="37"/>
        <v>"C:\Program Files\VideoLAN\VLC\vlc.exe" "http://icecast.thisisdax.com/HeartUKMP3.m3u"</v>
      </c>
      <c r="M2373" t="str">
        <f>VLOOKUP(A2373,logos!$A$2:$A$10004,1,FALSE)</f>
        <v>Heart (UK)</v>
      </c>
    </row>
    <row r="2374" spans="1:13" hidden="1" x14ac:dyDescent="0.55000000000000004">
      <c r="A2374" t="s">
        <v>2743</v>
      </c>
      <c r="B2374" t="s">
        <v>1663</v>
      </c>
      <c r="C2374" t="s">
        <v>5671</v>
      </c>
      <c r="E2374" t="s">
        <v>6060</v>
      </c>
      <c r="F2374" t="str">
        <f t="shared" si="37"/>
        <v>"C:\Program Files\VideoLAN\VLC\vlc.exe" "http://icecast.thisisdax.com/HeartBathMP3.m3u"</v>
      </c>
      <c r="M2374" t="str">
        <f>VLOOKUP(A2374,logos!$A$2:$A$10004,1,FALSE)</f>
        <v>Heart (West) (Bath)</v>
      </c>
    </row>
    <row r="2375" spans="1:13" hidden="1" x14ac:dyDescent="0.55000000000000004">
      <c r="A2375" t="s">
        <v>2744</v>
      </c>
      <c r="B2375" t="s">
        <v>1663</v>
      </c>
      <c r="C2375" t="s">
        <v>5672</v>
      </c>
      <c r="E2375" t="s">
        <v>6060</v>
      </c>
      <c r="F2375" t="str">
        <f t="shared" si="37"/>
        <v>"C:\Program Files\VideoLAN\VLC\vlc.exe" "http://icecast.thisisdax.com/HeartBristolMP3.m3u"</v>
      </c>
      <c r="M2375" t="str">
        <f>VLOOKUP(A2375,logos!$A$2:$A$10004,1,FALSE)</f>
        <v>Heart (West) (Bristol)</v>
      </c>
    </row>
    <row r="2376" spans="1:13" hidden="1" x14ac:dyDescent="0.55000000000000004">
      <c r="A2376" t="s">
        <v>2745</v>
      </c>
      <c r="B2376" t="s">
        <v>1663</v>
      </c>
      <c r="C2376" t="s">
        <v>5673</v>
      </c>
      <c r="E2376" t="s">
        <v>6060</v>
      </c>
      <c r="F2376" t="str">
        <f t="shared" si="37"/>
        <v>"C:\Program Files\VideoLAN\VLC\vlc.exe" "http://icecast.thisisdax.com/HeartCornwallMP3.m3u"</v>
      </c>
      <c r="M2376" t="str">
        <f>VLOOKUP(A2376,logos!$A$2:$A$10004,1,FALSE)</f>
        <v>Heart (West) (Cornwall)</v>
      </c>
    </row>
    <row r="2377" spans="1:13" hidden="1" x14ac:dyDescent="0.55000000000000004">
      <c r="A2377" t="s">
        <v>2746</v>
      </c>
      <c r="B2377" t="s">
        <v>1663</v>
      </c>
      <c r="C2377" t="s">
        <v>5674</v>
      </c>
      <c r="E2377" t="s">
        <v>6060</v>
      </c>
      <c r="F2377" t="str">
        <f t="shared" si="37"/>
        <v>"C:\Program Files\VideoLAN\VLC\vlc.exe" "http://icecast.thisisdax.com/HeartEastDevonMP3.m3u"</v>
      </c>
      <c r="M2377" t="str">
        <f>VLOOKUP(A2377,logos!$A$2:$A$10004,1,FALSE)</f>
        <v>Heart (West) (Exeter &amp; East Devon)</v>
      </c>
    </row>
    <row r="2378" spans="1:13" hidden="1" x14ac:dyDescent="0.55000000000000004">
      <c r="A2378" t="s">
        <v>2747</v>
      </c>
      <c r="B2378" t="s">
        <v>1663</v>
      </c>
      <c r="C2378" t="s">
        <v>5675</v>
      </c>
      <c r="E2378" t="s">
        <v>6060</v>
      </c>
      <c r="F2378" t="str">
        <f t="shared" si="37"/>
        <v>"C:\Program Files\VideoLAN\VLC\vlc.exe" "http://icecast.thisisdax.com/HeartGloucestershireMP3.m3u"</v>
      </c>
      <c r="M2378" t="str">
        <f>VLOOKUP(A2378,logos!$A$2:$A$10004,1,FALSE)</f>
        <v>Heart (West) (Gloucestershire)</v>
      </c>
    </row>
    <row r="2379" spans="1:13" hidden="1" x14ac:dyDescent="0.55000000000000004">
      <c r="A2379" t="s">
        <v>2748</v>
      </c>
      <c r="B2379" t="s">
        <v>1663</v>
      </c>
      <c r="C2379" t="s">
        <v>5676</v>
      </c>
      <c r="E2379" t="s">
        <v>6060</v>
      </c>
      <c r="F2379" t="str">
        <f t="shared" si="37"/>
        <v>"C:\Program Files\VideoLAN\VLC\vlc.exe" "http://icecast.thisisdax.com/HeartNorthDevonMP3.m3u"</v>
      </c>
      <c r="M2379" t="str">
        <f>VLOOKUP(A2379,logos!$A$2:$A$10004,1,FALSE)</f>
        <v>Heart (West) (North Devon)</v>
      </c>
    </row>
    <row r="2380" spans="1:13" hidden="1" x14ac:dyDescent="0.55000000000000004">
      <c r="A2380" t="s">
        <v>2749</v>
      </c>
      <c r="B2380" t="s">
        <v>1663</v>
      </c>
      <c r="C2380" t="s">
        <v>5677</v>
      </c>
      <c r="E2380" t="s">
        <v>6060</v>
      </c>
      <c r="F2380" t="str">
        <f t="shared" si="37"/>
        <v>"C:\Program Files\VideoLAN\VLC\vlc.exe" "http://icecast.thisisdax.com/HeartPlymouthMP3.m3u"</v>
      </c>
      <c r="M2380" t="str">
        <f>VLOOKUP(A2380,logos!$A$2:$A$10004,1,FALSE)</f>
        <v>Heart (West) (Plymouth)</v>
      </c>
    </row>
    <row r="2381" spans="1:13" hidden="1" x14ac:dyDescent="0.55000000000000004">
      <c r="A2381" t="s">
        <v>2750</v>
      </c>
      <c r="B2381" t="s">
        <v>1663</v>
      </c>
      <c r="C2381" t="s">
        <v>5678</v>
      </c>
      <c r="E2381" t="s">
        <v>6060</v>
      </c>
      <c r="F2381" t="str">
        <f t="shared" si="37"/>
        <v>"C:\Program Files\VideoLAN\VLC\vlc.exe" "http://icecast.thisisdax.com/HeartSomersetMP3.m3u"</v>
      </c>
      <c r="M2381" t="str">
        <f>VLOOKUP(A2381,logos!$A$2:$A$10004,1,FALSE)</f>
        <v>Heart (West) (Somerset)</v>
      </c>
    </row>
    <row r="2382" spans="1:13" hidden="1" x14ac:dyDescent="0.55000000000000004">
      <c r="A2382" t="s">
        <v>2751</v>
      </c>
      <c r="B2382" t="s">
        <v>1663</v>
      </c>
      <c r="C2382" t="s">
        <v>5679</v>
      </c>
      <c r="E2382" t="s">
        <v>6060</v>
      </c>
      <c r="F2382" t="str">
        <f t="shared" si="37"/>
        <v>"C:\Program Files\VideoLAN\VLC\vlc.exe" "http://icecast.thisisdax.com/HeartSouthHamsMP3.m3u"</v>
      </c>
      <c r="M2382" t="str">
        <f>VLOOKUP(A2382,logos!$A$2:$A$10004,1,FALSE)</f>
        <v>Heart (West) (South Hams)</v>
      </c>
    </row>
    <row r="2383" spans="1:13" hidden="1" x14ac:dyDescent="0.55000000000000004">
      <c r="A2383" t="s">
        <v>2752</v>
      </c>
      <c r="B2383" t="s">
        <v>1663</v>
      </c>
      <c r="C2383" t="s">
        <v>5680</v>
      </c>
      <c r="E2383" t="s">
        <v>6060</v>
      </c>
      <c r="F2383" t="str">
        <f t="shared" si="37"/>
        <v>"C:\Program Files\VideoLAN\VLC\vlc.exe" "http://icecast.thisisdax.com/HeartTorbayMP3.m3u"</v>
      </c>
      <c r="M2383" t="str">
        <f>VLOOKUP(A2383,logos!$A$2:$A$10004,1,FALSE)</f>
        <v>Heart (West) (Torbay)</v>
      </c>
    </row>
    <row r="2384" spans="1:13" hidden="1" x14ac:dyDescent="0.55000000000000004">
      <c r="A2384" t="s">
        <v>2753</v>
      </c>
      <c r="B2384" t="s">
        <v>1663</v>
      </c>
      <c r="C2384" t="s">
        <v>5681</v>
      </c>
      <c r="E2384" t="s">
        <v>6060</v>
      </c>
      <c r="F2384" t="str">
        <f t="shared" si="37"/>
        <v>"C:\Program Files\VideoLAN\VLC\vlc.exe" "http://icecast.thisisdax.com/HeartWiltshireMP3.m3u"</v>
      </c>
      <c r="M2384" t="str">
        <f>VLOOKUP(A2384,logos!$A$2:$A$10004,1,FALSE)</f>
        <v>Heart (West) (Wiltshire)</v>
      </c>
    </row>
    <row r="2385" spans="1:13" hidden="1" x14ac:dyDescent="0.55000000000000004">
      <c r="A2385" t="s">
        <v>2754</v>
      </c>
      <c r="B2385" t="s">
        <v>1663</v>
      </c>
      <c r="C2385" t="s">
        <v>5682</v>
      </c>
      <c r="E2385" t="s">
        <v>6060</v>
      </c>
      <c r="F2385" t="str">
        <f t="shared" si="37"/>
        <v>"C:\Program Files\VideoLAN\VLC\vlc.exe" "http://icecast.thisisdax.com/HeartWestMidsMP3.m3u"</v>
      </c>
      <c r="M2385" t="str">
        <f>VLOOKUP(A2385,logos!$A$2:$A$10004,1,FALSE)</f>
        <v>Heart (West Midlands)</v>
      </c>
    </row>
    <row r="2386" spans="1:13" hidden="1" x14ac:dyDescent="0.55000000000000004">
      <c r="A2386" t="s">
        <v>2755</v>
      </c>
      <c r="B2386" t="s">
        <v>1663</v>
      </c>
      <c r="C2386" t="s">
        <v>5683</v>
      </c>
      <c r="E2386" t="s">
        <v>6060</v>
      </c>
      <c r="F2386" t="str">
        <f t="shared" si="37"/>
        <v>"C:\Program Files\VideoLAN\VLC\vlc.exe" "http://icecast.thisisdax.com/HeartYorkshireMP3.m3u"</v>
      </c>
      <c r="M2386" t="str">
        <f>VLOOKUP(A2386,logos!$A$2:$A$10004,1,FALSE)</f>
        <v>Heart (Yorkshire)</v>
      </c>
    </row>
    <row r="2387" spans="1:13" hidden="1" x14ac:dyDescent="0.55000000000000004">
      <c r="A2387" t="s">
        <v>665</v>
      </c>
      <c r="B2387" t="s">
        <v>1663</v>
      </c>
      <c r="C2387" t="s">
        <v>5684</v>
      </c>
      <c r="E2387" t="s">
        <v>6060</v>
      </c>
      <c r="F2387" t="str">
        <f t="shared" si="37"/>
        <v>"C:\Program Files\VideoLAN\VLC\vlc.exe" "http://icecast.thisisdax.com/Heart70sMP3.m3u"</v>
      </c>
      <c r="M2387" t="str">
        <f>VLOOKUP(A2387,logos!$A$2:$A$10004,1,FALSE)</f>
        <v>Heart 70s</v>
      </c>
    </row>
    <row r="2388" spans="1:13" hidden="1" x14ac:dyDescent="0.55000000000000004">
      <c r="A2388" t="s">
        <v>667</v>
      </c>
      <c r="B2388" t="s">
        <v>1663</v>
      </c>
      <c r="C2388" t="s">
        <v>5685</v>
      </c>
      <c r="E2388" t="s">
        <v>6060</v>
      </c>
      <c r="F2388" t="str">
        <f t="shared" si="37"/>
        <v>"C:\Program Files\VideoLAN\VLC\vlc.exe" "http://icecast.thisisdax.com/Heart80sMP3.m3u"</v>
      </c>
      <c r="M2388" t="str">
        <f>VLOOKUP(A2388,logos!$A$2:$A$10004,1,FALSE)</f>
        <v>Heart 80s</v>
      </c>
    </row>
    <row r="2389" spans="1:13" hidden="1" x14ac:dyDescent="0.55000000000000004">
      <c r="A2389" t="s">
        <v>669</v>
      </c>
      <c r="B2389" t="s">
        <v>1663</v>
      </c>
      <c r="C2389" t="s">
        <v>5686</v>
      </c>
      <c r="E2389" t="s">
        <v>6060</v>
      </c>
      <c r="F2389" t="str">
        <f t="shared" si="37"/>
        <v>"C:\Program Files\VideoLAN\VLC\vlc.exe" "http://icecast.thisisdax.com/Heart90sMP3.m3u"</v>
      </c>
      <c r="M2389" t="str">
        <f>VLOOKUP(A2389,logos!$A$2:$A$10004,1,FALSE)</f>
        <v>Heart 90s</v>
      </c>
    </row>
    <row r="2390" spans="1:13" hidden="1" x14ac:dyDescent="0.55000000000000004">
      <c r="A2390" t="s">
        <v>671</v>
      </c>
      <c r="B2390" t="s">
        <v>1663</v>
      </c>
      <c r="C2390" t="s">
        <v>5687</v>
      </c>
      <c r="E2390" t="s">
        <v>6060</v>
      </c>
      <c r="F2390" t="str">
        <f t="shared" si="37"/>
        <v>"C:\Program Files\VideoLAN\VLC\vlc.exe" "http://icecast.thisisdax.com/Heart00sMP3.m3u"</v>
      </c>
      <c r="M2390" t="str">
        <f>VLOOKUP(A2390,logos!$A$2:$A$10004,1,FALSE)</f>
        <v>Heart 00s</v>
      </c>
    </row>
    <row r="2391" spans="1:13" hidden="1" x14ac:dyDescent="0.55000000000000004">
      <c r="A2391" t="s">
        <v>673</v>
      </c>
      <c r="B2391" t="s">
        <v>1663</v>
      </c>
      <c r="C2391" t="s">
        <v>5688</v>
      </c>
      <c r="E2391" t="s">
        <v>6060</v>
      </c>
      <c r="F2391" t="str">
        <f t="shared" si="37"/>
        <v>"C:\Program Files\VideoLAN\VLC\vlc.exe" "http://icecast.thisisdax.com/HeartDanceMP3.m3u"</v>
      </c>
      <c r="M2391" t="str">
        <f>VLOOKUP(A2391,logos!$A$2:$A$10004,1,FALSE)</f>
        <v>Heart Dance</v>
      </c>
    </row>
    <row r="2392" spans="1:13" hidden="1" x14ac:dyDescent="0.55000000000000004">
      <c r="A2392" t="s">
        <v>675</v>
      </c>
      <c r="B2392" t="s">
        <v>1663</v>
      </c>
      <c r="C2392" t="s">
        <v>5689</v>
      </c>
      <c r="E2392" t="s">
        <v>6060</v>
      </c>
      <c r="F2392" t="str">
        <f t="shared" si="37"/>
        <v>"C:\Program Files\VideoLAN\VLC\vlc.exe" "http://media-ice.musicradio.com/HeartXmasMP3.m3u"</v>
      </c>
      <c r="M2392" t="str">
        <f>VLOOKUP(A2392,logos!$A$2:$A$10004,1,FALSE)</f>
        <v>Heart Xmas</v>
      </c>
    </row>
    <row r="2393" spans="1:13" hidden="1" x14ac:dyDescent="0.55000000000000004">
      <c r="A2393" t="s">
        <v>677</v>
      </c>
      <c r="B2393" t="s">
        <v>1663</v>
      </c>
      <c r="C2393" t="s">
        <v>5690</v>
      </c>
      <c r="E2393" t="s">
        <v>6060</v>
      </c>
      <c r="F2393" t="str">
        <f t="shared" si="37"/>
        <v>"C:\Program Files\VideoLAN\VLC\vlc.exe" "http://streaming.broadcastradio.com:8610/heartland.m3u"</v>
      </c>
      <c r="M2393" t="e">
        <f>VLOOKUP(A2393,logos!$A$2:$A$10004,1,FALSE)</f>
        <v>#N/A</v>
      </c>
    </row>
    <row r="2394" spans="1:13" hidden="1" x14ac:dyDescent="0.55000000000000004">
      <c r="A2394" t="s">
        <v>679</v>
      </c>
      <c r="B2394" t="s">
        <v>1663</v>
      </c>
      <c r="C2394" t="s">
        <v>5691</v>
      </c>
      <c r="E2394" t="s">
        <v>6060</v>
      </c>
      <c r="F2394" t="str">
        <f t="shared" si="37"/>
        <v>"C:\Program Files\VideoLAN\VLC\vlc.exe" "http://streamer.radio.co/sa0f1967d5/listen.m3u"</v>
      </c>
      <c r="M2394" t="e">
        <f>VLOOKUP(A2394,logos!$A$2:$A$10004,1,FALSE)</f>
        <v>#N/A</v>
      </c>
    </row>
    <row r="2395" spans="1:13" hidden="1" x14ac:dyDescent="0.55000000000000004">
      <c r="A2395" t="s">
        <v>681</v>
      </c>
      <c r="B2395" t="s">
        <v>1692</v>
      </c>
      <c r="C2395" t="s">
        <v>5692</v>
      </c>
      <c r="E2395" t="s">
        <v>6060</v>
      </c>
      <c r="F2395" t="str">
        <f t="shared" si="37"/>
        <v>"C:\Program Files\VideoLAN\VLC\vlc.exe" "http://www.radiofeeds.net/playlists/bauer.pls?station=heat-mp3"</v>
      </c>
      <c r="M2395" t="str">
        <f>VLOOKUP(A2395,logos!$A$2:$A$10004,1,FALSE)</f>
        <v>heat Radio</v>
      </c>
    </row>
    <row r="2396" spans="1:13" hidden="1" x14ac:dyDescent="0.55000000000000004">
      <c r="A2396" t="s">
        <v>683</v>
      </c>
      <c r="B2396" t="s">
        <v>1663</v>
      </c>
      <c r="C2396" t="s">
        <v>5693</v>
      </c>
      <c r="E2396" t="s">
        <v>6060</v>
      </c>
      <c r="F2396" t="str">
        <f t="shared" si="37"/>
        <v>"C:\Program Files\VideoLAN\VLC\vlc.exe" "http://streaming03.zfast.co.uk:8158/listen.pls?sid=1"</v>
      </c>
      <c r="M2396" t="e">
        <f>VLOOKUP(A2396,logos!$A$2:$A$10004,1,FALSE)</f>
        <v>#N/A</v>
      </c>
    </row>
    <row r="2397" spans="1:13" hidden="1" x14ac:dyDescent="0.55000000000000004">
      <c r="A2397" t="s">
        <v>2756</v>
      </c>
      <c r="B2397" t="s">
        <v>1692</v>
      </c>
      <c r="C2397" t="s">
        <v>5694</v>
      </c>
      <c r="E2397" t="s">
        <v>6060</v>
      </c>
      <c r="F2397" t="str">
        <f t="shared" si="37"/>
        <v>"C:\Program Files\VideoLAN\VLC\vlc.exe" "http://www.radiofeeds.net/playlists/bauer.pls?station=net1bristol-mp3"</v>
      </c>
      <c r="M2397" t="str">
        <f>VLOOKUP(A2397,logos!$A$2:$A$10004,1,FALSE)</f>
        <v>Hits Radio (Bristol &amp; the South West)</v>
      </c>
    </row>
    <row r="2398" spans="1:13" hidden="1" x14ac:dyDescent="0.55000000000000004">
      <c r="A2398" t="s">
        <v>1604</v>
      </c>
      <c r="B2398" t="s">
        <v>1692</v>
      </c>
      <c r="C2398" t="s">
        <v>5695</v>
      </c>
      <c r="E2398" t="s">
        <v>6060</v>
      </c>
      <c r="F2398" t="str">
        <f t="shared" si="37"/>
        <v>"C:\Program Files\VideoLAN\VLC\vlc.exe" "http://www.radiofeeds.net/playlists/bauer.pls?station=net1london-mp3"</v>
      </c>
      <c r="M2398" t="str">
        <f>VLOOKUP(A2398,logos!$A$2:$A$10004,1,FALSE)</f>
        <v>Hits Radio (London)</v>
      </c>
    </row>
    <row r="2399" spans="1:13" hidden="1" x14ac:dyDescent="0.55000000000000004">
      <c r="A2399" t="s">
        <v>1605</v>
      </c>
      <c r="B2399" t="s">
        <v>1692</v>
      </c>
      <c r="C2399" t="s">
        <v>5696</v>
      </c>
      <c r="E2399" t="s">
        <v>6060</v>
      </c>
      <c r="F2399" t="str">
        <f t="shared" si="37"/>
        <v>"C:\Program Files\VideoLAN\VLC\vlc.exe" "http://www.radiofeeds.net/playlists/bauer.pls?station=key-mp3"</v>
      </c>
      <c r="M2399" t="str">
        <f>VLOOKUP(A2399,logos!$A$2:$A$10004,1,FALSE)</f>
        <v>Hits Radio (Manchester)</v>
      </c>
    </row>
    <row r="2400" spans="1:13" hidden="1" x14ac:dyDescent="0.55000000000000004">
      <c r="A2400" t="s">
        <v>1606</v>
      </c>
      <c r="B2400" t="s">
        <v>1692</v>
      </c>
      <c r="C2400" t="s">
        <v>5697</v>
      </c>
      <c r="E2400" t="s">
        <v>6060</v>
      </c>
      <c r="F2400" t="str">
        <f t="shared" si="37"/>
        <v>"C:\Program Files\VideoLAN\VLC\vlc.exe" "http://www.radiofeeds.net/playlists/bauer.pls?station=net1northyorkshire-mp3"</v>
      </c>
      <c r="M2400" t="str">
        <f>VLOOKUP(A2400,logos!$A$2:$A$10004,1,FALSE)</f>
        <v>Hits Radio (North Yorkshire)</v>
      </c>
    </row>
    <row r="2401" spans="1:13" hidden="1" x14ac:dyDescent="0.55000000000000004">
      <c r="A2401" t="s">
        <v>2757</v>
      </c>
      <c r="B2401" t="s">
        <v>1692</v>
      </c>
      <c r="C2401" t="s">
        <v>5698</v>
      </c>
      <c r="E2401" t="s">
        <v>6060</v>
      </c>
      <c r="F2401" t="str">
        <f t="shared" si="37"/>
        <v>"C:\Program Files\VideoLAN\VLC\vlc.exe" "http://www.radiofeeds.net/playlists/bauer.pls?station=net1bournemouth-mp3"</v>
      </c>
      <c r="M2401" t="e">
        <f>VLOOKUP(A2401,logos!$A$2:$A$10004,1,FALSE)</f>
        <v>#N/A</v>
      </c>
    </row>
    <row r="2402" spans="1:13" hidden="1" x14ac:dyDescent="0.55000000000000004">
      <c r="A2402" t="s">
        <v>2758</v>
      </c>
      <c r="B2402" t="s">
        <v>1692</v>
      </c>
      <c r="C2402" t="s">
        <v>5699</v>
      </c>
      <c r="E2402" t="s">
        <v>6060</v>
      </c>
      <c r="F2402" t="str">
        <f t="shared" si="37"/>
        <v>"C:\Program Files\VideoLAN\VLC\vlc.exe" "http://www.radiofeeds.net/playlists/bauer.pls?station=net1southcoast-mp3"</v>
      </c>
      <c r="M2402" t="e">
        <f>VLOOKUP(A2402,logos!$A$2:$A$10004,1,FALSE)</f>
        <v>#N/A</v>
      </c>
    </row>
    <row r="2403" spans="1:13" hidden="1" x14ac:dyDescent="0.55000000000000004">
      <c r="A2403" t="s">
        <v>2759</v>
      </c>
      <c r="B2403" t="s">
        <v>1692</v>
      </c>
      <c r="C2403" t="s">
        <v>5700</v>
      </c>
      <c r="E2403" t="s">
        <v>6060</v>
      </c>
      <c r="F2403" t="str">
        <f t="shared" si="37"/>
        <v>"C:\Program Files\VideoLAN\VLC\vlc.exe" "http://www.radiofeeds.net/playlists/bauer.pls?station=net1suffolk-mp3"</v>
      </c>
      <c r="M2403" t="e">
        <f>VLOOKUP(A2403,logos!$A$2:$A$10004,1,FALSE)</f>
        <v>#N/A</v>
      </c>
    </row>
    <row r="2404" spans="1:13" hidden="1" x14ac:dyDescent="0.55000000000000004">
      <c r="A2404" t="s">
        <v>2760</v>
      </c>
      <c r="B2404" t="s">
        <v>1692</v>
      </c>
      <c r="C2404" t="s">
        <v>5701</v>
      </c>
      <c r="E2404" t="s">
        <v>6060</v>
      </c>
      <c r="F2404" t="str">
        <f t="shared" si="37"/>
        <v>"C:\Program Files\VideoLAN\VLC\vlc.exe" "http://www.radiofeeds.net/playlists/bauer.pls?station=hits-mp3"</v>
      </c>
      <c r="M2404" t="str">
        <f>VLOOKUP(A2404,logos!$A$2:$A$10004,1,FALSE)</f>
        <v>Hits Radio (UK)</v>
      </c>
    </row>
    <row r="2405" spans="1:13" hidden="1" x14ac:dyDescent="0.55000000000000004">
      <c r="A2405" t="s">
        <v>702</v>
      </c>
      <c r="B2405" t="s">
        <v>1663</v>
      </c>
      <c r="C2405" t="s">
        <v>5702</v>
      </c>
      <c r="E2405" t="s">
        <v>6060</v>
      </c>
      <c r="F2405" t="str">
        <f t="shared" si="37"/>
        <v>"C:\Program Files\VideoLAN\VLC\vlc.exe" "http://www.radiofeeds.net/playlists/bauerflash.pls?station=hitsradiopride-mp3"</v>
      </c>
      <c r="M2405" t="str">
        <f>VLOOKUP(A2405,logos!$A$2:$A$10004,1,FALSE)</f>
        <v>Hits Radio Pride</v>
      </c>
    </row>
    <row r="2406" spans="1:13" hidden="1" x14ac:dyDescent="0.55000000000000004">
      <c r="A2406" t="s">
        <v>2761</v>
      </c>
      <c r="B2406" t="s">
        <v>1669</v>
      </c>
      <c r="C2406" t="s">
        <v>5703</v>
      </c>
      <c r="E2406" t="s">
        <v>6060</v>
      </c>
      <c r="F2406" t="str">
        <f t="shared" si="37"/>
        <v>"C:\Program Files\VideoLAN\VLC\vlc.exe" "http://radio2.hopefm.org.uk:12364/live-stream128.m3u"</v>
      </c>
      <c r="M2406" t="e">
        <f>VLOOKUP(A2406,logos!$A$2:$A$10004,1,FALSE)</f>
        <v>#N/A</v>
      </c>
    </row>
    <row r="2407" spans="1:13" hidden="1" x14ac:dyDescent="0.55000000000000004">
      <c r="A2407" t="s">
        <v>2864</v>
      </c>
      <c r="B2407" t="s">
        <v>1663</v>
      </c>
      <c r="C2407" t="s">
        <v>5704</v>
      </c>
      <c r="E2407" t="s">
        <v>6060</v>
      </c>
      <c r="F2407" t="str">
        <f t="shared" si="37"/>
        <v>"C:\Program Files\VideoLAN\VLC\vlc.exe" "http://hotgold.tune-in.co.uk/stream.m3u"</v>
      </c>
      <c r="M2407" t="e">
        <f>VLOOKUP(A2407,logos!$A$2:$A$10004,1,FALSE)</f>
        <v>#N/A</v>
      </c>
    </row>
    <row r="2408" spans="1:13" hidden="1" x14ac:dyDescent="0.55000000000000004">
      <c r="A2408" t="s">
        <v>5705</v>
      </c>
      <c r="B2408" t="s">
        <v>1663</v>
      </c>
      <c r="C2408" t="s">
        <v>5706</v>
      </c>
      <c r="E2408" t="s">
        <v>6060</v>
      </c>
      <c r="F2408" t="str">
        <f t="shared" si="37"/>
        <v>"C:\Program Files\VideoLAN\VLC\vlc.exe" "http://hgold-wilts.tune-in.co.uk/live.m3u"</v>
      </c>
      <c r="M2408" t="e">
        <f>VLOOKUP(A2408,logos!$A$2:$A$10004,1,FALSE)</f>
        <v>#N/A</v>
      </c>
    </row>
    <row r="2409" spans="1:13" hidden="1" x14ac:dyDescent="0.55000000000000004">
      <c r="A2409" t="s">
        <v>2865</v>
      </c>
      <c r="B2409" t="s">
        <v>1663</v>
      </c>
      <c r="C2409" t="s">
        <v>5707</v>
      </c>
      <c r="E2409" t="s">
        <v>6060</v>
      </c>
      <c r="F2409" t="str">
        <f t="shared" si="37"/>
        <v>"C:\Program Files\VideoLAN\VLC\vlc.exe" "http://stream1.tune-in.co.uk:7002/listen.pls?sid=1"</v>
      </c>
      <c r="M2409" t="e">
        <f>VLOOKUP(A2409,logos!$A$2:$A$10004,1,FALSE)</f>
        <v>#N/A</v>
      </c>
    </row>
    <row r="2410" spans="1:13" hidden="1" x14ac:dyDescent="0.55000000000000004">
      <c r="A2410" t="s">
        <v>2866</v>
      </c>
      <c r="B2410" t="s">
        <v>1663</v>
      </c>
      <c r="C2410" t="s">
        <v>5708</v>
      </c>
      <c r="E2410" t="s">
        <v>6060</v>
      </c>
      <c r="F2410" t="str">
        <f t="shared" si="37"/>
        <v>"C:\Program Files\VideoLAN\VLC\vlc.exe" "http://hot-wilts.tune-in.co.uk:8000/stream.m3u"</v>
      </c>
      <c r="M2410" t="e">
        <f>VLOOKUP(A2410,logos!$A$2:$A$10004,1,FALSE)</f>
        <v>#N/A</v>
      </c>
    </row>
    <row r="2411" spans="1:13" hidden="1" x14ac:dyDescent="0.55000000000000004">
      <c r="A2411" t="s">
        <v>712</v>
      </c>
      <c r="B2411" t="s">
        <v>1663</v>
      </c>
      <c r="C2411" t="s">
        <v>5709</v>
      </c>
      <c r="E2411" t="s">
        <v>6060</v>
      </c>
      <c r="F2411" t="str">
        <f t="shared" si="37"/>
        <v>"C:\Program Files\VideoLAN\VLC\vlc.exe" "http://www2.housepartyradio.net/stream/mp3/httpsafe/play.m3u?from=radiofeeds"</v>
      </c>
      <c r="M2411" t="e">
        <f>VLOOKUP(A2411,logos!$A$2:$A$10004,1,FALSE)</f>
        <v>#N/A</v>
      </c>
    </row>
    <row r="2412" spans="1:13" hidden="1" x14ac:dyDescent="0.55000000000000004">
      <c r="A2412" t="s">
        <v>714</v>
      </c>
      <c r="B2412" t="s">
        <v>1663</v>
      </c>
      <c r="C2412" t="s">
        <v>5710</v>
      </c>
      <c r="E2412" t="s">
        <v>6060</v>
      </c>
      <c r="F2412" t="str">
        <f t="shared" si="37"/>
        <v>"C:\Program Files\VideoLAN\VLC\vlc.exe" "http://curtis.hubradio.co.uk:8080/hub-hq.mp3.m3u"</v>
      </c>
      <c r="M2412" t="str">
        <f>VLOOKUP(A2412,logos!$A$2:$A$10004,1,FALSE)</f>
        <v>Hub Radio</v>
      </c>
    </row>
    <row r="2413" spans="1:13" hidden="1" x14ac:dyDescent="0.55000000000000004">
      <c r="A2413" t="s">
        <v>716</v>
      </c>
      <c r="B2413" t="s">
        <v>1663</v>
      </c>
      <c r="C2413" t="s">
        <v>5711</v>
      </c>
      <c r="E2413" t="s">
        <v>6060</v>
      </c>
      <c r="F2413" t="str">
        <f t="shared" si="37"/>
        <v>"C:\Program Files\VideoLAN\VLC\vlc.exe" "http://idr-nlb-400b0b217a490f14.elb.eu-west-1.amazonaws.com:8001/in_demand_radio.m3u"</v>
      </c>
      <c r="M2413" t="e">
        <f>VLOOKUP(A2413,logos!$A$2:$A$10004,1,FALSE)</f>
        <v>#N/A</v>
      </c>
    </row>
    <row r="2414" spans="1:13" hidden="1" x14ac:dyDescent="0.55000000000000004">
      <c r="A2414" t="s">
        <v>718</v>
      </c>
      <c r="B2414" t="s">
        <v>1663</v>
      </c>
      <c r="C2414" t="s">
        <v>5712</v>
      </c>
      <c r="E2414" t="s">
        <v>6060</v>
      </c>
      <c r="F2414" t="str">
        <f t="shared" si="37"/>
        <v>"C:\Program Files\VideoLAN\VLC\vlc.exe" "http://stream.rcs.revma.com/epatpyebanzuv.m3u"</v>
      </c>
      <c r="M2414" t="str">
        <f>VLOOKUP(A2414,logos!$A$2:$A$10004,1,FALSE)</f>
        <v>Island FM</v>
      </c>
    </row>
    <row r="2415" spans="1:13" hidden="1" x14ac:dyDescent="0.55000000000000004">
      <c r="A2415" t="s">
        <v>718</v>
      </c>
      <c r="B2415" t="s">
        <v>1670</v>
      </c>
      <c r="C2415" t="s">
        <v>5712</v>
      </c>
      <c r="E2415" t="s">
        <v>6060</v>
      </c>
      <c r="F2415" t="str">
        <f t="shared" si="37"/>
        <v>"C:\Program Files\VideoLAN\VLC\vlc.exe" "http://stream.rcs.revma.com/epatpyebanzuv.m3u"</v>
      </c>
      <c r="M2415" t="str">
        <f>VLOOKUP(A2415,logos!$A$2:$A$10004,1,FALSE)</f>
        <v>Island FM</v>
      </c>
    </row>
    <row r="2416" spans="1:13" hidden="1" x14ac:dyDescent="0.55000000000000004">
      <c r="A2416" t="s">
        <v>720</v>
      </c>
      <c r="B2416" t="s">
        <v>1663</v>
      </c>
      <c r="C2416" t="s">
        <v>5713</v>
      </c>
      <c r="E2416" t="s">
        <v>6060</v>
      </c>
      <c r="F2416" t="str">
        <f t="shared" si="37"/>
        <v>"C:\Program Files\VideoLAN\VLC\vlc.exe" "http://s2.xrad.io:8198/listen.pls?sid=1"</v>
      </c>
      <c r="M2416" t="e">
        <f>VLOOKUP(A2416,logos!$A$2:$A$10004,1,FALSE)</f>
        <v>#N/A</v>
      </c>
    </row>
    <row r="2417" spans="1:13" hidden="1" x14ac:dyDescent="0.55000000000000004">
      <c r="A2417" t="s">
        <v>722</v>
      </c>
      <c r="B2417" t="s">
        <v>1663</v>
      </c>
      <c r="C2417" t="s">
        <v>5714</v>
      </c>
      <c r="E2417" t="s">
        <v>6060</v>
      </c>
      <c r="F2417" t="str">
        <f t="shared" si="37"/>
        <v>"C:\Program Files\VideoLAN\VLC\vlc.exe" "http://www.hebrides.tv:8000/islesfm.m3u"</v>
      </c>
      <c r="M2417" t="e">
        <f>VLOOKUP(A2417,logos!$A$2:$A$10004,1,FALSE)</f>
        <v>#N/A</v>
      </c>
    </row>
    <row r="2418" spans="1:13" hidden="1" x14ac:dyDescent="0.55000000000000004">
      <c r="A2418" t="s">
        <v>724</v>
      </c>
      <c r="B2418" t="s">
        <v>1663</v>
      </c>
      <c r="C2418" t="s">
        <v>5715</v>
      </c>
      <c r="E2418" t="s">
        <v>6060</v>
      </c>
      <c r="F2418" t="str">
        <f t="shared" si="37"/>
        <v>"C:\Program Files\VideoLAN\VLC\vlc.exe" "http://www.radiofeeds.net/playlists/sharptemp.pls?station=390_jack_fm_128_mp3"</v>
      </c>
      <c r="M2418" t="e">
        <f>VLOOKUP(A2418,logos!$A$2:$A$10004,1,FALSE)</f>
        <v>#N/A</v>
      </c>
    </row>
    <row r="2419" spans="1:13" hidden="1" x14ac:dyDescent="0.55000000000000004">
      <c r="A2419" t="s">
        <v>724</v>
      </c>
      <c r="B2419" t="s">
        <v>1670</v>
      </c>
      <c r="C2419" t="s">
        <v>5716</v>
      </c>
      <c r="E2419" t="s">
        <v>6060</v>
      </c>
      <c r="F2419" t="str">
        <f t="shared" si="37"/>
        <v>"C:\Program Files\VideoLAN\VLC\vlc.exe" "http://www.radiofeeds.net/playlists/sharptemp.pls?station=390_jack_fm_320_mp3"</v>
      </c>
      <c r="M2419" t="e">
        <f>VLOOKUP(A2419,logos!$A$2:$A$10004,1,FALSE)</f>
        <v>#N/A</v>
      </c>
    </row>
    <row r="2420" spans="1:13" hidden="1" x14ac:dyDescent="0.55000000000000004">
      <c r="A2420" t="s">
        <v>728</v>
      </c>
      <c r="B2420" t="s">
        <v>1663</v>
      </c>
      <c r="C2420" t="s">
        <v>5717</v>
      </c>
      <c r="E2420" t="s">
        <v>6060</v>
      </c>
      <c r="F2420" t="str">
        <f t="shared" si="37"/>
        <v>"C:\Program Files\VideoLAN\VLC\vlc.exe" "http://www.radiofeeds.net/playlists/sharptemp.pls?station=390_jack_2_128_mp3"</v>
      </c>
      <c r="M2420" t="e">
        <f>VLOOKUP(A2420,logos!$A$2:$A$10004,1,FALSE)</f>
        <v>#N/A</v>
      </c>
    </row>
    <row r="2421" spans="1:13" hidden="1" x14ac:dyDescent="0.55000000000000004">
      <c r="A2421" t="s">
        <v>728</v>
      </c>
      <c r="B2421" t="s">
        <v>1670</v>
      </c>
      <c r="C2421" t="s">
        <v>5718</v>
      </c>
      <c r="E2421" t="s">
        <v>6060</v>
      </c>
      <c r="F2421" t="str">
        <f t="shared" si="37"/>
        <v>"C:\Program Files\VideoLAN\VLC\vlc.exe" "http://www.radiofeeds.net/playlists/sharptemp.pls?station=390_jack_2_320_mp3"</v>
      </c>
      <c r="M2421" t="e">
        <f>VLOOKUP(A2421,logos!$A$2:$A$10004,1,FALSE)</f>
        <v>#N/A</v>
      </c>
    </row>
    <row r="2422" spans="1:13" hidden="1" x14ac:dyDescent="0.55000000000000004">
      <c r="A2422" t="s">
        <v>731</v>
      </c>
      <c r="B2422" t="s">
        <v>1663</v>
      </c>
      <c r="C2422" t="s">
        <v>5719</v>
      </c>
      <c r="E2422" t="s">
        <v>6060</v>
      </c>
      <c r="F2422" t="str">
        <f t="shared" si="37"/>
        <v>"C:\Program Files\VideoLAN\VLC\vlc.exe" "http://www.radiofeeds.net/playlists/sharptemp.pls?station=390_jack_3_128_mp3"</v>
      </c>
      <c r="M2422" t="e">
        <f>VLOOKUP(A2422,logos!$A$2:$A$10004,1,FALSE)</f>
        <v>#N/A</v>
      </c>
    </row>
    <row r="2423" spans="1:13" hidden="1" x14ac:dyDescent="0.55000000000000004">
      <c r="A2423" t="s">
        <v>731</v>
      </c>
      <c r="B2423" t="s">
        <v>1670</v>
      </c>
      <c r="C2423" t="s">
        <v>5720</v>
      </c>
      <c r="E2423" t="s">
        <v>6060</v>
      </c>
      <c r="F2423" t="str">
        <f t="shared" si="37"/>
        <v>"C:\Program Files\VideoLAN\VLC\vlc.exe" "http://www.radiofeeds.net/playlists/sharptemp.pls?station=390_jack_3_320_mp3"</v>
      </c>
      <c r="M2423" t="e">
        <f>VLOOKUP(A2423,logos!$A$2:$A$10004,1,FALSE)</f>
        <v>#N/A</v>
      </c>
    </row>
    <row r="2424" spans="1:13" hidden="1" x14ac:dyDescent="0.55000000000000004">
      <c r="A2424" t="s">
        <v>734</v>
      </c>
      <c r="B2424" t="s">
        <v>1663</v>
      </c>
      <c r="C2424" t="s">
        <v>5721</v>
      </c>
      <c r="E2424" t="s">
        <v>6060</v>
      </c>
      <c r="F2424" t="str">
        <f t="shared" si="37"/>
        <v>"C:\Program Files\VideoLAN\VLC\vlc.exe" "http://radio.canstream.co.uk:8129/live.mp3.m3u"</v>
      </c>
      <c r="M2424" t="e">
        <f>VLOOKUP(A2424,logos!$A$2:$A$10004,1,FALSE)</f>
        <v>#N/A</v>
      </c>
    </row>
    <row r="2425" spans="1:13" hidden="1" x14ac:dyDescent="0.55000000000000004">
      <c r="A2425" t="s">
        <v>736</v>
      </c>
      <c r="B2425" t="s">
        <v>1692</v>
      </c>
      <c r="C2425" t="s">
        <v>5722</v>
      </c>
      <c r="E2425" t="s">
        <v>6060</v>
      </c>
      <c r="F2425" t="str">
        <f t="shared" si="37"/>
        <v>"C:\Program Files\VideoLAN\VLC\vlc.exe" "http://www.radiofeeds.net/playlists/bauer.pls?station=jazz-mp3"</v>
      </c>
      <c r="M2425" t="str">
        <f>VLOOKUP(A2425,logos!$A$2:$A$10004,1,FALSE)</f>
        <v>Jazz FM</v>
      </c>
    </row>
    <row r="2426" spans="1:13" hidden="1" x14ac:dyDescent="0.55000000000000004">
      <c r="A2426" t="s">
        <v>2867</v>
      </c>
      <c r="B2426" t="s">
        <v>1663</v>
      </c>
      <c r="C2426" t="s">
        <v>5723</v>
      </c>
      <c r="E2426" t="s">
        <v>6060</v>
      </c>
      <c r="F2426" t="str">
        <f t="shared" si="37"/>
        <v>"C:\Program Files\VideoLAN\VLC\vlc.exe" "http://uksouth.streaming.broadcast.radio:16020/jeodabstream.m3u"</v>
      </c>
      <c r="M2426" t="e">
        <f>VLOOKUP(A2426,logos!$A$2:$A$10004,1,FALSE)</f>
        <v>#N/A</v>
      </c>
    </row>
    <row r="2427" spans="1:13" hidden="1" x14ac:dyDescent="0.55000000000000004">
      <c r="A2427" t="s">
        <v>2836</v>
      </c>
      <c r="B2427" t="s">
        <v>1669</v>
      </c>
      <c r="C2427" t="s">
        <v>5724</v>
      </c>
      <c r="E2427" t="s">
        <v>6060</v>
      </c>
      <c r="F2427" t="str">
        <f t="shared" si="37"/>
        <v>"C:\Program Files\VideoLAN\VLC\vlc.exe" "http://streamstwo.anytek.co.uk:8027/listen.pls?sid=1"</v>
      </c>
      <c r="M2427" t="e">
        <f>VLOOKUP(A2427,logos!$A$2:$A$10004,1,FALSE)</f>
        <v>#N/A</v>
      </c>
    </row>
    <row r="2428" spans="1:13" hidden="1" x14ac:dyDescent="0.55000000000000004">
      <c r="A2428" t="s">
        <v>740</v>
      </c>
      <c r="B2428" t="s">
        <v>1692</v>
      </c>
      <c r="C2428" t="s">
        <v>5725</v>
      </c>
      <c r="E2428" t="s">
        <v>6060</v>
      </c>
      <c r="F2428" t="str">
        <f t="shared" si="37"/>
        <v>"C:\Program Files\VideoLAN\VLC\vlc.exe" "http://www.radiofeeds.net/playlists/bauer.pls?station=kerrang-mp3"</v>
      </c>
      <c r="M2428" t="str">
        <f>VLOOKUP(A2428,logos!$A$2:$A$10004,1,FALSE)</f>
        <v>Kerrang! Radio</v>
      </c>
    </row>
    <row r="2429" spans="1:13" hidden="1" x14ac:dyDescent="0.55000000000000004">
      <c r="A2429" t="s">
        <v>742</v>
      </c>
      <c r="B2429" t="s">
        <v>1663</v>
      </c>
      <c r="C2429" t="s">
        <v>5726</v>
      </c>
      <c r="E2429" t="s">
        <v>6060</v>
      </c>
      <c r="F2429" t="str">
        <f t="shared" si="37"/>
        <v>"C:\Program Files\VideoLAN\VLC\vlc.exe" "http://www.radiofeeds.net/playlists/sharptemp.pls?station=kingdomfm-mp3"</v>
      </c>
      <c r="M2429" t="str">
        <f>VLOOKUP(A2429,logos!$A$2:$A$10004,1,FALSE)</f>
        <v>Kingdom FM</v>
      </c>
    </row>
    <row r="2430" spans="1:13" hidden="1" x14ac:dyDescent="0.55000000000000004">
      <c r="A2430" t="s">
        <v>742</v>
      </c>
      <c r="B2430" t="s">
        <v>1666</v>
      </c>
      <c r="C2430" t="s">
        <v>5727</v>
      </c>
      <c r="E2430" t="s">
        <v>6060</v>
      </c>
      <c r="F2430" t="str">
        <f t="shared" si="37"/>
        <v>"C:\Program Files\VideoLAN\VLC\vlc.exe" "http://www.radiofeeds.net/playlists/sharptemp.pls?station=kingdomdab-mp3"</v>
      </c>
      <c r="M2430" t="str">
        <f>VLOOKUP(A2430,logos!$A$2:$A$10004,1,FALSE)</f>
        <v>Kingdom FM</v>
      </c>
    </row>
    <row r="2431" spans="1:13" hidden="1" x14ac:dyDescent="0.55000000000000004">
      <c r="A2431" t="s">
        <v>2762</v>
      </c>
      <c r="B2431" t="s">
        <v>1692</v>
      </c>
      <c r="C2431" t="s">
        <v>5728</v>
      </c>
      <c r="E2431" t="s">
        <v>6060</v>
      </c>
      <c r="F2431" t="str">
        <f t="shared" si="37"/>
        <v>"C:\Program Files\VideoLAN\VLC\vlc.exe" "http://www.radiofeeds.net/playlists/bauer.pls?station=kiss100-mp3"</v>
      </c>
      <c r="M2431" t="e">
        <f>VLOOKUP(A2431,logos!$A$2:$A$10004,1,FALSE)</f>
        <v>#N/A</v>
      </c>
    </row>
    <row r="2432" spans="1:13" hidden="1" x14ac:dyDescent="0.55000000000000004">
      <c r="A2432" t="s">
        <v>2763</v>
      </c>
      <c r="B2432" t="s">
        <v>1692</v>
      </c>
      <c r="C2432" t="s">
        <v>5729</v>
      </c>
      <c r="E2432" t="s">
        <v>6060</v>
      </c>
      <c r="F2432" t="str">
        <f t="shared" si="37"/>
        <v>"C:\Program Files\VideoLAN\VLC\vlc.exe" "http://www.radiofeeds.net/playlists/bauer.pls?station=kissnational-mp3"</v>
      </c>
      <c r="M2432" t="str">
        <f>VLOOKUP(A2432,logos!$A$2:$A$10004,1,FALSE)</f>
        <v>KISS (UK)</v>
      </c>
    </row>
    <row r="2433" spans="1:13" hidden="1" x14ac:dyDescent="0.55000000000000004">
      <c r="A2433" t="s">
        <v>749</v>
      </c>
      <c r="B2433" t="s">
        <v>1692</v>
      </c>
      <c r="C2433" t="s">
        <v>5730</v>
      </c>
      <c r="E2433" t="s">
        <v>6060</v>
      </c>
      <c r="F2433" t="str">
        <f t="shared" si="37"/>
        <v>"C:\Program Files\VideoLAN\VLC\vlc.exe" "http://www.radiofeeds.net/playlists/bauer.pls?station=kissfresh-mp3"</v>
      </c>
      <c r="M2433" t="str">
        <f>VLOOKUP(A2433,logos!$A$2:$A$10004,1,FALSE)</f>
        <v>KISS FRESH</v>
      </c>
    </row>
    <row r="2434" spans="1:13" hidden="1" x14ac:dyDescent="0.55000000000000004">
      <c r="A2434" t="s">
        <v>751</v>
      </c>
      <c r="B2434" t="s">
        <v>1692</v>
      </c>
      <c r="C2434" t="s">
        <v>5731</v>
      </c>
      <c r="E2434" t="s">
        <v>6060</v>
      </c>
      <c r="F2434" t="str">
        <f t="shared" si="37"/>
        <v>"C:\Program Files\VideoLAN\VLC\vlc.exe" "http://www.radiofeeds.net/playlists/bauer.pls?station=kisstory-mp3"</v>
      </c>
      <c r="M2434" t="str">
        <f>VLOOKUP(A2434,logos!$A$2:$A$10004,1,FALSE)</f>
        <v>KISSTORY</v>
      </c>
    </row>
    <row r="2435" spans="1:13" hidden="1" x14ac:dyDescent="0.55000000000000004">
      <c r="A2435" t="s">
        <v>2868</v>
      </c>
      <c r="B2435" t="s">
        <v>1663</v>
      </c>
      <c r="C2435" t="s">
        <v>5732</v>
      </c>
      <c r="E2435" t="s">
        <v>6060</v>
      </c>
      <c r="F2435" t="str">
        <f t="shared" ref="F2435:F2498" si="38">"""C:\Program Files\VideoLAN\VLC\vlc.exe"" """&amp;C2435&amp;""""</f>
        <v>"C:\Program Files\VideoLAN\VLC\vlc.exe" "http://www.radiofeeds.net/playlists/sharptemp.pls?station=kmfmashford-mp3"</v>
      </c>
      <c r="M2435" t="e">
        <f>VLOOKUP(A2435,logos!$A$2:$A$10004,1,FALSE)</f>
        <v>#N/A</v>
      </c>
    </row>
    <row r="2436" spans="1:13" hidden="1" x14ac:dyDescent="0.55000000000000004">
      <c r="A2436" t="s">
        <v>2869</v>
      </c>
      <c r="B2436" t="s">
        <v>1663</v>
      </c>
      <c r="C2436" t="s">
        <v>5733</v>
      </c>
      <c r="E2436" t="s">
        <v>6060</v>
      </c>
      <c r="F2436" t="str">
        <f t="shared" si="38"/>
        <v>"C:\Program Files\VideoLAN\VLC\vlc.exe" "http://www.radiofeeds.net/playlists/sharptemp.pls?station=kmfmcanterbury-mp3"</v>
      </c>
      <c r="M2436" t="e">
        <f>VLOOKUP(A2436,logos!$A$2:$A$10004,1,FALSE)</f>
        <v>#N/A</v>
      </c>
    </row>
    <row r="2437" spans="1:13" hidden="1" x14ac:dyDescent="0.55000000000000004">
      <c r="A2437" t="s">
        <v>2870</v>
      </c>
      <c r="B2437" t="s">
        <v>1663</v>
      </c>
      <c r="C2437" t="s">
        <v>5734</v>
      </c>
      <c r="E2437" t="s">
        <v>6060</v>
      </c>
      <c r="F2437" t="str">
        <f t="shared" si="38"/>
        <v>"C:\Program Files\VideoLAN\VLC\vlc.exe" "http://www.radiofeeds.net/playlists/sharptemp.pls?station=kmfmmaidstone-mp3"</v>
      </c>
      <c r="M2437" t="e">
        <f>VLOOKUP(A2437,logos!$A$2:$A$10004,1,FALSE)</f>
        <v>#N/A</v>
      </c>
    </row>
    <row r="2438" spans="1:13" hidden="1" x14ac:dyDescent="0.55000000000000004">
      <c r="A2438" t="s">
        <v>2871</v>
      </c>
      <c r="B2438" t="s">
        <v>1663</v>
      </c>
      <c r="C2438" t="s">
        <v>5735</v>
      </c>
      <c r="E2438" t="s">
        <v>6060</v>
      </c>
      <c r="F2438" t="str">
        <f t="shared" si="38"/>
        <v>"C:\Program Files\VideoLAN\VLC\vlc.exe" "http://www.radiofeeds.net/playlists/sharptemp.pls?station=kmfmmedway-mp3"</v>
      </c>
      <c r="M2438" t="e">
        <f>VLOOKUP(A2438,logos!$A$2:$A$10004,1,FALSE)</f>
        <v>#N/A</v>
      </c>
    </row>
    <row r="2439" spans="1:13" hidden="1" x14ac:dyDescent="0.55000000000000004">
      <c r="A2439" t="s">
        <v>2872</v>
      </c>
      <c r="B2439" t="s">
        <v>1663</v>
      </c>
      <c r="C2439" t="s">
        <v>5736</v>
      </c>
      <c r="E2439" t="s">
        <v>6060</v>
      </c>
      <c r="F2439" t="str">
        <f t="shared" si="38"/>
        <v>"C:\Program Files\VideoLAN\VLC\vlc.exe" "http://www.radiofeeds.net/playlists/sharptemp.pls?station=kmfmdoverfolkestone-mp3"</v>
      </c>
      <c r="M2439" t="e">
        <f>VLOOKUP(A2439,logos!$A$2:$A$10004,1,FALSE)</f>
        <v>#N/A</v>
      </c>
    </row>
    <row r="2440" spans="1:13" hidden="1" x14ac:dyDescent="0.55000000000000004">
      <c r="A2440" t="s">
        <v>2873</v>
      </c>
      <c r="B2440" t="s">
        <v>1663</v>
      </c>
      <c r="C2440" t="s">
        <v>5737</v>
      </c>
      <c r="E2440" t="s">
        <v>6060</v>
      </c>
      <c r="F2440" t="str">
        <f t="shared" si="38"/>
        <v>"C:\Program Files\VideoLAN\VLC\vlc.exe" "http://www.radiofeeds.net/playlists/sharptemp.pls?station=kmfmthanet-mp3"</v>
      </c>
      <c r="M2440" t="e">
        <f>VLOOKUP(A2440,logos!$A$2:$A$10004,1,FALSE)</f>
        <v>#N/A</v>
      </c>
    </row>
    <row r="2441" spans="1:13" hidden="1" x14ac:dyDescent="0.55000000000000004">
      <c r="A2441" t="s">
        <v>2874</v>
      </c>
      <c r="B2441" t="s">
        <v>1663</v>
      </c>
      <c r="C2441" t="s">
        <v>5738</v>
      </c>
      <c r="E2441" t="s">
        <v>6060</v>
      </c>
      <c r="F2441" t="str">
        <f t="shared" si="38"/>
        <v>"C:\Program Files\VideoLAN\VLC\vlc.exe" "http://www.radiofeeds.net/playlists/sharptemp.pls?station=kmfmwestkent-mp3"</v>
      </c>
      <c r="M2441" t="e">
        <f>VLOOKUP(A2441,logos!$A$2:$A$10004,1,FALSE)</f>
        <v>#N/A</v>
      </c>
    </row>
    <row r="2442" spans="1:13" hidden="1" x14ac:dyDescent="0.55000000000000004">
      <c r="A2442" t="s">
        <v>2764</v>
      </c>
      <c r="B2442" t="s">
        <v>1664</v>
      </c>
      <c r="C2442" t="s">
        <v>5739</v>
      </c>
      <c r="E2442" t="s">
        <v>6060</v>
      </c>
      <c r="F2442" t="str">
        <f t="shared" si="38"/>
        <v>"C:\Program Files\VideoLAN\VLC\vlc.exe" "http://icecast.thisisdax.com/LBCLondonMP3Low.m3u"</v>
      </c>
      <c r="M2442" t="str">
        <f>VLOOKUP(A2442,logos!$A$2:$A$10004,1,FALSE)</f>
        <v>LBC (London)</v>
      </c>
    </row>
    <row r="2443" spans="1:13" hidden="1" x14ac:dyDescent="0.55000000000000004">
      <c r="A2443" t="s">
        <v>2765</v>
      </c>
      <c r="B2443" t="s">
        <v>1664</v>
      </c>
      <c r="C2443" t="s">
        <v>5740</v>
      </c>
      <c r="E2443" t="s">
        <v>6060</v>
      </c>
      <c r="F2443" t="str">
        <f t="shared" si="38"/>
        <v>"C:\Program Files\VideoLAN\VLC\vlc.exe" "http://icecast.thisisdax.com/LBCUKMP3Low.m3u"</v>
      </c>
      <c r="M2443" t="str">
        <f>VLOOKUP(A2443,logos!$A$2:$A$10004,1,FALSE)</f>
        <v>LBC (UK)</v>
      </c>
    </row>
    <row r="2444" spans="1:13" hidden="1" x14ac:dyDescent="0.55000000000000004">
      <c r="A2444" t="s">
        <v>2766</v>
      </c>
      <c r="B2444" t="s">
        <v>1664</v>
      </c>
      <c r="C2444" t="s">
        <v>5741</v>
      </c>
      <c r="E2444" t="s">
        <v>6060</v>
      </c>
      <c r="F2444" t="str">
        <f t="shared" si="38"/>
        <v>"C:\Program Files\VideoLAN\VLC\vlc.exe" "http://icecast.thisisdax.com/LBCNewsLondonMP3.m3u"</v>
      </c>
      <c r="M2444" t="str">
        <f>VLOOKUP(A2444,logos!$A$2:$A$10004,1,FALSE)</f>
        <v>LBC News (London)</v>
      </c>
    </row>
    <row r="2445" spans="1:13" hidden="1" x14ac:dyDescent="0.55000000000000004">
      <c r="A2445" t="s">
        <v>2767</v>
      </c>
      <c r="B2445" t="s">
        <v>1663</v>
      </c>
      <c r="C2445" t="s">
        <v>5742</v>
      </c>
      <c r="E2445" t="s">
        <v>6060</v>
      </c>
      <c r="F2445" t="str">
        <f t="shared" si="38"/>
        <v>"C:\Program Files\VideoLAN\VLC\vlc.exe" "http://icecast.thisisdax.com/LBCNewsUKMP3.m3u"</v>
      </c>
      <c r="M2445" t="str">
        <f>VLOOKUP(A2445,logos!$A$2:$A$10004,1,FALSE)</f>
        <v>LBC News (UK)</v>
      </c>
    </row>
    <row r="2446" spans="1:13" hidden="1" x14ac:dyDescent="0.55000000000000004">
      <c r="A2446" t="s">
        <v>2875</v>
      </c>
      <c r="B2446" t="s">
        <v>1663</v>
      </c>
      <c r="C2446" t="s">
        <v>5743</v>
      </c>
      <c r="E2446" t="s">
        <v>6060</v>
      </c>
      <c r="F2446" t="str">
        <f t="shared" si="38"/>
        <v>"C:\Program Files\VideoLAN\VLC\vlc.exe" "http://live3.istoikona.net:8203/stream.m3u"</v>
      </c>
      <c r="M2446" t="e">
        <f>VLOOKUP(A2446,logos!$A$2:$A$10004,1,FALSE)</f>
        <v>#N/A</v>
      </c>
    </row>
    <row r="2447" spans="1:13" hidden="1" x14ac:dyDescent="0.55000000000000004">
      <c r="A2447" t="s">
        <v>778</v>
      </c>
      <c r="B2447" t="s">
        <v>1662</v>
      </c>
      <c r="C2447" t="s">
        <v>5744</v>
      </c>
      <c r="E2447" t="s">
        <v>6060</v>
      </c>
      <c r="F2447" t="str">
        <f t="shared" si="38"/>
        <v>"C:\Program Files\VideoLAN\VLC\vlc.exe" "http://liferadiostream.uk:8062/listen.pls?sid=1"</v>
      </c>
      <c r="M2447" t="e">
        <f>VLOOKUP(A2447,logos!$A$2:$A$10004,1,FALSE)</f>
        <v>#N/A</v>
      </c>
    </row>
    <row r="2448" spans="1:13" hidden="1" x14ac:dyDescent="0.55000000000000004">
      <c r="A2448" t="s">
        <v>778</v>
      </c>
      <c r="B2448" t="s">
        <v>1670</v>
      </c>
      <c r="C2448" t="s">
        <v>5745</v>
      </c>
      <c r="E2448" t="s">
        <v>6060</v>
      </c>
      <c r="F2448" t="str">
        <f t="shared" si="38"/>
        <v>"C:\Program Files\VideoLAN\VLC\vlc.exe" "http://centauri.shoutca.st:8290/live.m3u"</v>
      </c>
      <c r="M2448" t="e">
        <f>VLOOKUP(A2448,logos!$A$2:$A$10004,1,FALSE)</f>
        <v>#N/A</v>
      </c>
    </row>
    <row r="2449" spans="1:13" hidden="1" x14ac:dyDescent="0.55000000000000004">
      <c r="A2449" t="s">
        <v>2769</v>
      </c>
      <c r="B2449" t="s">
        <v>1663</v>
      </c>
      <c r="C2449" t="s">
        <v>5746</v>
      </c>
      <c r="E2449" t="s">
        <v>6060</v>
      </c>
      <c r="F2449" t="str">
        <f t="shared" si="38"/>
        <v>"C:\Program Files\VideoLAN\VLC\vlc.exe" "http://www.radiofeeds.net/playlists/likeone.m3u"</v>
      </c>
      <c r="M2449" t="e">
        <f>VLOOKUP(A2449,logos!$A$2:$A$10004,1,FALSE)</f>
        <v>#N/A</v>
      </c>
    </row>
    <row r="2450" spans="1:13" hidden="1" x14ac:dyDescent="0.55000000000000004">
      <c r="A2450" t="s">
        <v>2770</v>
      </c>
      <c r="B2450" t="s">
        <v>1663</v>
      </c>
      <c r="C2450" t="s">
        <v>5747</v>
      </c>
      <c r="E2450" t="s">
        <v>6060</v>
      </c>
      <c r="F2450" t="str">
        <f t="shared" si="38"/>
        <v>"C:\Program Files\VideoLAN\VLC\vlc.exe" "http://www.radiofeeds.net/playlists/likepop.m3u"</v>
      </c>
      <c r="M2450" t="e">
        <f>VLOOKUP(A2450,logos!$A$2:$A$10004,1,FALSE)</f>
        <v>#N/A</v>
      </c>
    </row>
    <row r="2451" spans="1:13" hidden="1" x14ac:dyDescent="0.55000000000000004">
      <c r="A2451" t="s">
        <v>785</v>
      </c>
      <c r="B2451" t="s">
        <v>1663</v>
      </c>
      <c r="C2451" t="s">
        <v>5748</v>
      </c>
      <c r="E2451" t="s">
        <v>6060</v>
      </c>
      <c r="F2451" t="str">
        <f t="shared" si="38"/>
        <v>"C:\Program Files\VideoLAN\VLC\vlc.exe" "http://www.radiofeeds.net/playlists/likeretro.m3u"</v>
      </c>
      <c r="M2451" t="e">
        <f>VLOOKUP(A2451,logos!$A$2:$A$10004,1,FALSE)</f>
        <v>#N/A</v>
      </c>
    </row>
    <row r="2452" spans="1:13" hidden="1" x14ac:dyDescent="0.55000000000000004">
      <c r="A2452" t="s">
        <v>787</v>
      </c>
      <c r="B2452" t="s">
        <v>1692</v>
      </c>
      <c r="C2452" t="s">
        <v>5749</v>
      </c>
      <c r="E2452" t="s">
        <v>6060</v>
      </c>
      <c r="F2452" t="str">
        <f t="shared" si="38"/>
        <v>"C:\Program Files\VideoLAN\VLC\vlc.exe" "http://www.radiofeeds.net/playlists/bauer.pls?station=net1lincoln-mp3"</v>
      </c>
      <c r="M2452" t="str">
        <f>VLOOKUP(A2452,logos!$A$2:$A$10004,1,FALSE)</f>
        <v>Lincs FM</v>
      </c>
    </row>
    <row r="2453" spans="1:13" hidden="1" x14ac:dyDescent="0.55000000000000004">
      <c r="A2453" t="s">
        <v>789</v>
      </c>
      <c r="B2453" t="s">
        <v>1663</v>
      </c>
      <c r="C2453" t="s">
        <v>5750</v>
      </c>
      <c r="E2453" t="s">
        <v>6060</v>
      </c>
      <c r="F2453" t="str">
        <f t="shared" si="38"/>
        <v>"C:\Program Files\VideoLAN\VLC\vlc.exe" "http://www.radiofeeds.net/playlists/lite.m3u"</v>
      </c>
      <c r="M2453" t="e">
        <f>VLOOKUP(A2453,logos!$A$2:$A$10004,1,FALSE)</f>
        <v>#N/A</v>
      </c>
    </row>
    <row r="2454" spans="1:13" hidden="1" x14ac:dyDescent="0.55000000000000004">
      <c r="A2454" t="s">
        <v>791</v>
      </c>
      <c r="B2454" t="s">
        <v>1663</v>
      </c>
      <c r="C2454" t="s">
        <v>5751</v>
      </c>
      <c r="E2454" t="s">
        <v>6060</v>
      </c>
      <c r="F2454" t="str">
        <f t="shared" si="38"/>
        <v>"C:\Program Files\VideoLAN\VLC\vlc.exe" "http://playoutonestreaming.com:8048/listen.pls?sid=1"</v>
      </c>
      <c r="M2454" t="e">
        <f>VLOOKUP(A2454,logos!$A$2:$A$10004,1,FALSE)</f>
        <v>#N/A</v>
      </c>
    </row>
    <row r="2455" spans="1:13" hidden="1" x14ac:dyDescent="0.55000000000000004">
      <c r="A2455" t="s">
        <v>793</v>
      </c>
      <c r="B2455" t="s">
        <v>1663</v>
      </c>
      <c r="C2455" t="s">
        <v>5752</v>
      </c>
      <c r="E2455" t="s">
        <v>6060</v>
      </c>
      <c r="F2455" t="str">
        <f t="shared" si="38"/>
        <v>"C:\Program Files\VideoLAN\VLC\vlc.exe" "http://playoutonestreaming.com:8086/listen.pls?sid=1"</v>
      </c>
      <c r="M2455" t="e">
        <f>VLOOKUP(A2455,logos!$A$2:$A$10004,1,FALSE)</f>
        <v>#N/A</v>
      </c>
    </row>
    <row r="2456" spans="1:13" hidden="1" x14ac:dyDescent="0.55000000000000004">
      <c r="A2456" t="s">
        <v>795</v>
      </c>
      <c r="B2456" t="s">
        <v>1663</v>
      </c>
      <c r="C2456" t="s">
        <v>5753</v>
      </c>
      <c r="E2456" t="s">
        <v>6060</v>
      </c>
      <c r="F2456" t="str">
        <f t="shared" si="38"/>
        <v>"C:\Program Files\VideoLAN\VLC\vlc.exe" "http://www.radiofeeds.net/playlists/londonone.m3u"</v>
      </c>
      <c r="M2456" t="e">
        <f>VLOOKUP(A2456,logos!$A$2:$A$10004,1,FALSE)</f>
        <v>#N/A</v>
      </c>
    </row>
    <row r="2457" spans="1:13" hidden="1" x14ac:dyDescent="0.55000000000000004">
      <c r="A2457" t="s">
        <v>2771</v>
      </c>
      <c r="B2457" t="s">
        <v>1663</v>
      </c>
      <c r="C2457" t="s">
        <v>5754</v>
      </c>
      <c r="E2457" t="s">
        <v>6060</v>
      </c>
      <c r="F2457" t="str">
        <f t="shared" si="38"/>
        <v>"C:\Program Files\VideoLAN\VLC\vlc.exe" "http://playoutonestreaming.com:8062/listen.pls?sid=1"</v>
      </c>
      <c r="M2457" t="e">
        <f>VLOOKUP(A2457,logos!$A$2:$A$10004,1,FALSE)</f>
        <v>#N/A</v>
      </c>
    </row>
    <row r="2458" spans="1:13" hidden="1" x14ac:dyDescent="0.55000000000000004">
      <c r="A2458" t="s">
        <v>2772</v>
      </c>
      <c r="B2458" t="s">
        <v>1663</v>
      </c>
      <c r="C2458" t="s">
        <v>5755</v>
      </c>
      <c r="E2458" t="s">
        <v>6060</v>
      </c>
      <c r="F2458" t="str">
        <f t="shared" si="38"/>
        <v>"C:\Program Files\VideoLAN\VLC\vlc.exe" "http://stream1.themediasite.co.uk:8038/listen.pls?sid=1"</v>
      </c>
      <c r="M2458" t="e">
        <f>VLOOKUP(A2458,logos!$A$2:$A$10004,1,FALSE)</f>
        <v>#N/A</v>
      </c>
    </row>
    <row r="2459" spans="1:13" hidden="1" x14ac:dyDescent="0.55000000000000004">
      <c r="A2459" t="s">
        <v>801</v>
      </c>
      <c r="B2459" t="s">
        <v>1669</v>
      </c>
      <c r="C2459" t="s">
        <v>5756</v>
      </c>
      <c r="E2459" t="s">
        <v>6060</v>
      </c>
      <c r="F2459" t="str">
        <f t="shared" si="38"/>
        <v>"C:\Program Files\VideoLAN\VLC\vlc.exe" "http://www.radiofeeds.net/playlists/sharptemp.pls?station=1035.mp3"</v>
      </c>
      <c r="M2459" t="e">
        <f>VLOOKUP(A2459,logos!$A$2:$A$10004,1,FALSE)</f>
        <v>#N/A</v>
      </c>
    </row>
    <row r="2460" spans="1:13" hidden="1" x14ac:dyDescent="0.55000000000000004">
      <c r="A2460" t="s">
        <v>803</v>
      </c>
      <c r="B2460" t="s">
        <v>1663</v>
      </c>
      <c r="C2460" t="s">
        <v>5757</v>
      </c>
      <c r="E2460" t="s">
        <v>6060</v>
      </c>
      <c r="F2460" t="str">
        <f t="shared" si="38"/>
        <v>"C:\Program Files\VideoLAN\VLC\vlc.exe" "http://www.radiofeeds.net/playlists/sharptemp.pls?station=1458-mp3"</v>
      </c>
      <c r="M2460" t="e">
        <f>VLOOKUP(A2460,logos!$A$2:$A$10004,1,FALSE)</f>
        <v>#N/A</v>
      </c>
    </row>
    <row r="2461" spans="1:13" hidden="1" x14ac:dyDescent="0.55000000000000004">
      <c r="A2461" t="s">
        <v>2773</v>
      </c>
      <c r="B2461" t="s">
        <v>1692</v>
      </c>
      <c r="C2461" t="s">
        <v>5758</v>
      </c>
      <c r="E2461" t="s">
        <v>6060</v>
      </c>
      <c r="F2461" t="str">
        <f t="shared" si="38"/>
        <v>"C:\Program Files\VideoLAN\VLC\vlc.exe" "http://www.radiofeeds.net/playlists/bauer.pls?station=magic1054-mp3"</v>
      </c>
      <c r="M2461" t="str">
        <f>VLOOKUP(A2461,logos!$A$2:$A$10004,1,FALSE)</f>
        <v>Magic (London)</v>
      </c>
    </row>
    <row r="2462" spans="1:13" hidden="1" x14ac:dyDescent="0.55000000000000004">
      <c r="A2462" t="s">
        <v>2774</v>
      </c>
      <c r="B2462" t="s">
        <v>1692</v>
      </c>
      <c r="C2462" t="s">
        <v>5759</v>
      </c>
      <c r="E2462" t="s">
        <v>6060</v>
      </c>
      <c r="F2462" t="str">
        <f t="shared" si="38"/>
        <v>"C:\Program Files\VideoLAN\VLC\vlc.exe" "http://www.radiofeeds.net/playlists/bauer.pls?station=magicnational-mp3"</v>
      </c>
      <c r="M2462" t="str">
        <f>VLOOKUP(A2462,logos!$A$2:$A$10004,1,FALSE)</f>
        <v>Magic (UK)</v>
      </c>
    </row>
    <row r="2463" spans="1:13" hidden="1" x14ac:dyDescent="0.55000000000000004">
      <c r="A2463" t="s">
        <v>809</v>
      </c>
      <c r="B2463" t="s">
        <v>1692</v>
      </c>
      <c r="C2463" t="s">
        <v>5760</v>
      </c>
      <c r="E2463" t="s">
        <v>6060</v>
      </c>
      <c r="F2463" t="str">
        <f t="shared" si="38"/>
        <v>"C:\Program Files\VideoLAN\VLC\vlc.exe" "http://www.radiofeeds.net/playlists/bauer.pls?station=magicmusicals-mp3"</v>
      </c>
      <c r="M2463" t="str">
        <f>VLOOKUP(A2463,logos!$A$2:$A$10004,1,FALSE)</f>
        <v>Magic at the Musicals</v>
      </c>
    </row>
    <row r="2464" spans="1:13" hidden="1" x14ac:dyDescent="0.55000000000000004">
      <c r="A2464" t="s">
        <v>811</v>
      </c>
      <c r="B2464" t="s">
        <v>1692</v>
      </c>
      <c r="C2464" t="s">
        <v>5761</v>
      </c>
      <c r="E2464" t="s">
        <v>6060</v>
      </c>
      <c r="F2464" t="str">
        <f t="shared" si="38"/>
        <v>"C:\Program Files\VideoLAN\VLC\vlc.exe" "http://www.radiofeeds.net/playlists/bauer.pls?station=magicchilled-mp3"</v>
      </c>
      <c r="M2464" t="str">
        <f>VLOOKUP(A2464,logos!$A$2:$A$10004,1,FALSE)</f>
        <v>Magic Chilled</v>
      </c>
    </row>
    <row r="2465" spans="1:13" hidden="1" x14ac:dyDescent="0.55000000000000004">
      <c r="A2465" t="s">
        <v>813</v>
      </c>
      <c r="B2465" t="s">
        <v>1692</v>
      </c>
      <c r="C2465" t="s">
        <v>5762</v>
      </c>
      <c r="E2465" t="s">
        <v>6060</v>
      </c>
      <c r="F2465" t="str">
        <f t="shared" si="38"/>
        <v>"C:\Program Files\VideoLAN\VLC\vlc.exe" "http://www.radiofeeds.net/playlists/bauer.pls?station=magicsoul-mp3"</v>
      </c>
      <c r="M2465" t="str">
        <f>VLOOKUP(A2465,logos!$A$2:$A$10004,1,FALSE)</f>
        <v>Magic Soul</v>
      </c>
    </row>
    <row r="2466" spans="1:13" hidden="1" x14ac:dyDescent="0.55000000000000004">
      <c r="A2466" t="s">
        <v>815</v>
      </c>
      <c r="B2466" t="s">
        <v>1663</v>
      </c>
      <c r="C2466" t="s">
        <v>5763</v>
      </c>
      <c r="E2466" t="s">
        <v>6060</v>
      </c>
      <c r="F2466" t="str">
        <f t="shared" si="38"/>
        <v>"C:\Program Files\VideoLAN\VLC\vlc.exe" "http://audiospace.stream/3748.m3u"</v>
      </c>
      <c r="M2466" t="e">
        <f>VLOOKUP(A2466,logos!$A$2:$A$10004,1,FALSE)</f>
        <v>#N/A</v>
      </c>
    </row>
    <row r="2467" spans="1:13" hidden="1" x14ac:dyDescent="0.55000000000000004">
      <c r="A2467" t="s">
        <v>2775</v>
      </c>
      <c r="B2467" t="s">
        <v>1663</v>
      </c>
      <c r="C2467" t="s">
        <v>5764</v>
      </c>
      <c r="E2467" t="s">
        <v>6060</v>
      </c>
      <c r="F2467" t="str">
        <f t="shared" si="38"/>
        <v>"C:\Program Files\VideoLAN\VLC\vlc.exe" "http://www.radiofeeds.net/playlists/sharptemp.pls?station=manxradioam-mp3"</v>
      </c>
      <c r="M2467" t="e">
        <f>VLOOKUP(A2467,logos!$A$2:$A$10004,1,FALSE)</f>
        <v>#N/A</v>
      </c>
    </row>
    <row r="2468" spans="1:13" hidden="1" x14ac:dyDescent="0.55000000000000004">
      <c r="A2468" t="s">
        <v>2776</v>
      </c>
      <c r="B2468" t="s">
        <v>1663</v>
      </c>
      <c r="C2468" t="s">
        <v>5765</v>
      </c>
      <c r="E2468" t="s">
        <v>6060</v>
      </c>
      <c r="F2468" t="str">
        <f t="shared" si="38"/>
        <v>"C:\Program Files\VideoLAN\VLC\vlc.exe" "http://www.radiofeeds.net/playlists/sharptemp.pls?station=manxradiofm-mp3"</v>
      </c>
      <c r="M2468" t="e">
        <f>VLOOKUP(A2468,logos!$A$2:$A$10004,1,FALSE)</f>
        <v>#N/A</v>
      </c>
    </row>
    <row r="2469" spans="1:13" hidden="1" x14ac:dyDescent="0.55000000000000004">
      <c r="A2469" t="s">
        <v>1695</v>
      </c>
      <c r="B2469" t="s">
        <v>1663</v>
      </c>
      <c r="C2469" t="s">
        <v>5766</v>
      </c>
      <c r="E2469" t="s">
        <v>6060</v>
      </c>
      <c r="F2469" t="str">
        <f t="shared" si="38"/>
        <v>"C:\Program Files\VideoLAN\VLC\vlc.exe" "http://philae.shoutca.st:8054/listen.pls?sid=1"</v>
      </c>
      <c r="M2469" t="e">
        <f>VLOOKUP(A2469,logos!$A$2:$A$10004,1,FALSE)</f>
        <v>#N/A</v>
      </c>
    </row>
    <row r="2470" spans="1:13" hidden="1" x14ac:dyDescent="0.55000000000000004">
      <c r="A2470" t="s">
        <v>821</v>
      </c>
      <c r="B2470" t="s">
        <v>1692</v>
      </c>
      <c r="C2470" t="s">
        <v>5767</v>
      </c>
      <c r="E2470" t="s">
        <v>6060</v>
      </c>
      <c r="F2470" t="str">
        <f t="shared" si="38"/>
        <v>"C:\Program Files\VideoLAN\VLC\vlc.exe" "http://www.radiofeeds.net/playlists/bauer.pls?station=magicmellow-mp3"</v>
      </c>
      <c r="M2470" t="str">
        <f>VLOOKUP(A2470,logos!$A$2:$A$10004,1,FALSE)</f>
        <v>Mellow Magic</v>
      </c>
    </row>
    <row r="2471" spans="1:13" hidden="1" x14ac:dyDescent="0.55000000000000004">
      <c r="A2471" t="s">
        <v>2876</v>
      </c>
      <c r="B2471" t="s">
        <v>1663</v>
      </c>
      <c r="C2471" t="s">
        <v>5768</v>
      </c>
      <c r="E2471" t="s">
        <v>6060</v>
      </c>
      <c r="F2471" t="str">
        <f t="shared" si="38"/>
        <v>"C:\Program Files\VideoLAN\VLC\vlc.exe" "http://stream.zeno.fm/bu7tz109x4zuv.m3u"</v>
      </c>
      <c r="M2471" t="e">
        <f>VLOOKUP(A2471,logos!$A$2:$A$10004,1,FALSE)</f>
        <v>#N/A</v>
      </c>
    </row>
    <row r="2472" spans="1:13" hidden="1" x14ac:dyDescent="0.55000000000000004">
      <c r="A2472" t="s">
        <v>825</v>
      </c>
      <c r="B2472" t="s">
        <v>1692</v>
      </c>
      <c r="C2472" t="s">
        <v>5769</v>
      </c>
      <c r="E2472" t="s">
        <v>6060</v>
      </c>
      <c r="F2472" t="str">
        <f t="shared" si="38"/>
        <v>"C:\Program Files\VideoLAN\VLC\vlc.exe" "http://www.radiofeeds.net/playlists/bauer.pls?station=metro-mp3"</v>
      </c>
      <c r="M2472" t="str">
        <f>VLOOKUP(A2472,logos!$A$2:$A$10004,1,FALSE)</f>
        <v>Metro Radio</v>
      </c>
    </row>
    <row r="2473" spans="1:13" hidden="1" x14ac:dyDescent="0.55000000000000004">
      <c r="A2473" t="s">
        <v>827</v>
      </c>
      <c r="B2473" t="s">
        <v>1692</v>
      </c>
      <c r="C2473" t="s">
        <v>5770</v>
      </c>
      <c r="E2473" t="s">
        <v>6060</v>
      </c>
      <c r="F2473" t="str">
        <f t="shared" si="38"/>
        <v>"C:\Program Files\VideoLAN\VLC\vlc.exe" "http://www.radiofeeds.net/playlists/bauer.pls?station=mfrfm-mp3"</v>
      </c>
      <c r="M2473" t="str">
        <f>VLOOKUP(A2473,logos!$A$2:$A$10004,1,FALSE)</f>
        <v>MFR</v>
      </c>
    </row>
    <row r="2474" spans="1:13" hidden="1" x14ac:dyDescent="0.55000000000000004">
      <c r="A2474" t="s">
        <v>829</v>
      </c>
      <c r="B2474" t="s">
        <v>1692</v>
      </c>
      <c r="C2474" t="s">
        <v>5771</v>
      </c>
      <c r="E2474" t="s">
        <v>6060</v>
      </c>
      <c r="F2474" t="str">
        <f t="shared" si="38"/>
        <v>"C:\Program Files\VideoLAN\VLC\vlc.exe" "http://www.radiofeeds.net/playlists/bauer.pls?station=mfram-mp3"</v>
      </c>
      <c r="M2474" t="str">
        <f>VLOOKUP(A2474,logos!$A$2:$A$10004,1,FALSE)</f>
        <v>MFR 2</v>
      </c>
    </row>
    <row r="2475" spans="1:13" hidden="1" x14ac:dyDescent="0.55000000000000004">
      <c r="A2475" t="s">
        <v>831</v>
      </c>
      <c r="B2475" t="s">
        <v>1663</v>
      </c>
      <c r="C2475" t="s">
        <v>5772</v>
      </c>
      <c r="E2475" t="s">
        <v>6060</v>
      </c>
      <c r="F2475" t="str">
        <f t="shared" si="38"/>
        <v>"C:\Program Files\VideoLAN\VLC\vlc.exe" "http://trappist.shoutca.st:8058/listen.pls?sid=1"</v>
      </c>
      <c r="M2475" t="e">
        <f>VLOOKUP(A2475,logos!$A$2:$A$10004,1,FALSE)</f>
        <v>#N/A</v>
      </c>
    </row>
    <row r="2476" spans="1:13" hidden="1" x14ac:dyDescent="0.55000000000000004">
      <c r="A2476" t="s">
        <v>831</v>
      </c>
      <c r="B2476" t="s">
        <v>1670</v>
      </c>
      <c r="C2476" t="s">
        <v>5773</v>
      </c>
      <c r="E2476" t="s">
        <v>6060</v>
      </c>
      <c r="F2476" t="str">
        <f t="shared" si="38"/>
        <v>"C:\Program Files\VideoLAN\VLC\vlc.exe" "http://trappist.shoutca.st:8101/listen.pls?sid=1"</v>
      </c>
      <c r="M2476" t="e">
        <f>VLOOKUP(A2476,logos!$A$2:$A$10004,1,FALSE)</f>
        <v>#N/A</v>
      </c>
    </row>
    <row r="2477" spans="1:13" hidden="1" x14ac:dyDescent="0.55000000000000004">
      <c r="A2477" t="s">
        <v>834</v>
      </c>
      <c r="B2477" t="s">
        <v>1663</v>
      </c>
      <c r="C2477" t="s">
        <v>5774</v>
      </c>
      <c r="E2477" t="s">
        <v>6060</v>
      </c>
      <c r="F2477" t="str">
        <f t="shared" si="38"/>
        <v>"C:\Program Files\VideoLAN\VLC\vlc.exe" "http://www.radiofeeds.net/playlists/sharptemp.pls?station=462_mi_soul_128_mp3"</v>
      </c>
      <c r="M2477" t="e">
        <f>VLOOKUP(A2477,logos!$A$2:$A$10004,1,FALSE)</f>
        <v>#N/A</v>
      </c>
    </row>
    <row r="2478" spans="1:13" hidden="1" x14ac:dyDescent="0.55000000000000004">
      <c r="A2478" t="s">
        <v>834</v>
      </c>
      <c r="B2478" t="s">
        <v>1670</v>
      </c>
      <c r="C2478" t="s">
        <v>5775</v>
      </c>
      <c r="E2478" t="s">
        <v>6060</v>
      </c>
      <c r="F2478" t="str">
        <f t="shared" si="38"/>
        <v>"C:\Program Files\VideoLAN\VLC\vlc.exe" "http://www.radiofeeds.net/playlists/sharptemp.pls?station=462_mi_soul_320_mp3"</v>
      </c>
      <c r="M2478" t="e">
        <f>VLOOKUP(A2478,logos!$A$2:$A$10004,1,FALSE)</f>
        <v>#N/A</v>
      </c>
    </row>
    <row r="2479" spans="1:13" hidden="1" x14ac:dyDescent="0.55000000000000004">
      <c r="A2479" t="s">
        <v>2877</v>
      </c>
      <c r="B2479" t="s">
        <v>1663</v>
      </c>
      <c r="C2479" t="s">
        <v>5776</v>
      </c>
      <c r="E2479" t="s">
        <v>6060</v>
      </c>
      <c r="F2479" t="str">
        <f t="shared" si="38"/>
        <v>"C:\Program Files\VideoLAN\VLC\vlc.exe" "http://proxima.shoutca.st:8122/listen.pls?sid=1"</v>
      </c>
      <c r="M2479" t="e">
        <f>VLOOKUP(A2479,logos!$A$2:$A$10004,1,FALSE)</f>
        <v>#N/A</v>
      </c>
    </row>
    <row r="2480" spans="1:13" hidden="1" x14ac:dyDescent="0.55000000000000004">
      <c r="A2480" t="s">
        <v>837</v>
      </c>
      <c r="B2480" t="s">
        <v>1663</v>
      </c>
      <c r="C2480" t="s">
        <v>5777</v>
      </c>
      <c r="E2480" t="s">
        <v>6060</v>
      </c>
      <c r="F2480" t="str">
        <f t="shared" si="38"/>
        <v>"C:\Program Files\VideoLAN\VLC\vlc.exe" "http://mkfmradioplayer.radioca.st:9648/listen.pls?sid=1"</v>
      </c>
      <c r="M2480" t="e">
        <f>VLOOKUP(A2480,logos!$A$2:$A$10004,1,FALSE)</f>
        <v>#N/A</v>
      </c>
    </row>
    <row r="2481" spans="1:13" hidden="1" x14ac:dyDescent="0.55000000000000004">
      <c r="A2481" t="s">
        <v>2878</v>
      </c>
      <c r="B2481" t="s">
        <v>1663</v>
      </c>
      <c r="C2481" t="s">
        <v>5778</v>
      </c>
      <c r="E2481" t="s">
        <v>6060</v>
      </c>
      <c r="F2481" t="str">
        <f t="shared" si="38"/>
        <v>"C:\Program Files\VideoLAN\VLC\vlc.exe" "http://stream.rcs.revma.com/6q7ksnnz6k0uv.m3u"</v>
      </c>
      <c r="M2481" t="e">
        <f>VLOOKUP(A2481,logos!$A$2:$A$10004,1,FALSE)</f>
        <v>#N/A</v>
      </c>
    </row>
    <row r="2482" spans="1:13" hidden="1" x14ac:dyDescent="0.55000000000000004">
      <c r="A2482" t="s">
        <v>2778</v>
      </c>
      <c r="B2482" t="s">
        <v>1663</v>
      </c>
      <c r="C2482" t="s">
        <v>5779</v>
      </c>
      <c r="E2482" t="s">
        <v>6060</v>
      </c>
      <c r="F2482" t="str">
        <f t="shared" si="38"/>
        <v>"C:\Program Files\VideoLAN\VLC\vlc.exe" "http://s2.xrad.io:8190/listen.pls?sid=1"</v>
      </c>
      <c r="M2482" t="e">
        <f>VLOOKUP(A2482,logos!$A$2:$A$10004,1,FALSE)</f>
        <v>#N/A</v>
      </c>
    </row>
    <row r="2483" spans="1:13" hidden="1" x14ac:dyDescent="0.55000000000000004">
      <c r="A2483" t="s">
        <v>2779</v>
      </c>
      <c r="B2483" t="s">
        <v>1663</v>
      </c>
      <c r="C2483" t="s">
        <v>5780</v>
      </c>
      <c r="E2483" t="s">
        <v>6060</v>
      </c>
      <c r="F2483" t="str">
        <f t="shared" si="38"/>
        <v>"C:\Program Files\VideoLAN\VLC\vlc.exe" "http://s2.xrad.io:8192/listen.pls?sid=1"</v>
      </c>
      <c r="M2483" t="e">
        <f>VLOOKUP(A2483,logos!$A$2:$A$10004,1,FALSE)</f>
        <v>#N/A</v>
      </c>
    </row>
    <row r="2484" spans="1:13" hidden="1" x14ac:dyDescent="0.55000000000000004">
      <c r="A2484" t="s">
        <v>2780</v>
      </c>
      <c r="B2484" t="s">
        <v>1663</v>
      </c>
      <c r="C2484" t="s">
        <v>5781</v>
      </c>
      <c r="E2484" t="s">
        <v>6060</v>
      </c>
      <c r="F2484" t="str">
        <f t="shared" si="38"/>
        <v>"C:\Program Files\VideoLAN\VLC\vlc.exe" "http://s2.xrad.io:8194/listen.pls?sid=1"</v>
      </c>
      <c r="M2484" t="e">
        <f>VLOOKUP(A2484,logos!$A$2:$A$10004,1,FALSE)</f>
        <v>#N/A</v>
      </c>
    </row>
    <row r="2485" spans="1:13" hidden="1" x14ac:dyDescent="0.55000000000000004">
      <c r="A2485" t="s">
        <v>2781</v>
      </c>
      <c r="B2485" t="s">
        <v>1663</v>
      </c>
      <c r="C2485" t="s">
        <v>5782</v>
      </c>
      <c r="E2485" t="s">
        <v>6060</v>
      </c>
      <c r="F2485" t="str">
        <f t="shared" si="38"/>
        <v>"C:\Program Files\VideoLAN\VLC\vlc.exe" "http://s2.xrad.io:8188/listen.pls?sid=1"</v>
      </c>
      <c r="M2485" t="e">
        <f>VLOOKUP(A2485,logos!$A$2:$A$10004,1,FALSE)</f>
        <v>#N/A</v>
      </c>
    </row>
    <row r="2486" spans="1:13" hidden="1" x14ac:dyDescent="0.55000000000000004">
      <c r="A2486" t="s">
        <v>2782</v>
      </c>
      <c r="B2486" t="s">
        <v>1663</v>
      </c>
      <c r="C2486" t="s">
        <v>5783</v>
      </c>
      <c r="E2486" t="s">
        <v>6060</v>
      </c>
      <c r="F2486" t="str">
        <f t="shared" si="38"/>
        <v>"C:\Program Files\VideoLAN\VLC\vlc.exe" "http://s2.xrad.io:8196/listen.pls?sid=1"</v>
      </c>
      <c r="M2486" t="e">
        <f>VLOOKUP(A2486,logos!$A$2:$A$10004,1,FALSE)</f>
        <v>#N/A</v>
      </c>
    </row>
    <row r="2487" spans="1:13" hidden="1" x14ac:dyDescent="0.55000000000000004">
      <c r="A2487" t="s">
        <v>851</v>
      </c>
      <c r="B2487" t="s">
        <v>1663</v>
      </c>
      <c r="C2487" t="s">
        <v>5784</v>
      </c>
      <c r="E2487" t="s">
        <v>6060</v>
      </c>
      <c r="F2487" t="str">
        <f t="shared" si="38"/>
        <v>"C:\Program Files\VideoLAN\VLC\vlc.exe" "http://s2.xrad.io:8330/listen.pls?sid=1"</v>
      </c>
      <c r="M2487" t="e">
        <f>VLOOKUP(A2487,logos!$A$2:$A$10004,1,FALSE)</f>
        <v>#N/A</v>
      </c>
    </row>
    <row r="2488" spans="1:13" hidden="1" x14ac:dyDescent="0.55000000000000004">
      <c r="A2488" t="s">
        <v>853</v>
      </c>
      <c r="B2488" t="s">
        <v>1663</v>
      </c>
      <c r="C2488" t="s">
        <v>5785</v>
      </c>
      <c r="E2488" t="s">
        <v>6060</v>
      </c>
      <c r="F2488" t="str">
        <f t="shared" si="38"/>
        <v>"C:\Program Files\VideoLAN\VLC\vlc.exe" "http://www.radiofeeds.net/playlists/sharptemp.pls?station=nation60s-mp3"</v>
      </c>
      <c r="M2488" t="e">
        <f>VLOOKUP(A2488,logos!$A$2:$A$10004,1,FALSE)</f>
        <v>#N/A</v>
      </c>
    </row>
    <row r="2489" spans="1:13" hidden="1" x14ac:dyDescent="0.55000000000000004">
      <c r="A2489" t="s">
        <v>853</v>
      </c>
      <c r="B2489" t="s">
        <v>1670</v>
      </c>
      <c r="C2489" t="s">
        <v>5786</v>
      </c>
      <c r="E2489" t="s">
        <v>6060</v>
      </c>
      <c r="F2489" t="str">
        <f t="shared" si="38"/>
        <v>"C:\Program Files\VideoLAN\VLC\vlc.exe" "http://icy-e-01.sharp-stream.com/nation60sdab.mp3.m3u"</v>
      </c>
      <c r="M2489" t="e">
        <f>VLOOKUP(A2489,logos!$A$2:$A$10004,1,FALSE)</f>
        <v>#N/A</v>
      </c>
    </row>
    <row r="2490" spans="1:13" hidden="1" x14ac:dyDescent="0.55000000000000004">
      <c r="A2490" t="s">
        <v>856</v>
      </c>
      <c r="B2490" t="s">
        <v>1663</v>
      </c>
      <c r="C2490" t="s">
        <v>5787</v>
      </c>
      <c r="E2490" t="s">
        <v>6060</v>
      </c>
      <c r="F2490" t="str">
        <f t="shared" si="38"/>
        <v>"C:\Program Files\VideoLAN\VLC\vlc.exe" "http://www.radiofeeds.net/playlists/sharptemp.pls?station=nationradio70s-mp3"</v>
      </c>
      <c r="M2490" t="e">
        <f>VLOOKUP(A2490,logos!$A$2:$A$10004,1,FALSE)</f>
        <v>#N/A</v>
      </c>
    </row>
    <row r="2491" spans="1:13" hidden="1" x14ac:dyDescent="0.55000000000000004">
      <c r="A2491" t="s">
        <v>856</v>
      </c>
      <c r="B2491" t="s">
        <v>1670</v>
      </c>
      <c r="C2491" t="s">
        <v>5788</v>
      </c>
      <c r="E2491" t="s">
        <v>6060</v>
      </c>
      <c r="F2491" t="str">
        <f t="shared" si="38"/>
        <v>"C:\Program Files\VideoLAN\VLC\vlc.exe" "http://icy-e-01.sharp-stream.com/nationradio70s-dab.mp3.m3u"</v>
      </c>
      <c r="M2491" t="e">
        <f>VLOOKUP(A2491,logos!$A$2:$A$10004,1,FALSE)</f>
        <v>#N/A</v>
      </c>
    </row>
    <row r="2492" spans="1:13" hidden="1" x14ac:dyDescent="0.55000000000000004">
      <c r="A2492" t="s">
        <v>859</v>
      </c>
      <c r="B2492" t="s">
        <v>1663</v>
      </c>
      <c r="C2492" t="s">
        <v>5789</v>
      </c>
      <c r="E2492" t="s">
        <v>6060</v>
      </c>
      <c r="F2492" t="str">
        <f t="shared" si="38"/>
        <v>"C:\Program Files\VideoLAN\VLC\vlc.exe" "http://www.radiofeeds.net/playlists/sharptemp.pls?station=nationradio80s-mp3"</v>
      </c>
      <c r="M2492" t="e">
        <f>VLOOKUP(A2492,logos!$A$2:$A$10004,1,FALSE)</f>
        <v>#N/A</v>
      </c>
    </row>
    <row r="2493" spans="1:13" hidden="1" x14ac:dyDescent="0.55000000000000004">
      <c r="A2493" t="s">
        <v>859</v>
      </c>
      <c r="B2493" t="s">
        <v>1670</v>
      </c>
      <c r="C2493" t="s">
        <v>5790</v>
      </c>
      <c r="E2493" t="s">
        <v>6060</v>
      </c>
      <c r="F2493" t="str">
        <f t="shared" si="38"/>
        <v>"C:\Program Files\VideoLAN\VLC\vlc.exe" "http://icy-e-01.sharp-stream.com/nationradio80s-dab.mp3.m3u"</v>
      </c>
      <c r="M2493" t="e">
        <f>VLOOKUP(A2493,logos!$A$2:$A$10004,1,FALSE)</f>
        <v>#N/A</v>
      </c>
    </row>
    <row r="2494" spans="1:13" hidden="1" x14ac:dyDescent="0.55000000000000004">
      <c r="A2494" t="s">
        <v>862</v>
      </c>
      <c r="B2494" t="s">
        <v>1663</v>
      </c>
      <c r="C2494" t="s">
        <v>5791</v>
      </c>
      <c r="E2494" t="s">
        <v>6060</v>
      </c>
      <c r="F2494" t="str">
        <f t="shared" si="38"/>
        <v>"C:\Program Files\VideoLAN\VLC\vlc.exe" "http://www.radiofeeds.net/playlists/sharptemp.pls?station=nationradio90s-mp3"</v>
      </c>
      <c r="M2494" t="e">
        <f>VLOOKUP(A2494,logos!$A$2:$A$10004,1,FALSE)</f>
        <v>#N/A</v>
      </c>
    </row>
    <row r="2495" spans="1:13" hidden="1" x14ac:dyDescent="0.55000000000000004">
      <c r="A2495" t="s">
        <v>862</v>
      </c>
      <c r="B2495" t="s">
        <v>1670</v>
      </c>
      <c r="C2495" t="s">
        <v>5792</v>
      </c>
      <c r="E2495" t="s">
        <v>6060</v>
      </c>
      <c r="F2495" t="str">
        <f t="shared" si="38"/>
        <v>"C:\Program Files\VideoLAN\VLC\vlc.exe" "http://icy-e-01.sharp-stream.com/nationradio90s-dab.mp3.m3u"</v>
      </c>
      <c r="M2495" t="e">
        <f>VLOOKUP(A2495,logos!$A$2:$A$10004,1,FALSE)</f>
        <v>#N/A</v>
      </c>
    </row>
    <row r="2496" spans="1:13" hidden="1" x14ac:dyDescent="0.55000000000000004">
      <c r="A2496" t="s">
        <v>865</v>
      </c>
      <c r="B2496" t="s">
        <v>1663</v>
      </c>
      <c r="C2496" t="s">
        <v>5793</v>
      </c>
      <c r="E2496" t="s">
        <v>6060</v>
      </c>
      <c r="F2496" t="str">
        <f t="shared" si="38"/>
        <v>"C:\Program Files\VideoLAN\VLC\vlc.exe" "http://www.radiofeeds.net/playlists/sharptemp.pls?station=nationradio00s-mp3"</v>
      </c>
      <c r="M2496" t="e">
        <f>VLOOKUP(A2496,logos!$A$2:$A$10004,1,FALSE)</f>
        <v>#N/A</v>
      </c>
    </row>
    <row r="2497" spans="1:13" hidden="1" x14ac:dyDescent="0.55000000000000004">
      <c r="A2497" t="s">
        <v>865</v>
      </c>
      <c r="B2497" t="s">
        <v>1670</v>
      </c>
      <c r="C2497" t="s">
        <v>5794</v>
      </c>
      <c r="E2497" t="s">
        <v>6060</v>
      </c>
      <c r="F2497" t="str">
        <f t="shared" si="38"/>
        <v>"C:\Program Files\VideoLAN\VLC\vlc.exe" "http://www.radiofeeds.net/playlists/sharptemp.pls?station=nationradio00sdab-mp3"</v>
      </c>
      <c r="M2497" t="e">
        <f>VLOOKUP(A2497,logos!$A$2:$A$10004,1,FALSE)</f>
        <v>#N/A</v>
      </c>
    </row>
    <row r="2498" spans="1:13" hidden="1" x14ac:dyDescent="0.55000000000000004">
      <c r="A2498" t="s">
        <v>868</v>
      </c>
      <c r="B2498" t="s">
        <v>1663</v>
      </c>
      <c r="C2498" t="s">
        <v>5795</v>
      </c>
      <c r="E2498" t="s">
        <v>6060</v>
      </c>
      <c r="F2498" t="str">
        <f t="shared" si="38"/>
        <v>"C:\Program Files\VideoLAN\VLC\vlc.exe" "http://www.radiofeeds.net/playlists/sharptemp.pls?station=clubnation-mp3"</v>
      </c>
      <c r="M2498" t="e">
        <f>VLOOKUP(A2498,logos!$A$2:$A$10004,1,FALSE)</f>
        <v>#N/A</v>
      </c>
    </row>
    <row r="2499" spans="1:13" hidden="1" x14ac:dyDescent="0.55000000000000004">
      <c r="A2499" t="s">
        <v>868</v>
      </c>
      <c r="B2499" t="s">
        <v>1670</v>
      </c>
      <c r="C2499" t="s">
        <v>5796</v>
      </c>
      <c r="E2499" t="s">
        <v>6060</v>
      </c>
      <c r="F2499" t="str">
        <f t="shared" ref="F2499:F2562" si="39">"""C:\Program Files\VideoLAN\VLC\vlc.exe"" """&amp;C2499&amp;""""</f>
        <v>"C:\Program Files\VideoLAN\VLC\vlc.exe" "http://icy-e-01.sharp-stream.com/clubnationdab.mp3.m3u"</v>
      </c>
      <c r="M2499" t="e">
        <f>VLOOKUP(A2499,logos!$A$2:$A$10004,1,FALSE)</f>
        <v>#N/A</v>
      </c>
    </row>
    <row r="2500" spans="1:13" hidden="1" x14ac:dyDescent="0.55000000000000004">
      <c r="A2500" t="s">
        <v>871</v>
      </c>
      <c r="B2500" t="s">
        <v>1663</v>
      </c>
      <c r="C2500" t="s">
        <v>5797</v>
      </c>
      <c r="E2500" t="s">
        <v>6060</v>
      </c>
      <c r="F2500" t="str">
        <f t="shared" si="39"/>
        <v>"C:\Program Files\VideoLAN\VLC\vlc.exe" "http://www.radiofeeds.net/playlists/sharptemp.pls?station=nationhits-mp3"</v>
      </c>
      <c r="M2500" t="e">
        <f>VLOOKUP(A2500,logos!$A$2:$A$10004,1,FALSE)</f>
        <v>#N/A</v>
      </c>
    </row>
    <row r="2501" spans="1:13" hidden="1" x14ac:dyDescent="0.55000000000000004">
      <c r="A2501" t="s">
        <v>871</v>
      </c>
      <c r="B2501" t="s">
        <v>1670</v>
      </c>
      <c r="C2501" t="s">
        <v>5798</v>
      </c>
      <c r="E2501" t="s">
        <v>6060</v>
      </c>
      <c r="F2501" t="str">
        <f t="shared" si="39"/>
        <v>"C:\Program Files\VideoLAN\VLC\vlc.exe" "http://icy-e-01.sharp-stream.com/nationhitsdab.mp3.m3u"</v>
      </c>
      <c r="M2501" t="e">
        <f>VLOOKUP(A2501,logos!$A$2:$A$10004,1,FALSE)</f>
        <v>#N/A</v>
      </c>
    </row>
    <row r="2502" spans="1:13" hidden="1" x14ac:dyDescent="0.55000000000000004">
      <c r="A2502" t="s">
        <v>874</v>
      </c>
      <c r="B2502" t="s">
        <v>1663</v>
      </c>
      <c r="C2502" t="s">
        <v>5799</v>
      </c>
      <c r="E2502" t="s">
        <v>6060</v>
      </c>
      <c r="F2502" t="str">
        <f t="shared" si="39"/>
        <v>"C:\Program Files\VideoLAN\VLC\vlc.exe" "http://www.radiofeeds.net/playlists/sharptemp.pls?station=lovenation-mp3"</v>
      </c>
      <c r="M2502" t="e">
        <f>VLOOKUP(A2502,logos!$A$2:$A$10004,1,FALSE)</f>
        <v>#N/A</v>
      </c>
    </row>
    <row r="2503" spans="1:13" hidden="1" x14ac:dyDescent="0.55000000000000004">
      <c r="A2503" t="s">
        <v>874</v>
      </c>
      <c r="B2503" t="s">
        <v>1670</v>
      </c>
      <c r="C2503" t="s">
        <v>5800</v>
      </c>
      <c r="E2503" t="s">
        <v>6060</v>
      </c>
      <c r="F2503" t="str">
        <f t="shared" si="39"/>
        <v>"C:\Program Files\VideoLAN\VLC\vlc.exe" "http://icy-e-01.sharp-stream.com/lovenationdab.mp3.m3u"</v>
      </c>
      <c r="M2503" t="e">
        <f>VLOOKUP(A2503,logos!$A$2:$A$10004,1,FALSE)</f>
        <v>#N/A</v>
      </c>
    </row>
    <row r="2504" spans="1:13" hidden="1" x14ac:dyDescent="0.55000000000000004">
      <c r="A2504" t="s">
        <v>877</v>
      </c>
      <c r="B2504" t="s">
        <v>1663</v>
      </c>
      <c r="C2504" t="s">
        <v>5801</v>
      </c>
      <c r="E2504" t="s">
        <v>6060</v>
      </c>
      <c r="F2504" t="str">
        <f t="shared" si="39"/>
        <v>"C:\Program Files\VideoLAN\VLC\vlc.exe" "http://www.radiofeeds.net/playlists/sharptemp.pls?station=nationparty-mp3"</v>
      </c>
      <c r="M2504" t="e">
        <f>VLOOKUP(A2504,logos!$A$2:$A$10004,1,FALSE)</f>
        <v>#N/A</v>
      </c>
    </row>
    <row r="2505" spans="1:13" hidden="1" x14ac:dyDescent="0.55000000000000004">
      <c r="A2505" t="s">
        <v>877</v>
      </c>
      <c r="B2505" t="s">
        <v>1670</v>
      </c>
      <c r="C2505" t="s">
        <v>5802</v>
      </c>
      <c r="E2505" t="s">
        <v>6060</v>
      </c>
      <c r="F2505" t="str">
        <f t="shared" si="39"/>
        <v>"C:\Program Files\VideoLAN\VLC\vlc.exe" "http://www.radiofeeds.net/playlists/sharptemp.pls?station=nationpartydab-mp3"</v>
      </c>
      <c r="M2505" t="e">
        <f>VLOOKUP(A2505,logos!$A$2:$A$10004,1,FALSE)</f>
        <v>#N/A</v>
      </c>
    </row>
    <row r="2506" spans="1:13" hidden="1" x14ac:dyDescent="0.55000000000000004">
      <c r="A2506" t="s">
        <v>2783</v>
      </c>
      <c r="B2506" t="s">
        <v>1663</v>
      </c>
      <c r="C2506" t="s">
        <v>5803</v>
      </c>
      <c r="E2506" t="s">
        <v>6060</v>
      </c>
      <c r="F2506" t="str">
        <f t="shared" si="39"/>
        <v>"C:\Program Files\VideoLAN\VLC\vlc.exe" "http://www.radiofeeds.net/playlists/sharptemp.pls?station=hull-mp3"</v>
      </c>
      <c r="M2506" t="e">
        <f>VLOOKUP(A2506,logos!$A$2:$A$10004,1,FALSE)</f>
        <v>#N/A</v>
      </c>
    </row>
    <row r="2507" spans="1:13" hidden="1" x14ac:dyDescent="0.55000000000000004">
      <c r="A2507" t="s">
        <v>2783</v>
      </c>
      <c r="B2507" t="s">
        <v>1670</v>
      </c>
      <c r="C2507" t="s">
        <v>5804</v>
      </c>
      <c r="E2507" t="s">
        <v>6060</v>
      </c>
      <c r="F2507" t="str">
        <f t="shared" si="39"/>
        <v>"C:\Program Files\VideoLAN\VLC\vlc.exe" "http://icy-e-01.sharp-stream.com/ghrhulldab.mp3.m3u"</v>
      </c>
      <c r="M2507" t="e">
        <f>VLOOKUP(A2507,logos!$A$2:$A$10004,1,FALSE)</f>
        <v>#N/A</v>
      </c>
    </row>
    <row r="2508" spans="1:13" hidden="1" x14ac:dyDescent="0.55000000000000004">
      <c r="A2508" t="s">
        <v>2784</v>
      </c>
      <c r="B2508" t="s">
        <v>1663</v>
      </c>
      <c r="C2508" t="s">
        <v>5805</v>
      </c>
      <c r="E2508" t="s">
        <v>6060</v>
      </c>
      <c r="F2508" t="str">
        <f t="shared" si="39"/>
        <v>"C:\Program Files\VideoLAN\VLC\vlc.exe" "http://www.radiofeeds.net/playlists/sharptemp.pls?station=yourradio-mp3"</v>
      </c>
      <c r="M2508" t="e">
        <f>VLOOKUP(A2508,logos!$A$2:$A$10004,1,FALSE)</f>
        <v>#N/A</v>
      </c>
    </row>
    <row r="2509" spans="1:13" hidden="1" x14ac:dyDescent="0.55000000000000004">
      <c r="A2509" t="s">
        <v>2784</v>
      </c>
      <c r="B2509" t="s">
        <v>1670</v>
      </c>
      <c r="C2509" t="s">
        <v>5806</v>
      </c>
      <c r="E2509" t="s">
        <v>6060</v>
      </c>
      <c r="F2509" t="str">
        <f t="shared" si="39"/>
        <v>"C:\Program Files\VideoLAN\VLC\vlc.exe" "http://icy-e-01.sharp-stream.com/yourradiodab.mp3.m3u"</v>
      </c>
      <c r="M2509" t="e">
        <f>VLOOKUP(A2509,logos!$A$2:$A$10004,1,FALSE)</f>
        <v>#N/A</v>
      </c>
    </row>
    <row r="2510" spans="1:13" hidden="1" x14ac:dyDescent="0.55000000000000004">
      <c r="A2510" t="s">
        <v>2785</v>
      </c>
      <c r="B2510" t="s">
        <v>1663</v>
      </c>
      <c r="C2510" t="s">
        <v>5807</v>
      </c>
      <c r="E2510" t="s">
        <v>6060</v>
      </c>
      <c r="F2510" t="str">
        <f t="shared" si="39"/>
        <v>"C:\Program Files\VideoLAN\VLC\vlc.exe" "http://www.radiofeeds.net/playlists/sharptemp.pls?station=nationscotland-mp3"</v>
      </c>
      <c r="M2510" t="e">
        <f>VLOOKUP(A2510,logos!$A$2:$A$10004,1,FALSE)</f>
        <v>#N/A</v>
      </c>
    </row>
    <row r="2511" spans="1:13" hidden="1" x14ac:dyDescent="0.55000000000000004">
      <c r="A2511" t="s">
        <v>2785</v>
      </c>
      <c r="B2511" t="s">
        <v>1670</v>
      </c>
      <c r="C2511" t="s">
        <v>5808</v>
      </c>
      <c r="E2511" t="s">
        <v>6060</v>
      </c>
      <c r="F2511" t="str">
        <f t="shared" si="39"/>
        <v>"C:\Program Files\VideoLAN\VLC\vlc.exe" "http://icy-e-01.sharp-stream.com/nationscotlanddab.mp3.m3u"</v>
      </c>
      <c r="M2511" t="e">
        <f>VLOOKUP(A2511,logos!$A$2:$A$10004,1,FALSE)</f>
        <v>#N/A</v>
      </c>
    </row>
    <row r="2512" spans="1:13" hidden="1" x14ac:dyDescent="0.55000000000000004">
      <c r="A2512" t="s">
        <v>2786</v>
      </c>
      <c r="B2512" t="s">
        <v>1663</v>
      </c>
      <c r="C2512" t="s">
        <v>5809</v>
      </c>
      <c r="E2512" t="s">
        <v>6060</v>
      </c>
      <c r="F2512" t="str">
        <f t="shared" si="39"/>
        <v>"C:\Program Files\VideoLAN\VLC\vlc.exe" "http://www.radiofeeds.net/playlists/sharptemp.pls?station=nationdorset-mp3"</v>
      </c>
      <c r="M2512" t="e">
        <f>VLOOKUP(A2512,logos!$A$2:$A$10004,1,FALSE)</f>
        <v>#N/A</v>
      </c>
    </row>
    <row r="2513" spans="1:13" hidden="1" x14ac:dyDescent="0.55000000000000004">
      <c r="A2513" t="s">
        <v>2786</v>
      </c>
      <c r="B2513" t="s">
        <v>1670</v>
      </c>
      <c r="C2513" t="s">
        <v>5810</v>
      </c>
      <c r="E2513" t="s">
        <v>6060</v>
      </c>
      <c r="F2513" t="str">
        <f t="shared" si="39"/>
        <v>"C:\Program Files\VideoLAN\VLC\vlc.exe" "http://www.radiofeeds.net/playlists/sharptemp.pls?station=nationdorsetdab-mp3"</v>
      </c>
      <c r="M2513" t="e">
        <f>VLOOKUP(A2513,logos!$A$2:$A$10004,1,FALSE)</f>
        <v>#N/A</v>
      </c>
    </row>
    <row r="2514" spans="1:13" hidden="1" x14ac:dyDescent="0.55000000000000004">
      <c r="A2514" t="s">
        <v>2787</v>
      </c>
      <c r="B2514" t="s">
        <v>1663</v>
      </c>
      <c r="C2514" t="s">
        <v>5811</v>
      </c>
      <c r="E2514" t="s">
        <v>6060</v>
      </c>
      <c r="F2514" t="str">
        <f t="shared" si="39"/>
        <v>"C:\Program Files\VideoLAN\VLC\vlc.exe" "http://www.radiofeeds.net/playlists/sharptemp.pls?station=nationhampshire-mp3"</v>
      </c>
      <c r="M2514" t="e">
        <f>VLOOKUP(A2514,logos!$A$2:$A$10004,1,FALSE)</f>
        <v>#N/A</v>
      </c>
    </row>
    <row r="2515" spans="1:13" hidden="1" x14ac:dyDescent="0.55000000000000004">
      <c r="A2515" t="s">
        <v>2787</v>
      </c>
      <c r="B2515" t="s">
        <v>1670</v>
      </c>
      <c r="C2515" t="s">
        <v>5812</v>
      </c>
      <c r="E2515" t="s">
        <v>6060</v>
      </c>
      <c r="F2515" t="str">
        <f t="shared" si="39"/>
        <v>"C:\Program Files\VideoLAN\VLC\vlc.exe" "http://www.radiofeeds.net/playlists/sharptemp.pls?station=nationhampshiredab-mp3"</v>
      </c>
      <c r="M2515" t="e">
        <f>VLOOKUP(A2515,logos!$A$2:$A$10004,1,FALSE)</f>
        <v>#N/A</v>
      </c>
    </row>
    <row r="2516" spans="1:13" hidden="1" x14ac:dyDescent="0.55000000000000004">
      <c r="A2516" t="s">
        <v>2788</v>
      </c>
      <c r="B2516" t="s">
        <v>1663</v>
      </c>
      <c r="C2516" t="s">
        <v>5813</v>
      </c>
      <c r="E2516" t="s">
        <v>6060</v>
      </c>
      <c r="F2516" t="str">
        <f t="shared" si="39"/>
        <v>"C:\Program Files\VideoLAN\VLC\vlc.exe" "http://www.radiofeeds.net/playlists/sharptemp.pls?station=nationsuffolk-mp3"</v>
      </c>
      <c r="M2516" t="e">
        <f>VLOOKUP(A2516,logos!$A$2:$A$10004,1,FALSE)</f>
        <v>#N/A</v>
      </c>
    </row>
    <row r="2517" spans="1:13" hidden="1" x14ac:dyDescent="0.55000000000000004">
      <c r="A2517" t="s">
        <v>2788</v>
      </c>
      <c r="B2517" t="s">
        <v>1670</v>
      </c>
      <c r="C2517" t="s">
        <v>5814</v>
      </c>
      <c r="E2517" t="s">
        <v>6060</v>
      </c>
      <c r="F2517" t="str">
        <f t="shared" si="39"/>
        <v>"C:\Program Files\VideoLAN\VLC\vlc.exe" "http://www.radiofeeds.net/playlists/sharptemp.pls?station=nationsuffolk-dab-mp3"</v>
      </c>
      <c r="M2517" t="e">
        <f>VLOOKUP(A2517,logos!$A$2:$A$10004,1,FALSE)</f>
        <v>#N/A</v>
      </c>
    </row>
    <row r="2518" spans="1:13" hidden="1" x14ac:dyDescent="0.55000000000000004">
      <c r="A2518" t="s">
        <v>2789</v>
      </c>
      <c r="B2518" t="s">
        <v>1663</v>
      </c>
      <c r="C2518" t="s">
        <v>5815</v>
      </c>
      <c r="E2518" t="s">
        <v>6060</v>
      </c>
      <c r="F2518" t="str">
        <f t="shared" si="39"/>
        <v>"C:\Program Files\VideoLAN\VLC\vlc.exe" "http://www.radiofeeds.net/playlists/sharptemp.pls?station=thamesradio-mp3"</v>
      </c>
      <c r="M2518" t="e">
        <f>VLOOKUP(A2518,logos!$A$2:$A$10004,1,FALSE)</f>
        <v>#N/A</v>
      </c>
    </row>
    <row r="2519" spans="1:13" hidden="1" x14ac:dyDescent="0.55000000000000004">
      <c r="A2519" t="s">
        <v>2789</v>
      </c>
      <c r="B2519" t="s">
        <v>1670</v>
      </c>
      <c r="C2519" t="s">
        <v>5816</v>
      </c>
      <c r="E2519" t="s">
        <v>6060</v>
      </c>
      <c r="F2519" t="str">
        <f t="shared" si="39"/>
        <v>"C:\Program Files\VideoLAN\VLC\vlc.exe" "http://icy-e-01.sharp-stream.com/nationukdab.mp3.m3u"</v>
      </c>
      <c r="M2519" t="e">
        <f>VLOOKUP(A2519,logos!$A$2:$A$10004,1,FALSE)</f>
        <v>#N/A</v>
      </c>
    </row>
    <row r="2520" spans="1:13" hidden="1" x14ac:dyDescent="0.55000000000000004">
      <c r="A2520" t="s">
        <v>2790</v>
      </c>
      <c r="B2520" t="s">
        <v>1663</v>
      </c>
      <c r="C2520" t="s">
        <v>5817</v>
      </c>
      <c r="E2520" t="s">
        <v>6060</v>
      </c>
      <c r="F2520" t="str">
        <f t="shared" si="39"/>
        <v>"C:\Program Files\VideoLAN\VLC\vlc.exe" "http://www.radiofeeds.net/playlists/sharptemp.pls?station=tcceredigion-mp3"</v>
      </c>
      <c r="M2520" t="e">
        <f>VLOOKUP(A2520,logos!$A$2:$A$10004,1,FALSE)</f>
        <v>#N/A</v>
      </c>
    </row>
    <row r="2521" spans="1:13" hidden="1" x14ac:dyDescent="0.55000000000000004">
      <c r="A2521" t="s">
        <v>2790</v>
      </c>
      <c r="B2521" t="s">
        <v>1670</v>
      </c>
      <c r="C2521" t="s">
        <v>5818</v>
      </c>
      <c r="E2521" t="s">
        <v>6060</v>
      </c>
      <c r="F2521" t="str">
        <f t="shared" si="39"/>
        <v>"C:\Program Files\VideoLAN\VLC\vlc.exe" "http://icy-e-01.sharp-stream.com/ceredigiondab.mp3.m3u"</v>
      </c>
      <c r="M2521" t="e">
        <f>VLOOKUP(A2521,logos!$A$2:$A$10004,1,FALSE)</f>
        <v>#N/A</v>
      </c>
    </row>
    <row r="2522" spans="1:13" hidden="1" x14ac:dyDescent="0.55000000000000004">
      <c r="A2522" t="s">
        <v>2791</v>
      </c>
      <c r="B2522" t="s">
        <v>1663</v>
      </c>
      <c r="C2522" t="s">
        <v>5819</v>
      </c>
      <c r="E2522" t="s">
        <v>6060</v>
      </c>
      <c r="F2522" t="str">
        <f t="shared" si="39"/>
        <v>"C:\Program Files\VideoLAN\VLC\vlc.exe" "http://www.radiofeeds.net/playlists/sharptemp.pls?station=tcnation-mp3"</v>
      </c>
      <c r="M2522" t="e">
        <f>VLOOKUP(A2522,logos!$A$2:$A$10004,1,FALSE)</f>
        <v>#N/A</v>
      </c>
    </row>
    <row r="2523" spans="1:13" hidden="1" x14ac:dyDescent="0.55000000000000004">
      <c r="A2523" t="s">
        <v>2791</v>
      </c>
      <c r="B2523" t="s">
        <v>1670</v>
      </c>
      <c r="C2523" t="s">
        <v>5820</v>
      </c>
      <c r="E2523" t="s">
        <v>6060</v>
      </c>
      <c r="F2523" t="str">
        <f t="shared" si="39"/>
        <v>"C:\Program Files\VideoLAN\VLC\vlc.exe" "http://icy-e-01.sharp-stream.com/nationwalesdab.mp3.m3u"</v>
      </c>
      <c r="M2523" t="e">
        <f>VLOOKUP(A2523,logos!$A$2:$A$10004,1,FALSE)</f>
        <v>#N/A</v>
      </c>
    </row>
    <row r="2524" spans="1:13" hidden="1" x14ac:dyDescent="0.55000000000000004">
      <c r="A2524" t="s">
        <v>2879</v>
      </c>
      <c r="B2524" t="s">
        <v>1663</v>
      </c>
      <c r="C2524" t="s">
        <v>5821</v>
      </c>
      <c r="E2524" t="s">
        <v>6060</v>
      </c>
      <c r="F2524" t="str">
        <f t="shared" si="39"/>
        <v>"C:\Program Files\VideoLAN\VLC\vlc.exe" "http://icy-e-01.sharp-stream.com/nationwestdab.mp3.m3u"</v>
      </c>
      <c r="M2524" t="e">
        <f>VLOOKUP(A2524,logos!$A$2:$A$10004,1,FALSE)</f>
        <v>#N/A</v>
      </c>
    </row>
    <row r="2525" spans="1:13" hidden="1" x14ac:dyDescent="0.55000000000000004">
      <c r="A2525" t="s">
        <v>909</v>
      </c>
      <c r="B2525" t="s">
        <v>1663</v>
      </c>
      <c r="C2525" t="s">
        <v>5822</v>
      </c>
      <c r="E2525" t="s">
        <v>6060</v>
      </c>
      <c r="F2525" t="str">
        <f t="shared" si="39"/>
        <v>"C:\Program Files\VideoLAN\VLC\vlc.exe" "http://www.radiofeeds.net/playlists/sharptemp.pls?station=nationrocks-mp3"</v>
      </c>
      <c r="M2525" t="e">
        <f>VLOOKUP(A2525,logos!$A$2:$A$10004,1,FALSE)</f>
        <v>#N/A</v>
      </c>
    </row>
    <row r="2526" spans="1:13" hidden="1" x14ac:dyDescent="0.55000000000000004">
      <c r="A2526" t="s">
        <v>909</v>
      </c>
      <c r="B2526" t="s">
        <v>1670</v>
      </c>
      <c r="C2526" t="s">
        <v>5823</v>
      </c>
      <c r="E2526" t="s">
        <v>6060</v>
      </c>
      <c r="F2526" t="str">
        <f t="shared" si="39"/>
        <v>"C:\Program Files\VideoLAN\VLC\vlc.exe" "http://icy-e-01.sharp-stream.com/nationrocksdab.mp3.m3u"</v>
      </c>
      <c r="M2526" t="e">
        <f>VLOOKUP(A2526,logos!$A$2:$A$10004,1,FALSE)</f>
        <v>#N/A</v>
      </c>
    </row>
    <row r="2527" spans="1:13" hidden="1" x14ac:dyDescent="0.55000000000000004">
      <c r="A2527" t="s">
        <v>912</v>
      </c>
      <c r="B2527" t="s">
        <v>1663</v>
      </c>
      <c r="C2527" t="s">
        <v>5824</v>
      </c>
      <c r="E2527" t="s">
        <v>6060</v>
      </c>
      <c r="F2527" t="str">
        <f t="shared" si="39"/>
        <v>"C:\Program Files\VideoLAN\VLC\vlc.exe" "http://playoutonestreaming.com:8008/stream.m3u"</v>
      </c>
      <c r="M2527" t="e">
        <f>VLOOKUP(A2527,logos!$A$2:$A$10004,1,FALSE)</f>
        <v>#N/A</v>
      </c>
    </row>
    <row r="2528" spans="1:13" hidden="1" x14ac:dyDescent="0.55000000000000004">
      <c r="A2528" t="s">
        <v>914</v>
      </c>
      <c r="B2528" t="s">
        <v>1663</v>
      </c>
      <c r="C2528" t="s">
        <v>5825</v>
      </c>
      <c r="E2528" t="s">
        <v>6060</v>
      </c>
      <c r="F2528" t="str">
        <f t="shared" si="39"/>
        <v>"C:\Program Files\VideoLAN\VLC\vlc.exe" "http://www.radiofeeds.net/playlists/sharptemp.pls?station=nme1-mp3"</v>
      </c>
      <c r="M2528" t="e">
        <f>VLOOKUP(A2528,logos!$A$2:$A$10004,1,FALSE)</f>
        <v>#N/A</v>
      </c>
    </row>
    <row r="2529" spans="1:13" hidden="1" x14ac:dyDescent="0.55000000000000004">
      <c r="A2529" t="s">
        <v>914</v>
      </c>
      <c r="B2529" t="s">
        <v>1666</v>
      </c>
      <c r="C2529" t="s">
        <v>5826</v>
      </c>
      <c r="E2529" t="s">
        <v>6060</v>
      </c>
      <c r="F2529" t="str">
        <f t="shared" si="39"/>
        <v>"C:\Program Files\VideoLAN\VLC\vlc.exe" "http://www.radiofeeds.net/playlists/sharptemp.pls?station=nme1high-mp3"</v>
      </c>
      <c r="M2529" t="e">
        <f>VLOOKUP(A2529,logos!$A$2:$A$10004,1,FALSE)</f>
        <v>#N/A</v>
      </c>
    </row>
    <row r="2530" spans="1:13" hidden="1" x14ac:dyDescent="0.55000000000000004">
      <c r="A2530" t="s">
        <v>917</v>
      </c>
      <c r="B2530" t="s">
        <v>1663</v>
      </c>
      <c r="C2530" t="s">
        <v>5827</v>
      </c>
      <c r="E2530" t="s">
        <v>6060</v>
      </c>
      <c r="F2530" t="str">
        <f t="shared" si="39"/>
        <v>"C:\Program Files\VideoLAN\VLC\vlc.exe" "http://www.radiofeeds.net/playlists/sharptemp.pls?station=nme2-mp3"</v>
      </c>
      <c r="M2530" t="e">
        <f>VLOOKUP(A2530,logos!$A$2:$A$10004,1,FALSE)</f>
        <v>#N/A</v>
      </c>
    </row>
    <row r="2531" spans="1:13" hidden="1" x14ac:dyDescent="0.55000000000000004">
      <c r="A2531" t="s">
        <v>917</v>
      </c>
      <c r="B2531" t="s">
        <v>1666</v>
      </c>
      <c r="C2531" t="s">
        <v>5828</v>
      </c>
      <c r="E2531" t="s">
        <v>6060</v>
      </c>
      <c r="F2531" t="str">
        <f t="shared" si="39"/>
        <v>"C:\Program Files\VideoLAN\VLC\vlc.exe" "http://www.radiofeeds.net/playlists/sharptemp.pls?station=nme2high-mp3"</v>
      </c>
      <c r="M2531" t="e">
        <f>VLOOKUP(A2531,logos!$A$2:$A$10004,1,FALSE)</f>
        <v>#N/A</v>
      </c>
    </row>
    <row r="2532" spans="1:13" hidden="1" x14ac:dyDescent="0.55000000000000004">
      <c r="A2532" t="s">
        <v>920</v>
      </c>
      <c r="B2532" t="s">
        <v>1668</v>
      </c>
      <c r="C2532" t="s">
        <v>5829</v>
      </c>
      <c r="E2532" t="s">
        <v>6060</v>
      </c>
      <c r="F2532" t="str">
        <f t="shared" si="39"/>
        <v>"C:\Program Files\VideoLAN\VLC\vlc.exe" "http://noodsradio.out.airtime.pro:8000/noodsradio_b.m3u"</v>
      </c>
      <c r="M2532" t="str">
        <f>VLOOKUP(A2532,logos!$A$2:$A$10004,1,FALSE)</f>
        <v>NOODS Radio</v>
      </c>
    </row>
    <row r="2533" spans="1:13" hidden="1" x14ac:dyDescent="0.55000000000000004">
      <c r="A2533" t="s">
        <v>920</v>
      </c>
      <c r="B2533" t="s">
        <v>1669</v>
      </c>
      <c r="C2533" t="s">
        <v>5830</v>
      </c>
      <c r="E2533" t="s">
        <v>6060</v>
      </c>
      <c r="F2533" t="str">
        <f t="shared" si="39"/>
        <v>"C:\Program Files\VideoLAN\VLC\vlc.exe" "http://noodsradio.out.airtime.pro:8000/noodsradio_a.m3u"</v>
      </c>
      <c r="M2533" t="str">
        <f>VLOOKUP(A2533,logos!$A$2:$A$10004,1,FALSE)</f>
        <v>NOODS Radio</v>
      </c>
    </row>
    <row r="2534" spans="1:13" hidden="1" x14ac:dyDescent="0.55000000000000004">
      <c r="A2534" t="s">
        <v>923</v>
      </c>
      <c r="B2534" t="s">
        <v>1692</v>
      </c>
      <c r="C2534" t="s">
        <v>5831</v>
      </c>
      <c r="E2534" t="s">
        <v>6060</v>
      </c>
      <c r="F2534" t="str">
        <f t="shared" si="39"/>
        <v>"C:\Program Files\VideoLAN\VLC\vlc.exe" "http://www.radiofeeds.net/playlists/bauer.pls?station=northsound1-mp3"</v>
      </c>
      <c r="M2534" t="str">
        <f>VLOOKUP(A2534,logos!$A$2:$A$10004,1,FALSE)</f>
        <v>Northsound 1</v>
      </c>
    </row>
    <row r="2535" spans="1:13" hidden="1" x14ac:dyDescent="0.55000000000000004">
      <c r="A2535" t="s">
        <v>925</v>
      </c>
      <c r="B2535" t="s">
        <v>1692</v>
      </c>
      <c r="C2535" t="s">
        <v>5832</v>
      </c>
      <c r="E2535" t="s">
        <v>6060</v>
      </c>
      <c r="F2535" t="str">
        <f t="shared" si="39"/>
        <v>"C:\Program Files\VideoLAN\VLC\vlc.exe" "http://www.radiofeeds.net/playlists/bauer.pls?station=northsound2-mp3"</v>
      </c>
      <c r="M2535" t="str">
        <f>VLOOKUP(A2535,logos!$A$2:$A$10004,1,FALSE)</f>
        <v>Northsound 2</v>
      </c>
    </row>
    <row r="2536" spans="1:13" hidden="1" x14ac:dyDescent="0.55000000000000004">
      <c r="A2536" t="s">
        <v>927</v>
      </c>
      <c r="B2536" t="s">
        <v>1663</v>
      </c>
      <c r="C2536" t="s">
        <v>5833</v>
      </c>
      <c r="E2536" t="s">
        <v>6060</v>
      </c>
      <c r="F2536" t="str">
        <f t="shared" si="39"/>
        <v>"C:\Program Files\VideoLAN\VLC\vlc.exe" "http://radio.canstream.co.uk:8143/live.mp3.m3u"</v>
      </c>
      <c r="M2536" t="e">
        <f>VLOOKUP(A2536,logos!$A$2:$A$10004,1,FALSE)</f>
        <v>#N/A</v>
      </c>
    </row>
    <row r="2537" spans="1:13" hidden="1" x14ac:dyDescent="0.55000000000000004">
      <c r="A2537" t="s">
        <v>929</v>
      </c>
      <c r="B2537" t="s">
        <v>1663</v>
      </c>
      <c r="C2537" t="s">
        <v>5834</v>
      </c>
      <c r="E2537" t="s">
        <v>6060</v>
      </c>
      <c r="F2537" t="str">
        <f t="shared" si="39"/>
        <v>"C:\Program Files\VideoLAN\VLC\vlc.exe" "http://www.radiofeeds.net/playlists/oneworld.m3u"</v>
      </c>
      <c r="M2537" t="e">
        <f>VLOOKUP(A2537,logos!$A$2:$A$10004,1,FALSE)</f>
        <v>#N/A</v>
      </c>
    </row>
    <row r="2538" spans="1:13" hidden="1" x14ac:dyDescent="0.55000000000000004">
      <c r="A2538" t="s">
        <v>931</v>
      </c>
      <c r="B2538" t="s">
        <v>1663</v>
      </c>
      <c r="C2538" t="s">
        <v>5835</v>
      </c>
      <c r="E2538" t="s">
        <v>6060</v>
      </c>
      <c r="F2538" t="str">
        <f t="shared" si="39"/>
        <v>"C:\Program Files\VideoLAN\VLC\vlc.exe" "http://www.radiofeeds.net/playlists/sharptemp.pls?station=original106-mp3"</v>
      </c>
      <c r="M2538" t="e">
        <f>VLOOKUP(A2538,logos!$A$2:$A$10004,1,FALSE)</f>
        <v>#N/A</v>
      </c>
    </row>
    <row r="2539" spans="1:13" hidden="1" x14ac:dyDescent="0.55000000000000004">
      <c r="A2539" t="s">
        <v>2792</v>
      </c>
      <c r="B2539" t="s">
        <v>1663</v>
      </c>
      <c r="C2539" t="s">
        <v>5836</v>
      </c>
      <c r="E2539" t="s">
        <v>6060</v>
      </c>
      <c r="F2539" t="str">
        <f t="shared" si="39"/>
        <v>"C:\Program Files\VideoLAN\VLC\vlc.exe" "http://live.streamlojik.com:11170/outreachdance.mp3.m3u"</v>
      </c>
      <c r="M2539" t="e">
        <f>VLOOKUP(A2539,logos!$A$2:$A$10004,1,FALSE)</f>
        <v>#N/A</v>
      </c>
    </row>
    <row r="2540" spans="1:13" hidden="1" x14ac:dyDescent="0.55000000000000004">
      <c r="A2540" t="s">
        <v>935</v>
      </c>
      <c r="B2540" t="s">
        <v>1663</v>
      </c>
      <c r="C2540" t="s">
        <v>5837</v>
      </c>
      <c r="E2540" t="s">
        <v>6060</v>
      </c>
      <c r="F2540" t="str">
        <f t="shared" si="39"/>
        <v>"C:\Program Files\VideoLAN\VLC\vlc.exe" "http://live.streamlojik.com:11070/outreachradio.mp3.m3u"</v>
      </c>
      <c r="M2540" t="e">
        <f>VLOOKUP(A2540,logos!$A$2:$A$10004,1,FALSE)</f>
        <v>#N/A</v>
      </c>
    </row>
    <row r="2541" spans="1:13" hidden="1" x14ac:dyDescent="0.55000000000000004">
      <c r="A2541" t="s">
        <v>937</v>
      </c>
      <c r="B2541" t="s">
        <v>1663</v>
      </c>
      <c r="C2541" t="s">
        <v>5838</v>
      </c>
      <c r="E2541" t="s">
        <v>6060</v>
      </c>
      <c r="F2541" t="str">
        <f t="shared" si="39"/>
        <v>"C:\Program Files\VideoLAN\VLC\vlc.exe" "http://streaming03.zfast.co.uk:8047/listen.mp3.m3u"</v>
      </c>
      <c r="M2541" t="e">
        <f>VLOOKUP(A2541,logos!$A$2:$A$10004,1,FALSE)</f>
        <v>#N/A</v>
      </c>
    </row>
    <row r="2542" spans="1:13" hidden="1" x14ac:dyDescent="0.55000000000000004">
      <c r="A2542" t="s">
        <v>937</v>
      </c>
      <c r="B2542" t="s">
        <v>1669</v>
      </c>
      <c r="C2542" t="s">
        <v>5839</v>
      </c>
      <c r="E2542" t="s">
        <v>6060</v>
      </c>
      <c r="F2542" t="str">
        <f t="shared" si="39"/>
        <v>"C:\Program Files\VideoLAN\VLC\vlc.exe" "http://playoutonestreaming.com:8075/listen.pls?sid=1"</v>
      </c>
      <c r="M2542" t="e">
        <f>VLOOKUP(A2542,logos!$A$2:$A$10004,1,FALSE)</f>
        <v>#N/A</v>
      </c>
    </row>
    <row r="2543" spans="1:13" hidden="1" x14ac:dyDescent="0.55000000000000004">
      <c r="A2543" t="s">
        <v>940</v>
      </c>
      <c r="B2543" t="s">
        <v>1668</v>
      </c>
      <c r="C2543" t="s">
        <v>5840</v>
      </c>
      <c r="E2543" t="s">
        <v>6060</v>
      </c>
      <c r="F2543" t="str">
        <f t="shared" si="39"/>
        <v>"C:\Program Files\VideoLAN\VLC\vlc.exe" "http://radio3.citrus3.com:8584/listen.pls?sid=1"</v>
      </c>
      <c r="M2543" t="e">
        <f>VLOOKUP(A2543,logos!$A$2:$A$10004,1,FALSE)</f>
        <v>#N/A</v>
      </c>
    </row>
    <row r="2544" spans="1:13" hidden="1" x14ac:dyDescent="0.55000000000000004">
      <c r="A2544" t="s">
        <v>942</v>
      </c>
      <c r="B2544" t="s">
        <v>1663</v>
      </c>
      <c r="C2544" t="s">
        <v>5841</v>
      </c>
      <c r="E2544" t="s">
        <v>6060</v>
      </c>
      <c r="F2544" t="str">
        <f t="shared" si="39"/>
        <v>"C:\Program Files\VideoLAN\VLC\vlc.exe" "http://www.radiofeeds.net/playlists/passionhq.m3u"</v>
      </c>
      <c r="M2544" t="e">
        <f>VLOOKUP(A2544,logos!$A$2:$A$10004,1,FALSE)</f>
        <v>#N/A</v>
      </c>
    </row>
    <row r="2545" spans="1:13" hidden="1" x14ac:dyDescent="0.55000000000000004">
      <c r="A2545" t="s">
        <v>944</v>
      </c>
      <c r="B2545" t="s">
        <v>1669</v>
      </c>
      <c r="C2545" t="s">
        <v>5842</v>
      </c>
      <c r="E2545" t="s">
        <v>6060</v>
      </c>
      <c r="F2545" t="str">
        <f t="shared" si="39"/>
        <v>"C:\Program Files\VideoLAN\VLC\vlc.exe" "http://streams.radio.co/sbaa068f97/listen.m3u"</v>
      </c>
      <c r="M2545" t="e">
        <f>VLOOKUP(A2545,logos!$A$2:$A$10004,1,FALSE)</f>
        <v>#N/A</v>
      </c>
    </row>
    <row r="2546" spans="1:13" hidden="1" x14ac:dyDescent="0.55000000000000004">
      <c r="A2546" t="s">
        <v>2794</v>
      </c>
      <c r="B2546" t="s">
        <v>1692</v>
      </c>
      <c r="C2546" t="s">
        <v>5843</v>
      </c>
      <c r="E2546" t="s">
        <v>6060</v>
      </c>
      <c r="F2546" t="str">
        <f t="shared" si="39"/>
        <v>"C:\Program Files\VideoLAN\VLC\vlc.exe" "http://www.radiofeeds.net/playlists/bauer.pls?station=net1cornwalleast-mp3"</v>
      </c>
      <c r="M2546" t="e">
        <f>VLOOKUP(A2546,logos!$A$2:$A$10004,1,FALSE)</f>
        <v>#N/A</v>
      </c>
    </row>
    <row r="2547" spans="1:13" hidden="1" x14ac:dyDescent="0.55000000000000004">
      <c r="A2547" t="s">
        <v>2795</v>
      </c>
      <c r="B2547" t="s">
        <v>1692</v>
      </c>
      <c r="C2547" t="s">
        <v>5844</v>
      </c>
      <c r="E2547" t="s">
        <v>6060</v>
      </c>
      <c r="F2547" t="str">
        <f t="shared" si="39"/>
        <v>"C:\Program Files\VideoLAN\VLC\vlc.exe" "http://www.radiofeeds.net/playlists/bauer.pls?station=net1cornwall-mp3"</v>
      </c>
      <c r="M2547" t="str">
        <f>VLOOKUP(A2547,logos!$A$2:$A$10004,1,FALSE)</f>
        <v>Pirate FM (West)</v>
      </c>
    </row>
    <row r="2548" spans="1:13" hidden="1" x14ac:dyDescent="0.55000000000000004">
      <c r="A2548" t="s">
        <v>950</v>
      </c>
      <c r="B2548" t="s">
        <v>1692</v>
      </c>
      <c r="C2548" t="s">
        <v>5845</v>
      </c>
      <c r="E2548" t="s">
        <v>6060</v>
      </c>
      <c r="F2548" t="str">
        <f t="shared" si="39"/>
        <v>"C:\Program Files\VideoLAN\VLC\vlc.exe" "http://www.radiofeeds.net/playlists/bauer.pls?station=planetrock-mp3"</v>
      </c>
      <c r="M2548" t="str">
        <f>VLOOKUP(A2548,logos!$A$2:$A$10004,1,FALSE)</f>
        <v>Planet Rock</v>
      </c>
    </row>
    <row r="2549" spans="1:13" hidden="1" x14ac:dyDescent="0.55000000000000004">
      <c r="A2549" t="s">
        <v>952</v>
      </c>
      <c r="B2549" t="s">
        <v>1682</v>
      </c>
      <c r="C2549" t="s">
        <v>5846</v>
      </c>
      <c r="E2549" t="s">
        <v>6060</v>
      </c>
      <c r="F2549" t="str">
        <f t="shared" si="39"/>
        <v>"C:\Program Files\VideoLAN\VLC\vlc.exe" "http://playerservices.streamtheworld.com/pls/PODCAST_RADIO.pls"</v>
      </c>
      <c r="M2549" t="e">
        <f>VLOOKUP(A2549,logos!$A$2:$A$10004,1,FALSE)</f>
        <v>#N/A</v>
      </c>
    </row>
    <row r="2550" spans="1:13" hidden="1" x14ac:dyDescent="0.55000000000000004">
      <c r="A2550" t="s">
        <v>959</v>
      </c>
      <c r="B2550" t="s">
        <v>1663</v>
      </c>
      <c r="C2550" t="s">
        <v>5847</v>
      </c>
      <c r="E2550" t="s">
        <v>6060</v>
      </c>
      <c r="F2550" t="str">
        <f t="shared" si="39"/>
        <v>"C:\Program Files\VideoLAN\VLC\vlc.exe" "http://www.radiofeeds.net/playlists/pointblank128.m3u"</v>
      </c>
      <c r="M2550" t="e">
        <f>VLOOKUP(A2550,logos!$A$2:$A$10004,1,FALSE)</f>
        <v>#N/A</v>
      </c>
    </row>
    <row r="2551" spans="1:13" hidden="1" x14ac:dyDescent="0.55000000000000004">
      <c r="A2551" t="s">
        <v>959</v>
      </c>
      <c r="B2551" t="s">
        <v>1670</v>
      </c>
      <c r="C2551" t="s">
        <v>5848</v>
      </c>
      <c r="E2551" t="s">
        <v>6060</v>
      </c>
      <c r="F2551" t="str">
        <f t="shared" si="39"/>
        <v>"C:\Program Files\VideoLAN\VLC\vlc.exe" "http://www.radiofeeds.net/playlists/pointblank320.m3u"</v>
      </c>
      <c r="M2551" t="e">
        <f>VLOOKUP(A2551,logos!$A$2:$A$10004,1,FALSE)</f>
        <v>#N/A</v>
      </c>
    </row>
    <row r="2552" spans="1:13" hidden="1" x14ac:dyDescent="0.55000000000000004">
      <c r="A2552" t="s">
        <v>962</v>
      </c>
      <c r="B2552" t="s">
        <v>1663</v>
      </c>
      <c r="C2552" t="s">
        <v>5849</v>
      </c>
      <c r="E2552" t="s">
        <v>6060</v>
      </c>
      <c r="F2552" t="str">
        <f t="shared" si="39"/>
        <v>"C:\Program Files\VideoLAN\VLC\vlc.exe" "http://s4.xrad.io:8008/listen.pls?sid=1"</v>
      </c>
      <c r="M2552" t="e">
        <f>VLOOKUP(A2552,logos!$A$2:$A$10004,1,FALSE)</f>
        <v>#N/A</v>
      </c>
    </row>
    <row r="2553" spans="1:13" hidden="1" x14ac:dyDescent="0.55000000000000004">
      <c r="A2553" t="s">
        <v>2880</v>
      </c>
      <c r="B2553" t="s">
        <v>1690</v>
      </c>
      <c r="C2553" t="s">
        <v>5850</v>
      </c>
      <c r="E2553" t="s">
        <v>6060</v>
      </c>
      <c r="F2553" t="str">
        <f t="shared" si="39"/>
        <v>"C:\Program Files\VideoLAN\VLC\vlc.exe" "http://69203abc-1923-4c7a-bbd3-1e4d391a8cd9.icecast.radiomast.io/RadioFeeds.m3u"</v>
      </c>
      <c r="M2553" t="e">
        <f>VLOOKUP(A2553,logos!$A$2:$A$10004,1,FALSE)</f>
        <v>#N/A</v>
      </c>
    </row>
    <row r="2554" spans="1:13" hidden="1" x14ac:dyDescent="0.55000000000000004">
      <c r="A2554" t="s">
        <v>2880</v>
      </c>
      <c r="B2554" t="s">
        <v>1663</v>
      </c>
      <c r="C2554" t="s">
        <v>5851</v>
      </c>
      <c r="E2554" t="s">
        <v>6060</v>
      </c>
      <c r="F2554" t="str">
        <f t="shared" si="39"/>
        <v>"C:\Program Files\VideoLAN\VLC\vlc.exe" "http://4d0743b5-b63a-43f1-9f7f-e8a04abe9367.icecast.radiomast.io/RadioFeeds.m3u"</v>
      </c>
      <c r="M2554" t="e">
        <f>VLOOKUP(A2554,logos!$A$2:$A$10004,1,FALSE)</f>
        <v>#N/A</v>
      </c>
    </row>
    <row r="2555" spans="1:13" hidden="1" x14ac:dyDescent="0.55000000000000004">
      <c r="A2555" t="s">
        <v>968</v>
      </c>
      <c r="B2555" t="s">
        <v>1690</v>
      </c>
      <c r="C2555" t="s">
        <v>5852</v>
      </c>
      <c r="E2555" t="s">
        <v>6060</v>
      </c>
      <c r="F2555" t="str">
        <f t="shared" si="39"/>
        <v>"C:\Program Files\VideoLAN\VLC\vlc.exe" "http://31ecbab9-e64f-44a3-8afa-fe58745e82c8.icecast.radiomast.io/RadioFeeds.m3u"</v>
      </c>
      <c r="M2555" t="e">
        <f>VLOOKUP(A2555,logos!$A$2:$A$10004,1,FALSE)</f>
        <v>#N/A</v>
      </c>
    </row>
    <row r="2556" spans="1:13" hidden="1" x14ac:dyDescent="0.55000000000000004">
      <c r="A2556" t="s">
        <v>968</v>
      </c>
      <c r="B2556" t="s">
        <v>1663</v>
      </c>
      <c r="C2556" t="s">
        <v>5853</v>
      </c>
      <c r="E2556" t="s">
        <v>6060</v>
      </c>
      <c r="F2556" t="str">
        <f t="shared" si="39"/>
        <v>"C:\Program Files\VideoLAN\VLC\vlc.exe" "http://bc0b65c9-472b-48b7-b9fc-3b3000ca5ac3.icecast.radiomast.io/RadioFeeds.m3u"</v>
      </c>
      <c r="M2556" t="e">
        <f>VLOOKUP(A2556,logos!$A$2:$A$10004,1,FALSE)</f>
        <v>#N/A</v>
      </c>
    </row>
    <row r="2557" spans="1:13" hidden="1" x14ac:dyDescent="0.55000000000000004">
      <c r="A2557" t="s">
        <v>971</v>
      </c>
      <c r="B2557" t="s">
        <v>1690</v>
      </c>
      <c r="C2557" t="s">
        <v>5854</v>
      </c>
      <c r="E2557" t="s">
        <v>6060</v>
      </c>
      <c r="F2557" t="str">
        <f t="shared" si="39"/>
        <v>"C:\Program Files\VideoLAN\VLC\vlc.exe" "http://5c45ff7b-5925-46d7-bd1f-6682bbdf8e44.icecast.radiomast.io/RadioFeeds.m3u"</v>
      </c>
      <c r="M2557" t="e">
        <f>VLOOKUP(A2557,logos!$A$2:$A$10004,1,FALSE)</f>
        <v>#N/A</v>
      </c>
    </row>
    <row r="2558" spans="1:13" hidden="1" x14ac:dyDescent="0.55000000000000004">
      <c r="A2558" t="s">
        <v>971</v>
      </c>
      <c r="B2558" t="s">
        <v>1663</v>
      </c>
      <c r="C2558" t="s">
        <v>5855</v>
      </c>
      <c r="E2558" t="s">
        <v>6060</v>
      </c>
      <c r="F2558" t="str">
        <f t="shared" si="39"/>
        <v>"C:\Program Files\VideoLAN\VLC\vlc.exe" "http://4f0fe096-7e2a-4bf0-957f-6c46a866d9ea.icecast.radiomast.io/RadioFeeds.m3u"</v>
      </c>
      <c r="M2558" t="e">
        <f>VLOOKUP(A2558,logos!$A$2:$A$10004,1,FALSE)</f>
        <v>#N/A</v>
      </c>
    </row>
    <row r="2559" spans="1:13" hidden="1" x14ac:dyDescent="0.55000000000000004">
      <c r="A2559" t="s">
        <v>2796</v>
      </c>
      <c r="B2559" t="s">
        <v>1692</v>
      </c>
      <c r="C2559" t="s">
        <v>5856</v>
      </c>
      <c r="E2559" t="s">
        <v>6060</v>
      </c>
      <c r="F2559" t="str">
        <f t="shared" si="39"/>
        <v>"C:\Program Files\VideoLAN\VLC\vlc.exe" "http://stream.rcs.revma.com/v61s40vqa78uv.m3u"</v>
      </c>
      <c r="M2559" t="e">
        <f>VLOOKUP(A2559,logos!$A$2:$A$10004,1,FALSE)</f>
        <v>#N/A</v>
      </c>
    </row>
    <row r="2560" spans="1:13" hidden="1" x14ac:dyDescent="0.55000000000000004">
      <c r="A2560" t="s">
        <v>976</v>
      </c>
      <c r="B2560" t="s">
        <v>1692</v>
      </c>
      <c r="C2560" t="s">
        <v>5857</v>
      </c>
      <c r="E2560" t="s">
        <v>6060</v>
      </c>
      <c r="F2560" t="str">
        <f t="shared" si="39"/>
        <v>"C:\Program Files\VideoLAN\VLC\vlc.exe" "http://www.radiofeeds.net/playlists/bauer.pls?station=net1bradford-mp3"</v>
      </c>
      <c r="M2560" t="str">
        <f>VLOOKUP(A2560,logos!$A$2:$A$10004,1,FALSE)</f>
        <v>Pulse 1</v>
      </c>
    </row>
    <row r="2561" spans="1:13" hidden="1" x14ac:dyDescent="0.55000000000000004">
      <c r="A2561" t="s">
        <v>2797</v>
      </c>
      <c r="B2561" t="s">
        <v>1663</v>
      </c>
      <c r="C2561" t="s">
        <v>5858</v>
      </c>
      <c r="E2561" t="s">
        <v>6060</v>
      </c>
      <c r="F2561" t="str">
        <f t="shared" si="39"/>
        <v>"C:\Program Files\VideoLAN\VLC\vlc.exe" "http://icy-e-01.sharp-stream.com/pure_radio.mp3.m3u"</v>
      </c>
      <c r="M2561" t="e">
        <f>VLOOKUP(A2561,logos!$A$2:$A$10004,1,FALSE)</f>
        <v>#N/A</v>
      </c>
    </row>
    <row r="2562" spans="1:13" hidden="1" x14ac:dyDescent="0.55000000000000004">
      <c r="A2562" t="s">
        <v>2881</v>
      </c>
      <c r="B2562" t="s">
        <v>1663</v>
      </c>
      <c r="C2562" t="s">
        <v>5859</v>
      </c>
      <c r="E2562" t="s">
        <v>6060</v>
      </c>
      <c r="F2562" t="str">
        <f t="shared" si="39"/>
        <v>"C:\Program Files\VideoLAN\VLC\vlc.exe" "http://www.radiofeeds.net/playlists/sharptemp.pls?station=145_pure_radio_tayside_128_mp3"</v>
      </c>
      <c r="M2562" t="e">
        <f>VLOOKUP(A2562,logos!$A$2:$A$10004,1,FALSE)</f>
        <v>#N/A</v>
      </c>
    </row>
    <row r="2563" spans="1:13" hidden="1" x14ac:dyDescent="0.55000000000000004">
      <c r="A2563" t="s">
        <v>2882</v>
      </c>
      <c r="B2563" t="s">
        <v>1662</v>
      </c>
      <c r="C2563" t="s">
        <v>5860</v>
      </c>
      <c r="E2563" t="s">
        <v>6060</v>
      </c>
      <c r="F2563" t="str">
        <f t="shared" ref="F2563:F2626" si="40">"""C:\Program Files\VideoLAN\VLC\vlc.exe"" """&amp;C2563&amp;""""</f>
        <v>"C:\Program Files\VideoLAN\VLC\vlc.exe" "http://icy-e-01.sharp-stream.com/qr1070mobile.mp3.m3u"</v>
      </c>
      <c r="M2563" t="e">
        <f>VLOOKUP(A2563,logos!$A$2:$A$10004,1,FALSE)</f>
        <v>#N/A</v>
      </c>
    </row>
    <row r="2564" spans="1:13" hidden="1" x14ac:dyDescent="0.55000000000000004">
      <c r="A2564" t="s">
        <v>2882</v>
      </c>
      <c r="B2564" t="s">
        <v>1663</v>
      </c>
      <c r="C2564" t="s">
        <v>5861</v>
      </c>
      <c r="E2564" t="s">
        <v>6060</v>
      </c>
      <c r="F2564" t="str">
        <f t="shared" si="40"/>
        <v>"C:\Program Files\VideoLAN\VLC\vlc.exe" "http://icy-e-01.sharp-stream.com/qr1070.mp3.m3u"</v>
      </c>
      <c r="M2564" t="e">
        <f>VLOOKUP(A2564,logos!$A$2:$A$10004,1,FALSE)</f>
        <v>#N/A</v>
      </c>
    </row>
    <row r="2565" spans="1:13" hidden="1" x14ac:dyDescent="0.55000000000000004">
      <c r="A2565" t="s">
        <v>2883</v>
      </c>
      <c r="B2565" t="s">
        <v>1662</v>
      </c>
      <c r="C2565" t="s">
        <v>5862</v>
      </c>
      <c r="E2565" t="s">
        <v>6060</v>
      </c>
      <c r="F2565" t="str">
        <f t="shared" si="40"/>
        <v>"C:\Program Files\VideoLAN\VLC\vlc.exe" "http://icy-e-01.sharp-stream.com/qr967mobile.mp3.m3u"</v>
      </c>
      <c r="M2565" t="e">
        <f>VLOOKUP(A2565,logos!$A$2:$A$10004,1,FALSE)</f>
        <v>#N/A</v>
      </c>
    </row>
    <row r="2566" spans="1:13" hidden="1" x14ac:dyDescent="0.55000000000000004">
      <c r="A2566" t="s">
        <v>2883</v>
      </c>
      <c r="B2566" t="s">
        <v>1663</v>
      </c>
      <c r="C2566" t="s">
        <v>5863</v>
      </c>
      <c r="E2566" t="s">
        <v>6060</v>
      </c>
      <c r="F2566" t="str">
        <f t="shared" si="40"/>
        <v>"C:\Program Files\VideoLAN\VLC\vlc.exe" "http://icy-e-01.sharp-stream.com/qr967.mp3.m3u"</v>
      </c>
      <c r="M2566" t="e">
        <f>VLOOKUP(A2566,logos!$A$2:$A$10004,1,FALSE)</f>
        <v>#N/A</v>
      </c>
    </row>
    <row r="2567" spans="1:13" hidden="1" x14ac:dyDescent="0.55000000000000004">
      <c r="A2567" t="s">
        <v>2884</v>
      </c>
      <c r="B2567" t="s">
        <v>1662</v>
      </c>
      <c r="C2567" t="s">
        <v>5864</v>
      </c>
      <c r="E2567" t="s">
        <v>6060</v>
      </c>
      <c r="F2567" t="str">
        <f t="shared" si="40"/>
        <v>"C:\Program Files\VideoLAN\VLC\vlc.exe" "http://icy-e-01.sharp-stream.com/qr972mobile.mp3.m3u"</v>
      </c>
      <c r="M2567" t="e">
        <f>VLOOKUP(A2567,logos!$A$2:$A$10004,1,FALSE)</f>
        <v>#N/A</v>
      </c>
    </row>
    <row r="2568" spans="1:13" hidden="1" x14ac:dyDescent="0.55000000000000004">
      <c r="A2568" t="s">
        <v>2884</v>
      </c>
      <c r="B2568" t="s">
        <v>1663</v>
      </c>
      <c r="C2568" t="s">
        <v>5865</v>
      </c>
      <c r="E2568" t="s">
        <v>6060</v>
      </c>
      <c r="F2568" t="str">
        <f t="shared" si="40"/>
        <v>"C:\Program Files\VideoLAN\VLC\vlc.exe" "http://icy-e-01.sharp-stream.com/qr972.mp3.m3u"</v>
      </c>
      <c r="M2568" t="e">
        <f>VLOOKUP(A2568,logos!$A$2:$A$10004,1,FALSE)</f>
        <v>#N/A</v>
      </c>
    </row>
    <row r="2569" spans="1:13" hidden="1" x14ac:dyDescent="0.55000000000000004">
      <c r="A2569" t="s">
        <v>2885</v>
      </c>
      <c r="B2569" t="s">
        <v>1662</v>
      </c>
      <c r="C2569" t="s">
        <v>5866</v>
      </c>
      <c r="E2569" t="s">
        <v>6060</v>
      </c>
      <c r="F2569" t="str">
        <f t="shared" si="40"/>
        <v>"C:\Program Files\VideoLAN\VLC\vlc.exe" "http://icy-e-01.sharp-stream.com/qr1029mobile.mp3.m3u"</v>
      </c>
      <c r="M2569" t="e">
        <f>VLOOKUP(A2569,logos!$A$2:$A$10004,1,FALSE)</f>
        <v>#N/A</v>
      </c>
    </row>
    <row r="2570" spans="1:13" hidden="1" x14ac:dyDescent="0.55000000000000004">
      <c r="A2570" t="s">
        <v>2885</v>
      </c>
      <c r="B2570" t="s">
        <v>1663</v>
      </c>
      <c r="C2570" t="s">
        <v>5867</v>
      </c>
      <c r="E2570" t="s">
        <v>6060</v>
      </c>
      <c r="F2570" t="str">
        <f t="shared" si="40"/>
        <v>"C:\Program Files\VideoLAN\VLC\vlc.exe" "http://icy-e-01.sharp-stream.com/qr1029.mp3.m3u"</v>
      </c>
      <c r="M2570" t="e">
        <f>VLOOKUP(A2570,logos!$A$2:$A$10004,1,FALSE)</f>
        <v>#N/A</v>
      </c>
    </row>
    <row r="2571" spans="1:13" hidden="1" x14ac:dyDescent="0.55000000000000004">
      <c r="A2571" t="s">
        <v>2886</v>
      </c>
      <c r="B2571" t="s">
        <v>1662</v>
      </c>
      <c r="C2571" t="s">
        <v>5868</v>
      </c>
      <c r="E2571" t="s">
        <v>6060</v>
      </c>
      <c r="F2571" t="str">
        <f t="shared" si="40"/>
        <v>"C:\Program Files\VideoLAN\VLC\vlc.exe" "http://icy-e-01.sharp-stream.com/qr1060mobile.mp3.m3u"</v>
      </c>
      <c r="M2571" t="e">
        <f>VLOOKUP(A2571,logos!$A$2:$A$10004,1,FALSE)</f>
        <v>#N/A</v>
      </c>
    </row>
    <row r="2572" spans="1:13" hidden="1" x14ac:dyDescent="0.55000000000000004">
      <c r="A2572" t="s">
        <v>2886</v>
      </c>
      <c r="B2572" t="s">
        <v>1663</v>
      </c>
      <c r="C2572" t="s">
        <v>5869</v>
      </c>
      <c r="E2572" t="s">
        <v>6060</v>
      </c>
      <c r="F2572" t="str">
        <f t="shared" si="40"/>
        <v>"C:\Program Files\VideoLAN\VLC\vlc.exe" "http://icy-e-01.sharp-stream.com/qr1060.mp3.m3u"</v>
      </c>
      <c r="M2572" t="e">
        <f>VLOOKUP(A2572,logos!$A$2:$A$10004,1,FALSE)</f>
        <v>#N/A</v>
      </c>
    </row>
    <row r="2573" spans="1:13" hidden="1" x14ac:dyDescent="0.55000000000000004">
      <c r="A2573" t="s">
        <v>2887</v>
      </c>
      <c r="B2573" t="s">
        <v>1662</v>
      </c>
      <c r="C2573" t="s">
        <v>5870</v>
      </c>
      <c r="E2573" t="s">
        <v>6060</v>
      </c>
      <c r="F2573" t="str">
        <f t="shared" si="40"/>
        <v>"C:\Program Files\VideoLAN\VLC\vlc.exe" "http://icy-e-01.sharp-stream.com/qr1005mobile.mp3.m3u"</v>
      </c>
      <c r="M2573" t="e">
        <f>VLOOKUP(A2573,logos!$A$2:$A$10004,1,FALSE)</f>
        <v>#N/A</v>
      </c>
    </row>
    <row r="2574" spans="1:13" hidden="1" x14ac:dyDescent="0.55000000000000004">
      <c r="A2574" t="s">
        <v>2887</v>
      </c>
      <c r="B2574" t="s">
        <v>1663</v>
      </c>
      <c r="C2574" t="s">
        <v>5871</v>
      </c>
      <c r="E2574" t="s">
        <v>6060</v>
      </c>
      <c r="F2574" t="str">
        <f t="shared" si="40"/>
        <v>"C:\Program Files\VideoLAN\VLC\vlc.exe" "http://icy-e-01.sharp-stream.com/qr1005.mp3.m3u"</v>
      </c>
      <c r="M2574" t="e">
        <f>VLOOKUP(A2574,logos!$A$2:$A$10004,1,FALSE)</f>
        <v>#N/A</v>
      </c>
    </row>
    <row r="2575" spans="1:13" hidden="1" x14ac:dyDescent="0.55000000000000004">
      <c r="A2575" t="s">
        <v>2888</v>
      </c>
      <c r="B2575" t="s">
        <v>1662</v>
      </c>
      <c r="C2575" t="s">
        <v>5872</v>
      </c>
      <c r="E2575" t="s">
        <v>6060</v>
      </c>
      <c r="F2575" t="str">
        <f t="shared" si="40"/>
        <v>"C:\Program Files\VideoLAN\VLC\vlc.exe" "http://icy-e-01.sharp-stream.com/qr1012mobile.mp3.m3u"</v>
      </c>
      <c r="M2575" t="e">
        <f>VLOOKUP(A2575,logos!$A$2:$A$10004,1,FALSE)</f>
        <v>#N/A</v>
      </c>
    </row>
    <row r="2576" spans="1:13" hidden="1" x14ac:dyDescent="0.55000000000000004">
      <c r="A2576" t="s">
        <v>2888</v>
      </c>
      <c r="B2576" t="s">
        <v>1663</v>
      </c>
      <c r="C2576" t="s">
        <v>5873</v>
      </c>
      <c r="E2576" t="s">
        <v>6060</v>
      </c>
      <c r="F2576" t="str">
        <f t="shared" si="40"/>
        <v>"C:\Program Files\VideoLAN\VLC\vlc.exe" "http://icy-e-01.sharp-stream.com/qr1012.mp3.m3u"</v>
      </c>
      <c r="M2576" t="e">
        <f>VLOOKUP(A2576,logos!$A$2:$A$10004,1,FALSE)</f>
        <v>#N/A</v>
      </c>
    </row>
    <row r="2577" spans="1:13" hidden="1" x14ac:dyDescent="0.55000000000000004">
      <c r="A2577" t="s">
        <v>1003</v>
      </c>
      <c r="B2577" t="s">
        <v>1668</v>
      </c>
      <c r="C2577" t="s">
        <v>5874</v>
      </c>
      <c r="E2577" t="s">
        <v>6060</v>
      </c>
      <c r="F2577" t="str">
        <f t="shared" si="40"/>
        <v>"C:\Program Files\VideoLAN\VLC\vlc.exe" "http://quayfm.ci-servers.gg:1071/live.m3u"</v>
      </c>
      <c r="M2577" t="e">
        <f>VLOOKUP(A2577,logos!$A$2:$A$10004,1,FALSE)</f>
        <v>#N/A</v>
      </c>
    </row>
    <row r="2578" spans="1:13" hidden="1" x14ac:dyDescent="0.55000000000000004">
      <c r="A2578" t="s">
        <v>1005</v>
      </c>
      <c r="B2578" t="s">
        <v>1663</v>
      </c>
      <c r="C2578" t="s">
        <v>5875</v>
      </c>
      <c r="E2578" t="s">
        <v>6060</v>
      </c>
      <c r="F2578" t="str">
        <f t="shared" si="40"/>
        <v>"C:\Program Files\VideoLAN\VLC\vlc.exe" "http://s39.myradiostream.com:8888/listen.pls?sid=1"</v>
      </c>
      <c r="M2578" t="e">
        <f>VLOOKUP(A2578,logos!$A$2:$A$10004,1,FALSE)</f>
        <v>#N/A</v>
      </c>
    </row>
    <row r="2579" spans="1:13" hidden="1" x14ac:dyDescent="0.55000000000000004">
      <c r="A2579" t="s">
        <v>1005</v>
      </c>
      <c r="B2579" t="s">
        <v>1663</v>
      </c>
      <c r="C2579" t="s">
        <v>5876</v>
      </c>
      <c r="E2579" t="s">
        <v>6060</v>
      </c>
      <c r="F2579" t="str">
        <f t="shared" si="40"/>
        <v>"C:\Program Files\VideoLAN\VLC\vlc.exe" "http://stream.zeno.fm/dzfh86qaya0uv.m3u"</v>
      </c>
      <c r="M2579" t="e">
        <f>VLOOKUP(A2579,logos!$A$2:$A$10004,1,FALSE)</f>
        <v>#N/A</v>
      </c>
    </row>
    <row r="2580" spans="1:13" hidden="1" x14ac:dyDescent="0.55000000000000004">
      <c r="A2580" t="s">
        <v>1007</v>
      </c>
      <c r="B2580" t="s">
        <v>1663</v>
      </c>
      <c r="C2580" t="s">
        <v>5877</v>
      </c>
      <c r="E2580" t="s">
        <v>6060</v>
      </c>
      <c r="F2580" t="str">
        <f t="shared" si="40"/>
        <v>"C:\Program Files\VideoLAN\VLC\vlc.exe" "http://stream1.hippynet.co.uk:8061/listen.pls?sid=1"</v>
      </c>
      <c r="M2580" t="e">
        <f>VLOOKUP(A2580,logos!$A$2:$A$10004,1,FALSE)</f>
        <v>#N/A</v>
      </c>
    </row>
    <row r="2581" spans="1:13" hidden="1" x14ac:dyDescent="0.55000000000000004">
      <c r="A2581" t="s">
        <v>1009</v>
      </c>
      <c r="B2581" t="s">
        <v>1663</v>
      </c>
      <c r="C2581" t="s">
        <v>5878</v>
      </c>
      <c r="E2581" t="s">
        <v>6060</v>
      </c>
      <c r="F2581" t="str">
        <f t="shared" si="40"/>
        <v>"C:\Program Files\VideoLAN\VLC\vlc.exe" "http://playoutonestreaming.com:8147/listen.pls?sid=1"</v>
      </c>
      <c r="M2581" t="e">
        <f>VLOOKUP(A2581,logos!$A$2:$A$10004,1,FALSE)</f>
        <v>#N/A</v>
      </c>
    </row>
    <row r="2582" spans="1:13" hidden="1" x14ac:dyDescent="0.55000000000000004">
      <c r="A2582" t="s">
        <v>1011</v>
      </c>
      <c r="B2582" t="s">
        <v>1692</v>
      </c>
      <c r="C2582" t="s">
        <v>5879</v>
      </c>
      <c r="E2582" t="s">
        <v>6060</v>
      </c>
      <c r="F2582" t="str">
        <f t="shared" si="40"/>
        <v>"C:\Program Files\VideoLAN\VLC\vlc.exe" "http://www.radiofeeds.net/playlists/bauer.pls?station=borders-mp3"</v>
      </c>
      <c r="M2582" t="str">
        <f>VLOOKUP(A2582,logos!$A$2:$A$10004,1,FALSE)</f>
        <v>Radio Borders</v>
      </c>
    </row>
    <row r="2583" spans="1:13" hidden="1" x14ac:dyDescent="0.55000000000000004">
      <c r="A2583" t="s">
        <v>1013</v>
      </c>
      <c r="B2583" t="s">
        <v>1663</v>
      </c>
      <c r="C2583" t="s">
        <v>5880</v>
      </c>
      <c r="E2583" t="s">
        <v>6060</v>
      </c>
      <c r="F2583" t="str">
        <f t="shared" si="40"/>
        <v>"C:\Program Files\VideoLAN\VLC\vlc.exe" "http://www.radiofeeds.net/playlists/sharptemp.pls?station=tccarmarthenshire-mp3"</v>
      </c>
      <c r="M2583" t="e">
        <f>VLOOKUP(A2583,logos!$A$2:$A$10004,1,FALSE)</f>
        <v>#N/A</v>
      </c>
    </row>
    <row r="2584" spans="1:13" hidden="1" x14ac:dyDescent="0.55000000000000004">
      <c r="A2584" t="s">
        <v>1013</v>
      </c>
      <c r="B2584" t="s">
        <v>1670</v>
      </c>
      <c r="C2584" t="s">
        <v>5881</v>
      </c>
      <c r="E2584" t="s">
        <v>6060</v>
      </c>
      <c r="F2584" t="str">
        <f t="shared" si="40"/>
        <v>"C:\Program Files\VideoLAN\VLC\vlc.exe" "http://icy-e-01.sharp-stream.com/nationcarmarthenshiredab.mp3.m3u"</v>
      </c>
      <c r="M2584" t="e">
        <f>VLOOKUP(A2584,logos!$A$2:$A$10004,1,FALSE)</f>
        <v>#N/A</v>
      </c>
    </row>
    <row r="2585" spans="1:13" hidden="1" x14ac:dyDescent="0.55000000000000004">
      <c r="A2585" t="s">
        <v>1016</v>
      </c>
      <c r="B2585" t="s">
        <v>1696</v>
      </c>
      <c r="C2585" t="s">
        <v>5882</v>
      </c>
      <c r="E2585" t="s">
        <v>6060</v>
      </c>
      <c r="F2585" t="str">
        <f t="shared" si="40"/>
        <v>"C:\Program Files\VideoLAN\VLC\vlc.exe" "http://sc2.radiocaroline.net:10568/listen.pls?sid=1"</v>
      </c>
      <c r="M2585" t="e">
        <f>VLOOKUP(A2585,logos!$A$2:$A$10004,1,FALSE)</f>
        <v>#N/A</v>
      </c>
    </row>
    <row r="2586" spans="1:13" hidden="1" x14ac:dyDescent="0.55000000000000004">
      <c r="A2586" t="s">
        <v>1016</v>
      </c>
      <c r="B2586" t="s">
        <v>1663</v>
      </c>
      <c r="C2586" t="s">
        <v>5883</v>
      </c>
      <c r="E2586" t="s">
        <v>6060</v>
      </c>
      <c r="F2586" t="str">
        <f t="shared" si="40"/>
        <v>"C:\Program Files\VideoLAN\VLC\vlc.exe" "http://sc2.radiocaroline.net:10558/listen.pls?sid=1"</v>
      </c>
      <c r="M2586" t="e">
        <f>VLOOKUP(A2586,logos!$A$2:$A$10004,1,FALSE)</f>
        <v>#N/A</v>
      </c>
    </row>
    <row r="2587" spans="1:13" hidden="1" x14ac:dyDescent="0.55000000000000004">
      <c r="A2587" t="s">
        <v>2889</v>
      </c>
      <c r="B2587" t="s">
        <v>1663</v>
      </c>
      <c r="C2587" t="s">
        <v>5884</v>
      </c>
      <c r="E2587" t="s">
        <v>6060</v>
      </c>
      <c r="F2587" t="str">
        <f t="shared" si="40"/>
        <v>"C:\Program Files\VideoLAN\VLC\vlc.exe" "http://philae.shoutca.st:8459/listen.pls?sid=1"</v>
      </c>
      <c r="M2587" t="e">
        <f>VLOOKUP(A2587,logos!$A$2:$A$10004,1,FALSE)</f>
        <v>#N/A</v>
      </c>
    </row>
    <row r="2588" spans="1:13" hidden="1" x14ac:dyDescent="0.55000000000000004">
      <c r="A2588" t="s">
        <v>1023</v>
      </c>
      <c r="B2588" t="s">
        <v>1692</v>
      </c>
      <c r="C2588" t="s">
        <v>5885</v>
      </c>
      <c r="E2588" t="s">
        <v>6060</v>
      </c>
      <c r="F2588" t="str">
        <f t="shared" si="40"/>
        <v>"C:\Program Files\VideoLAN\VLC\vlc.exe" "http://www.radiofeeds.net/playlists/bauer.pls?station=city-mp3"</v>
      </c>
      <c r="M2588" t="str">
        <f>VLOOKUP(A2588,logos!$A$2:$A$10004,1,FALSE)</f>
        <v>Radio City</v>
      </c>
    </row>
    <row r="2589" spans="1:13" hidden="1" x14ac:dyDescent="0.55000000000000004">
      <c r="A2589" t="s">
        <v>1025</v>
      </c>
      <c r="B2589" t="s">
        <v>1670</v>
      </c>
      <c r="C2589" t="s">
        <v>5886</v>
      </c>
      <c r="E2589" t="s">
        <v>6060</v>
      </c>
      <c r="F2589" t="str">
        <f t="shared" si="40"/>
        <v>"C:\Program Files\VideoLAN\VLC\vlc.exe" "http://usa19.fastcast4u.com:1120/listen.pls?sid=1"</v>
      </c>
      <c r="M2589" t="e">
        <f>VLOOKUP(A2589,logos!$A$2:$A$10004,1,FALSE)</f>
        <v>#N/A</v>
      </c>
    </row>
    <row r="2590" spans="1:13" hidden="1" x14ac:dyDescent="0.55000000000000004">
      <c r="A2590" t="s">
        <v>2798</v>
      </c>
      <c r="B2590" t="s">
        <v>1689</v>
      </c>
      <c r="C2590" t="s">
        <v>5887</v>
      </c>
      <c r="E2590" t="s">
        <v>6060</v>
      </c>
      <c r="F2590" t="str">
        <f t="shared" si="40"/>
        <v>"C:\Program Files\VideoLAN\VLC\vlc.exe" "http://playoutonestreaming.com:8012/listen.pls?sid=1"</v>
      </c>
      <c r="M2590" t="e">
        <f>VLOOKUP(A2590,logos!$A$2:$A$10004,1,FALSE)</f>
        <v>#N/A</v>
      </c>
    </row>
    <row r="2591" spans="1:13" hidden="1" x14ac:dyDescent="0.55000000000000004">
      <c r="A2591" t="s">
        <v>2890</v>
      </c>
      <c r="B2591" t="s">
        <v>1663</v>
      </c>
      <c r="C2591" t="s">
        <v>5888</v>
      </c>
      <c r="E2591" t="s">
        <v>6060</v>
      </c>
      <c r="F2591" t="str">
        <f t="shared" si="40"/>
        <v>"C:\Program Files\VideoLAN\VLC\vlc.exe" "http://streams.radio.co/sf2a4d9132/listen.m3u"</v>
      </c>
      <c r="M2591" t="e">
        <f>VLOOKUP(A2591,logos!$A$2:$A$10004,1,FALSE)</f>
        <v>#N/A</v>
      </c>
    </row>
    <row r="2592" spans="1:13" hidden="1" x14ac:dyDescent="0.55000000000000004">
      <c r="A2592" t="s">
        <v>2891</v>
      </c>
      <c r="B2592" t="s">
        <v>1663</v>
      </c>
      <c r="C2592" t="s">
        <v>5889</v>
      </c>
      <c r="E2592" t="s">
        <v>6060</v>
      </c>
      <c r="F2592" t="str">
        <f t="shared" si="40"/>
        <v>"C:\Program Files\VideoLAN\VLC\vlc.exe" "http://s4.radio.co/sd9ae042f5/listen.m3u"</v>
      </c>
      <c r="M2592" t="e">
        <f>VLOOKUP(A2592,logos!$A$2:$A$10004,1,FALSE)</f>
        <v>#N/A</v>
      </c>
    </row>
    <row r="2593" spans="1:13" hidden="1" x14ac:dyDescent="0.55000000000000004">
      <c r="A2593" t="s">
        <v>1033</v>
      </c>
      <c r="B2593" t="s">
        <v>1687</v>
      </c>
      <c r="C2593" t="s">
        <v>5890</v>
      </c>
      <c r="E2593" t="s">
        <v>6060</v>
      </c>
      <c r="F2593" t="str">
        <f t="shared" si="40"/>
        <v>"C:\Program Files\VideoLAN\VLC\vlc.exe" "http://media.radiojackie.com:22614/listen.pls"</v>
      </c>
      <c r="M2593" t="e">
        <f>VLOOKUP(A2593,logos!$A$2:$A$10004,1,FALSE)</f>
        <v>#N/A</v>
      </c>
    </row>
    <row r="2594" spans="1:13" hidden="1" x14ac:dyDescent="0.55000000000000004">
      <c r="A2594" t="s">
        <v>1033</v>
      </c>
      <c r="B2594" t="s">
        <v>1663</v>
      </c>
      <c r="C2594" t="s">
        <v>5891</v>
      </c>
      <c r="E2594" t="s">
        <v>6060</v>
      </c>
      <c r="F2594" t="str">
        <f t="shared" si="40"/>
        <v>"C:\Program Files\VideoLAN\VLC\vlc.exe" "http://media.radiojackie.com:12614/listen.pls"</v>
      </c>
      <c r="M2594" t="e">
        <f>VLOOKUP(A2594,logos!$A$2:$A$10004,1,FALSE)</f>
        <v>#N/A</v>
      </c>
    </row>
    <row r="2595" spans="1:13" hidden="1" x14ac:dyDescent="0.55000000000000004">
      <c r="A2595" t="s">
        <v>1037</v>
      </c>
      <c r="B2595" t="s">
        <v>1663</v>
      </c>
      <c r="C2595" t="s">
        <v>5892</v>
      </c>
      <c r="E2595" t="s">
        <v>6060</v>
      </c>
      <c r="F2595" t="str">
        <f t="shared" si="40"/>
        <v>"C:\Program Files\VideoLAN\VLC\vlc.exe" "http://icy-e-01.sharp-stream.com/khushkhabri.mp3.m3u"</v>
      </c>
      <c r="M2595" t="e">
        <f>VLOOKUP(A2595,logos!$A$2:$A$10004,1,FALSE)</f>
        <v>#N/A</v>
      </c>
    </row>
    <row r="2596" spans="1:13" hidden="1" x14ac:dyDescent="0.55000000000000004">
      <c r="A2596" t="s">
        <v>1039</v>
      </c>
      <c r="B2596" t="s">
        <v>1669</v>
      </c>
      <c r="C2596" t="s">
        <v>5893</v>
      </c>
      <c r="E2596" t="s">
        <v>6060</v>
      </c>
      <c r="F2596" t="str">
        <f t="shared" si="40"/>
        <v>"C:\Program Files\VideoLAN\VLC\vlc.exe" "http://213.159.214.57:8000/matryoshka.m3u"</v>
      </c>
      <c r="M2596" t="e">
        <f>VLOOKUP(A2596,logos!$A$2:$A$10004,1,FALSE)</f>
        <v>#N/A</v>
      </c>
    </row>
    <row r="2597" spans="1:13" hidden="1" x14ac:dyDescent="0.55000000000000004">
      <c r="A2597" t="s">
        <v>1041</v>
      </c>
      <c r="B2597" t="s">
        <v>1697</v>
      </c>
      <c r="C2597" t="s">
        <v>5894</v>
      </c>
      <c r="E2597" t="s">
        <v>6060</v>
      </c>
      <c r="F2597" t="str">
        <f t="shared" si="40"/>
        <v>"C:\Program Files\VideoLAN\VLC\vlc.exe" "http://uk3-vn.webcast-server.net:8192/listen.pls?sid=1"</v>
      </c>
      <c r="M2597" t="e">
        <f>VLOOKUP(A2597,logos!$A$2:$A$10004,1,FALSE)</f>
        <v>#N/A</v>
      </c>
    </row>
    <row r="2598" spans="1:13" hidden="1" x14ac:dyDescent="0.55000000000000004">
      <c r="A2598" t="s">
        <v>1044</v>
      </c>
      <c r="B2598" t="s">
        <v>1663</v>
      </c>
      <c r="C2598" t="s">
        <v>5895</v>
      </c>
      <c r="E2598" t="s">
        <v>6060</v>
      </c>
      <c r="F2598" t="str">
        <f t="shared" si="40"/>
        <v>"C:\Program Files\VideoLAN\VLC\vlc.exe" "http://www.radiofeeds.net/playlists/sharptemp.pls?station=tcpembrokeshire-mp3"</v>
      </c>
      <c r="M2598" t="e">
        <f>VLOOKUP(A2598,logos!$A$2:$A$10004,1,FALSE)</f>
        <v>#N/A</v>
      </c>
    </row>
    <row r="2599" spans="1:13" hidden="1" x14ac:dyDescent="0.55000000000000004">
      <c r="A2599" t="s">
        <v>1044</v>
      </c>
      <c r="B2599" t="s">
        <v>1670</v>
      </c>
      <c r="C2599" t="s">
        <v>5896</v>
      </c>
      <c r="E2599" t="s">
        <v>6060</v>
      </c>
      <c r="F2599" t="str">
        <f t="shared" si="40"/>
        <v>"C:\Program Files\VideoLAN\VLC\vlc.exe" "http://icy-e-01.sharp-stream.com/nationpembrokeshiredab.mp3.m3u"</v>
      </c>
      <c r="M2599" t="e">
        <f>VLOOKUP(A2599,logos!$A$2:$A$10004,1,FALSE)</f>
        <v>#N/A</v>
      </c>
    </row>
    <row r="2600" spans="1:13" hidden="1" x14ac:dyDescent="0.55000000000000004">
      <c r="A2600" t="s">
        <v>1047</v>
      </c>
      <c r="B2600" t="s">
        <v>1663</v>
      </c>
      <c r="C2600" t="s">
        <v>5897</v>
      </c>
      <c r="E2600" t="s">
        <v>6060</v>
      </c>
      <c r="F2600" t="str">
        <f t="shared" si="40"/>
        <v>"C:\Program Files\VideoLAN\VLC\vlc.exe" "http://proxima.shoutca.st:8500/listen.pls?sid=1"</v>
      </c>
      <c r="M2600" t="e">
        <f>VLOOKUP(A2600,logos!$A$2:$A$10004,1,FALSE)</f>
        <v>#N/A</v>
      </c>
    </row>
    <row r="2601" spans="1:13" hidden="1" x14ac:dyDescent="0.55000000000000004">
      <c r="A2601" t="s">
        <v>1049</v>
      </c>
      <c r="B2601" t="s">
        <v>1663</v>
      </c>
      <c r="C2601" t="s">
        <v>5898</v>
      </c>
      <c r="E2601" t="s">
        <v>6060</v>
      </c>
      <c r="F2601" t="str">
        <f t="shared" si="40"/>
        <v>"C:\Program Files\VideoLAN\VLC\vlc.exe" "http://comet.shoutca.st:8338/live.m3u"</v>
      </c>
      <c r="M2601" t="e">
        <f>VLOOKUP(A2601,logos!$A$2:$A$10004,1,FALSE)</f>
        <v>#N/A</v>
      </c>
    </row>
    <row r="2602" spans="1:13" hidden="1" x14ac:dyDescent="0.55000000000000004">
      <c r="A2602" t="s">
        <v>1051</v>
      </c>
      <c r="B2602" t="s">
        <v>1663</v>
      </c>
      <c r="C2602" t="s">
        <v>5899</v>
      </c>
      <c r="E2602" t="s">
        <v>6060</v>
      </c>
      <c r="F2602" t="str">
        <f t="shared" si="40"/>
        <v>"C:\Program Files\VideoLAN\VLC\vlc.exe" "http://streaming.broadcastradio.com:11450/radioup.m3u"</v>
      </c>
      <c r="M2602" t="e">
        <f>VLOOKUP(A2602,logos!$A$2:$A$10004,1,FALSE)</f>
        <v>#N/A</v>
      </c>
    </row>
    <row r="2603" spans="1:13" hidden="1" x14ac:dyDescent="0.55000000000000004">
      <c r="A2603" t="s">
        <v>1053</v>
      </c>
      <c r="B2603" t="s">
        <v>1669</v>
      </c>
      <c r="C2603" t="s">
        <v>5900</v>
      </c>
      <c r="E2603" t="s">
        <v>6060</v>
      </c>
      <c r="F2603" t="str">
        <f t="shared" si="40"/>
        <v>"C:\Program Files\VideoLAN\VLC\vlc.exe" "http://hyades.shoutca.st:8034/live.m3u"</v>
      </c>
      <c r="M2603" t="e">
        <f>VLOOKUP(A2603,logos!$A$2:$A$10004,1,FALSE)</f>
        <v>#N/A</v>
      </c>
    </row>
    <row r="2604" spans="1:13" hidden="1" x14ac:dyDescent="0.55000000000000004">
      <c r="A2604" t="s">
        <v>2800</v>
      </c>
      <c r="B2604" t="s">
        <v>1663</v>
      </c>
      <c r="C2604" t="s">
        <v>5901</v>
      </c>
      <c r="E2604" t="s">
        <v>6060</v>
      </c>
      <c r="F2604" t="str">
        <f t="shared" si="40"/>
        <v>"C:\Program Files\VideoLAN\VLC\vlc.exe" "http://icecast.thisisdax.com/RadioXLondonMP3.m3u"</v>
      </c>
      <c r="M2604" t="e">
        <f>VLOOKUP(A2604,logos!$A$2:$A$10004,1,FALSE)</f>
        <v>#N/A</v>
      </c>
    </row>
    <row r="2605" spans="1:13" hidden="1" x14ac:dyDescent="0.55000000000000004">
      <c r="A2605" t="s">
        <v>2801</v>
      </c>
      <c r="B2605" t="s">
        <v>1663</v>
      </c>
      <c r="C2605" t="s">
        <v>5902</v>
      </c>
      <c r="E2605" t="s">
        <v>6060</v>
      </c>
      <c r="F2605" t="str">
        <f t="shared" si="40"/>
        <v>"C:\Program Files\VideoLAN\VLC\vlc.exe" "http://icecast.thisisdax.com/RadioXManchesterMP3.m3u"</v>
      </c>
      <c r="M2605" t="e">
        <f>VLOOKUP(A2605,logos!$A$2:$A$10004,1,FALSE)</f>
        <v>#N/A</v>
      </c>
    </row>
    <row r="2606" spans="1:13" hidden="1" x14ac:dyDescent="0.55000000000000004">
      <c r="A2606" t="s">
        <v>2802</v>
      </c>
      <c r="B2606" t="s">
        <v>1663</v>
      </c>
      <c r="C2606" t="s">
        <v>5903</v>
      </c>
      <c r="E2606" t="s">
        <v>6060</v>
      </c>
      <c r="F2606" t="str">
        <f t="shared" si="40"/>
        <v>"C:\Program Files\VideoLAN\VLC\vlc.exe" "http://icecast.thisisdax.com/RadioXUKMP3.m3u"</v>
      </c>
      <c r="M2606" t="str">
        <f>VLOOKUP(A2606,logos!$A$2:$A$10004,1,FALSE)</f>
        <v>Radio X (UK)</v>
      </c>
    </row>
    <row r="2607" spans="1:13" hidden="1" x14ac:dyDescent="0.55000000000000004">
      <c r="A2607" t="s">
        <v>1061</v>
      </c>
      <c r="B2607" t="s">
        <v>1696</v>
      </c>
      <c r="C2607" t="s">
        <v>5904</v>
      </c>
      <c r="E2607" t="s">
        <v>6060</v>
      </c>
      <c r="F2607" t="str">
        <f t="shared" si="40"/>
        <v>"C:\Program Files\VideoLAN\VLC\vlc.exe" "http://sc18.strictlyhosting.co.uk:8000/listen.pls"</v>
      </c>
      <c r="M2607" t="e">
        <f>VLOOKUP(A2607,logos!$A$2:$A$10004,1,FALSE)</f>
        <v>#N/A</v>
      </c>
    </row>
    <row r="2608" spans="1:13" hidden="1" x14ac:dyDescent="0.55000000000000004">
      <c r="A2608" t="s">
        <v>1063</v>
      </c>
      <c r="B2608" t="s">
        <v>1663</v>
      </c>
      <c r="C2608" t="s">
        <v>5905</v>
      </c>
      <c r="E2608" t="s">
        <v>6060</v>
      </c>
      <c r="F2608" t="str">
        <f t="shared" si="40"/>
        <v>"C:\Program Files\VideoLAN\VLC\vlc.exe" "http://pollux.shoutca.st:8874/listen.pls?sid=1"</v>
      </c>
      <c r="M2608" t="e">
        <f>VLOOKUP(A2608,logos!$A$2:$A$10004,1,FALSE)</f>
        <v>#N/A</v>
      </c>
    </row>
    <row r="2609" spans="1:13" hidden="1" x14ac:dyDescent="0.55000000000000004">
      <c r="A2609" t="s">
        <v>1065</v>
      </c>
      <c r="B2609" t="s">
        <v>1670</v>
      </c>
      <c r="C2609" t="s">
        <v>5906</v>
      </c>
      <c r="E2609" t="s">
        <v>6060</v>
      </c>
      <c r="F2609" t="str">
        <f t="shared" si="40"/>
        <v>"C:\Program Files\VideoLAN\VLC\vlc.exe" "http://www.radiofeeds.net/playlists/rajoradio.m3u"</v>
      </c>
      <c r="M2609" t="e">
        <f>VLOOKUP(A2609,logos!$A$2:$A$10004,1,FALSE)</f>
        <v>#N/A</v>
      </c>
    </row>
    <row r="2610" spans="1:13" hidden="1" x14ac:dyDescent="0.55000000000000004">
      <c r="A2610" t="s">
        <v>2892</v>
      </c>
      <c r="B2610" t="s">
        <v>1663</v>
      </c>
      <c r="C2610" t="s">
        <v>5907</v>
      </c>
      <c r="E2610" t="s">
        <v>6060</v>
      </c>
      <c r="F2610" t="str">
        <f t="shared" si="40"/>
        <v>"C:\Program Files\VideoLAN\VLC\vlc.exe" "http://www.radiofeeds.net/playlists/rangoli.m3u"</v>
      </c>
      <c r="M2610" t="e">
        <f>VLOOKUP(A2610,logos!$A$2:$A$10004,1,FALSE)</f>
        <v>#N/A</v>
      </c>
    </row>
    <row r="2611" spans="1:13" hidden="1" x14ac:dyDescent="0.55000000000000004">
      <c r="A2611" t="s">
        <v>1067</v>
      </c>
      <c r="B2611" t="s">
        <v>1669</v>
      </c>
      <c r="C2611" t="s">
        <v>5908</v>
      </c>
      <c r="E2611" t="s">
        <v>6060</v>
      </c>
      <c r="F2611" t="str">
        <f t="shared" si="40"/>
        <v>"C:\Program Files\VideoLAN\VLC\vlc.exe" "http://stream1.themediasite.co.uk:8046/listen.pls?sid=1"</v>
      </c>
      <c r="M2611" t="e">
        <f>VLOOKUP(A2611,logos!$A$2:$A$10004,1,FALSE)</f>
        <v>#N/A</v>
      </c>
    </row>
    <row r="2612" spans="1:13" hidden="1" x14ac:dyDescent="0.55000000000000004">
      <c r="A2612" t="s">
        <v>1069</v>
      </c>
      <c r="B2612" t="s">
        <v>1670</v>
      </c>
      <c r="C2612" t="s">
        <v>5909</v>
      </c>
      <c r="E2612" t="s">
        <v>6060</v>
      </c>
      <c r="F2612" t="str">
        <f t="shared" si="40"/>
        <v>"C:\Program Files\VideoLAN\VLC\vlc.exe" "http://stream.releaseradio.net/stream.m3u"</v>
      </c>
      <c r="M2612" t="e">
        <f>VLOOKUP(A2612,logos!$A$2:$A$10004,1,FALSE)</f>
        <v>#N/A</v>
      </c>
    </row>
    <row r="2613" spans="1:13" hidden="1" x14ac:dyDescent="0.55000000000000004">
      <c r="A2613" t="s">
        <v>1071</v>
      </c>
      <c r="B2613" t="s">
        <v>1662</v>
      </c>
      <c r="C2613" t="s">
        <v>5910</v>
      </c>
      <c r="E2613" t="s">
        <v>6060</v>
      </c>
      <c r="F2613" t="str">
        <f t="shared" si="40"/>
        <v>"C:\Program Files\VideoLAN\VLC\vlc.exe" "http://stream.resonance.fm/resonance-extra-lo.m3u"</v>
      </c>
      <c r="M2613" t="e">
        <f>VLOOKUP(A2613,logos!$A$2:$A$10004,1,FALSE)</f>
        <v>#N/A</v>
      </c>
    </row>
    <row r="2614" spans="1:13" hidden="1" x14ac:dyDescent="0.55000000000000004">
      <c r="A2614" t="s">
        <v>1071</v>
      </c>
      <c r="B2614" t="s">
        <v>1669</v>
      </c>
      <c r="C2614" t="s">
        <v>5911</v>
      </c>
      <c r="E2614" t="s">
        <v>6060</v>
      </c>
      <c r="F2614" t="str">
        <f t="shared" si="40"/>
        <v>"C:\Program Files\VideoLAN\VLC\vlc.exe" "http://stream.resonance.fm/resonance-extra.m3u"</v>
      </c>
      <c r="M2614" t="e">
        <f>VLOOKUP(A2614,logos!$A$2:$A$10004,1,FALSE)</f>
        <v>#N/A</v>
      </c>
    </row>
    <row r="2615" spans="1:13" hidden="1" x14ac:dyDescent="0.55000000000000004">
      <c r="A2615" t="s">
        <v>1074</v>
      </c>
      <c r="B2615" t="s">
        <v>1663</v>
      </c>
      <c r="C2615" t="s">
        <v>5912</v>
      </c>
      <c r="E2615" t="s">
        <v>6060</v>
      </c>
      <c r="F2615" t="str">
        <f t="shared" si="40"/>
        <v>"C:\Program Files\VideoLAN\VLC\vlc.exe" "http://s4.radio.co/s2eaa194f6/listen.m3u"</v>
      </c>
      <c r="M2615" t="e">
        <f>VLOOKUP(A2615,logos!$A$2:$A$10004,1,FALSE)</f>
        <v>#N/A</v>
      </c>
    </row>
    <row r="2616" spans="1:13" hidden="1" x14ac:dyDescent="0.55000000000000004">
      <c r="A2616" t="s">
        <v>2893</v>
      </c>
      <c r="B2616" t="s">
        <v>1663</v>
      </c>
      <c r="C2616" t="s">
        <v>5913</v>
      </c>
      <c r="E2616" t="s">
        <v>6060</v>
      </c>
      <c r="F2616" t="str">
        <f t="shared" si="40"/>
        <v>"C:\Program Files\VideoLAN\VLC\vlc.exe" "http://stream2.hippynet.co.uk:8010/live.m3u"</v>
      </c>
      <c r="M2616" t="e">
        <f>VLOOKUP(A2616,logos!$A$2:$A$10004,1,FALSE)</f>
        <v>#N/A</v>
      </c>
    </row>
    <row r="2617" spans="1:13" hidden="1" x14ac:dyDescent="0.55000000000000004">
      <c r="A2617" t="s">
        <v>2837</v>
      </c>
      <c r="B2617" t="s">
        <v>1669</v>
      </c>
      <c r="C2617" t="s">
        <v>5914</v>
      </c>
      <c r="E2617" t="s">
        <v>6060</v>
      </c>
      <c r="F2617" t="str">
        <f t="shared" si="40"/>
        <v>"C:\Program Files\VideoLAN\VLC\vlc.exe" "http://www.radiofeeds.net/playlists/river.m3u"</v>
      </c>
      <c r="M2617" t="e">
        <f>VLOOKUP(A2617,logos!$A$2:$A$10004,1,FALSE)</f>
        <v>#N/A</v>
      </c>
    </row>
    <row r="2618" spans="1:13" hidden="1" x14ac:dyDescent="0.55000000000000004">
      <c r="A2618" t="s">
        <v>1080</v>
      </c>
      <c r="B2618" t="s">
        <v>1663</v>
      </c>
      <c r="C2618" t="s">
        <v>5915</v>
      </c>
      <c r="E2618" t="s">
        <v>6060</v>
      </c>
      <c r="F2618" t="str">
        <f t="shared" si="40"/>
        <v>"C:\Program Files\VideoLAN\VLC\vlc.exe" "http://radio.riversideradio.com:8216/listen.pls?sid=1"</v>
      </c>
      <c r="M2618" t="e">
        <f>VLOOKUP(A2618,logos!$A$2:$A$10004,1,FALSE)</f>
        <v>#N/A</v>
      </c>
    </row>
    <row r="2619" spans="1:13" hidden="1" x14ac:dyDescent="0.55000000000000004">
      <c r="A2619" t="s">
        <v>1082</v>
      </c>
      <c r="B2619" t="s">
        <v>1692</v>
      </c>
      <c r="C2619" t="s">
        <v>5916</v>
      </c>
      <c r="E2619" t="s">
        <v>6060</v>
      </c>
      <c r="F2619" t="str">
        <f t="shared" si="40"/>
        <v>"C:\Program Files\VideoLAN\VLC\vlc.exe" "http://www.radiofeeds.net/playlists/bauer.pls?station=rock-mp3"</v>
      </c>
      <c r="M2619" t="str">
        <f>VLOOKUP(A2619,logos!$A$2:$A$10004,1,FALSE)</f>
        <v>Rock FM</v>
      </c>
    </row>
    <row r="2620" spans="1:13" hidden="1" x14ac:dyDescent="0.55000000000000004">
      <c r="A2620" t="s">
        <v>2894</v>
      </c>
      <c r="B2620" t="s">
        <v>1698</v>
      </c>
      <c r="C2620" t="s">
        <v>5917</v>
      </c>
      <c r="E2620" t="s">
        <v>6060</v>
      </c>
      <c r="F2620" t="str">
        <f t="shared" si="40"/>
        <v>"C:\Program Files\VideoLAN\VLC\vlc.exe" "http://freeuk3.listen2myradio.com:4464/listen.pls"</v>
      </c>
      <c r="M2620" t="e">
        <f>VLOOKUP(A2620,logos!$A$2:$A$10004,1,FALSE)</f>
        <v>#N/A</v>
      </c>
    </row>
    <row r="2621" spans="1:13" hidden="1" x14ac:dyDescent="0.55000000000000004">
      <c r="A2621" t="s">
        <v>1087</v>
      </c>
      <c r="B2621" t="s">
        <v>1690</v>
      </c>
      <c r="C2621" t="s">
        <v>5918</v>
      </c>
      <c r="E2621" t="s">
        <v>6060</v>
      </c>
      <c r="F2621" t="str">
        <f t="shared" si="40"/>
        <v>"C:\Program Files\VideoLAN\VLC\vlc.exe" "http://streaming03.zfast.co.uk:8130/listen.pls?sid=1"</v>
      </c>
      <c r="M2621" t="str">
        <f>VLOOKUP(A2621,logos!$A$2:$A$10004,1,FALSE)</f>
        <v>Rother Radio</v>
      </c>
    </row>
    <row r="2622" spans="1:13" hidden="1" x14ac:dyDescent="0.55000000000000004">
      <c r="A2622" t="s">
        <v>1087</v>
      </c>
      <c r="B2622" t="s">
        <v>1663</v>
      </c>
      <c r="C2622" t="s">
        <v>5919</v>
      </c>
      <c r="E2622" t="s">
        <v>6060</v>
      </c>
      <c r="F2622" t="str">
        <f t="shared" si="40"/>
        <v>"C:\Program Files\VideoLAN\VLC\vlc.exe" "http://streaming03.zfast.co.uk:8075/listen.pls?sid=1"</v>
      </c>
      <c r="M2622" t="str">
        <f>VLOOKUP(A2622,logos!$A$2:$A$10004,1,FALSE)</f>
        <v>Rother Radio</v>
      </c>
    </row>
    <row r="2623" spans="1:13" hidden="1" x14ac:dyDescent="0.55000000000000004">
      <c r="A2623" t="s">
        <v>1090</v>
      </c>
      <c r="B2623" t="s">
        <v>1663</v>
      </c>
      <c r="C2623" t="s">
        <v>5920</v>
      </c>
      <c r="E2623" t="s">
        <v>6060</v>
      </c>
      <c r="F2623" t="str">
        <f t="shared" si="40"/>
        <v>"C:\Program Files\VideoLAN\VLC\vlc.exe" "http://mp3streaming.planetwideradio.com:9125/ruach.m3u"</v>
      </c>
      <c r="M2623" t="e">
        <f>VLOOKUP(A2623,logos!$A$2:$A$10004,1,FALSE)</f>
        <v>#N/A</v>
      </c>
    </row>
    <row r="2624" spans="1:13" hidden="1" x14ac:dyDescent="0.55000000000000004">
      <c r="A2624" t="s">
        <v>1092</v>
      </c>
      <c r="B2624" t="s">
        <v>1663</v>
      </c>
      <c r="C2624" t="s">
        <v>5921</v>
      </c>
      <c r="E2624" t="s">
        <v>6060</v>
      </c>
      <c r="F2624" t="str">
        <f t="shared" si="40"/>
        <v>"C:\Program Files\VideoLAN\VLC\vlc.exe" "http://stream3.themediasite.co.uk:8036/listen.pls?sid=1"</v>
      </c>
      <c r="M2624" t="e">
        <f>VLOOKUP(A2624,logos!$A$2:$A$10004,1,FALSE)</f>
        <v>#N/A</v>
      </c>
    </row>
    <row r="2625" spans="1:13" hidden="1" x14ac:dyDescent="0.55000000000000004">
      <c r="A2625" t="s">
        <v>1094</v>
      </c>
      <c r="B2625" t="s">
        <v>1663</v>
      </c>
      <c r="C2625" t="s">
        <v>5922</v>
      </c>
      <c r="E2625" t="s">
        <v>6060</v>
      </c>
      <c r="F2625" t="str">
        <f t="shared" si="40"/>
        <v>"C:\Program Files\VideoLAN\VLC\vlc.exe" "http://radio.canstream.co.uk:8025/live.mp3.m3u"</v>
      </c>
      <c r="M2625" t="e">
        <f>VLOOKUP(A2625,logos!$A$2:$A$10004,1,FALSE)</f>
        <v>#N/A</v>
      </c>
    </row>
    <row r="2626" spans="1:13" hidden="1" x14ac:dyDescent="0.55000000000000004">
      <c r="A2626" t="s">
        <v>1096</v>
      </c>
      <c r="B2626" t="s">
        <v>1669</v>
      </c>
      <c r="C2626" t="s">
        <v>5923</v>
      </c>
      <c r="E2626" t="s">
        <v>6060</v>
      </c>
      <c r="F2626" t="str">
        <f t="shared" si="40"/>
        <v>"C:\Program Files\VideoLAN\VLC\vlc.exe" "http://s4.xrad.io:8086/listen.pls?sid=1"</v>
      </c>
      <c r="M2626" t="e">
        <f>VLOOKUP(A2626,logos!$A$2:$A$10004,1,FALSE)</f>
        <v>#N/A</v>
      </c>
    </row>
    <row r="2627" spans="1:13" hidden="1" x14ac:dyDescent="0.55000000000000004">
      <c r="A2627" t="s">
        <v>1098</v>
      </c>
      <c r="B2627" t="s">
        <v>1669</v>
      </c>
      <c r="C2627" t="s">
        <v>5924</v>
      </c>
      <c r="E2627" t="s">
        <v>6060</v>
      </c>
      <c r="F2627" t="str">
        <f t="shared" ref="F2627:F2690" si="41">"""C:\Program Files\VideoLAN\VLC\vlc.exe"" """&amp;C2627&amp;""""</f>
        <v>"C:\Program Files\VideoLAN\VLC\vlc.exe" "http://s2.radio.co/s0dc6b5c9b/listen.m3u"</v>
      </c>
      <c r="M2627" t="e">
        <f>VLOOKUP(A2627,logos!$A$2:$A$10004,1,FALSE)</f>
        <v>#N/A</v>
      </c>
    </row>
    <row r="2628" spans="1:13" hidden="1" x14ac:dyDescent="0.55000000000000004">
      <c r="A2628" t="s">
        <v>1100</v>
      </c>
      <c r="B2628" t="s">
        <v>1663</v>
      </c>
      <c r="C2628" t="s">
        <v>5925</v>
      </c>
      <c r="E2628" t="s">
        <v>6060</v>
      </c>
      <c r="F2628" t="str">
        <f t="shared" si="41"/>
        <v>"C:\Program Files\VideoLAN\VLC\vlc.exe" "http://playoutonestreaming.com:8038/listen.pls?sid=1"</v>
      </c>
      <c r="M2628" t="e">
        <f>VLOOKUP(A2628,logos!$A$2:$A$10004,1,FALSE)</f>
        <v>#N/A</v>
      </c>
    </row>
    <row r="2629" spans="1:13" hidden="1" x14ac:dyDescent="0.55000000000000004">
      <c r="A2629" t="s">
        <v>1102</v>
      </c>
      <c r="B2629" t="s">
        <v>1662</v>
      </c>
      <c r="C2629" t="s">
        <v>5926</v>
      </c>
      <c r="E2629" t="s">
        <v>6060</v>
      </c>
      <c r="F2629" t="str">
        <f t="shared" si="41"/>
        <v>"C:\Program Files\VideoLAN\VLC\vlc.exe" "http://radio.canstream.co.uk:8024/live.mp3.m3u"</v>
      </c>
      <c r="M2629" t="e">
        <f>VLOOKUP(A2629,logos!$A$2:$A$10004,1,FALSE)</f>
        <v>#N/A</v>
      </c>
    </row>
    <row r="2630" spans="1:13" hidden="1" x14ac:dyDescent="0.55000000000000004">
      <c r="A2630" t="s">
        <v>1104</v>
      </c>
      <c r="B2630" t="s">
        <v>1692</v>
      </c>
      <c r="C2630" t="s">
        <v>5927</v>
      </c>
      <c r="E2630" t="s">
        <v>6060</v>
      </c>
      <c r="F2630" t="str">
        <f t="shared" si="41"/>
        <v>"C:\Program Files\VideoLAN\VLC\vlc.exe" "http://www.radiofeeds.net/playlists/bauer.pls?station=scala-mp3"</v>
      </c>
      <c r="M2630" t="str">
        <f>VLOOKUP(A2630,logos!$A$2:$A$10004,1,FALSE)</f>
        <v>Scala Radio</v>
      </c>
    </row>
    <row r="2631" spans="1:13" hidden="1" x14ac:dyDescent="0.55000000000000004">
      <c r="A2631" t="s">
        <v>1106</v>
      </c>
      <c r="B2631" t="s">
        <v>1663</v>
      </c>
      <c r="C2631" t="s">
        <v>5928</v>
      </c>
      <c r="E2631" t="s">
        <v>6060</v>
      </c>
      <c r="F2631" t="str">
        <f t="shared" si="41"/>
        <v>"C:\Program Files\VideoLAN\VLC\vlc.exe" "http://uksouth.streaming.broadcast.radio:16280/scratch.m3u"</v>
      </c>
      <c r="M2631" t="e">
        <f>VLOOKUP(A2631,logos!$A$2:$A$10004,1,FALSE)</f>
        <v>#N/A</v>
      </c>
    </row>
    <row r="2632" spans="1:13" hidden="1" x14ac:dyDescent="0.55000000000000004">
      <c r="A2632" t="s">
        <v>1108</v>
      </c>
      <c r="B2632" t="s">
        <v>1663</v>
      </c>
      <c r="C2632" t="s">
        <v>5929</v>
      </c>
      <c r="E2632" t="s">
        <v>6060</v>
      </c>
      <c r="F2632" t="str">
        <f t="shared" si="41"/>
        <v>"C:\Program Files\VideoLAN\VLC\vlc.exe" "http://s3.radio.co/sd4abfe69e/listen.m3u"</v>
      </c>
      <c r="M2632" t="e">
        <f>VLOOKUP(A2632,logos!$A$2:$A$10004,1,FALSE)</f>
        <v>#N/A</v>
      </c>
    </row>
    <row r="2633" spans="1:13" hidden="1" x14ac:dyDescent="0.55000000000000004">
      <c r="A2633" t="s">
        <v>1110</v>
      </c>
      <c r="B2633" t="s">
        <v>1663</v>
      </c>
      <c r="C2633" t="s">
        <v>5930</v>
      </c>
      <c r="E2633" t="s">
        <v>6060</v>
      </c>
      <c r="F2633" t="str">
        <f t="shared" si="41"/>
        <v>"C:\Program Files\VideoLAN\VLC\vlc.exe" "http://www.radiofeeds.net/playlists/SIBC128mp3.m3u"</v>
      </c>
      <c r="M2633" t="e">
        <f>VLOOKUP(A2633,logos!$A$2:$A$10004,1,FALSE)</f>
        <v>#N/A</v>
      </c>
    </row>
    <row r="2634" spans="1:13" hidden="1" x14ac:dyDescent="0.55000000000000004">
      <c r="A2634" t="s">
        <v>1110</v>
      </c>
      <c r="B2634" t="s">
        <v>1669</v>
      </c>
      <c r="C2634" t="s">
        <v>5931</v>
      </c>
      <c r="E2634" t="s">
        <v>6060</v>
      </c>
      <c r="F2634" t="str">
        <f t="shared" si="41"/>
        <v>"C:\Program Files\VideoLAN\VLC\vlc.exe" "http://www.radiofeeds.net/playlists/SIBC192mp3.m3u"</v>
      </c>
      <c r="M2634" t="e">
        <f>VLOOKUP(A2634,logos!$A$2:$A$10004,1,FALSE)</f>
        <v>#N/A</v>
      </c>
    </row>
    <row r="2635" spans="1:13" hidden="1" x14ac:dyDescent="0.55000000000000004">
      <c r="A2635" t="s">
        <v>1113</v>
      </c>
      <c r="B2635" t="s">
        <v>1692</v>
      </c>
      <c r="C2635" t="s">
        <v>5932</v>
      </c>
      <c r="E2635" t="s">
        <v>6060</v>
      </c>
      <c r="F2635" t="str">
        <f t="shared" si="41"/>
        <v>"C:\Program Files\VideoLAN\VLC\vlc.exe" "http://www.radiofeeds.net/playlists/bauer.pls?station=net1stoke-mp3"</v>
      </c>
      <c r="M2635" t="str">
        <f>VLOOKUP(A2635,logos!$A$2:$A$10004,1,FALSE)</f>
        <v>Signal 1</v>
      </c>
    </row>
    <row r="2636" spans="1:13" hidden="1" x14ac:dyDescent="0.55000000000000004">
      <c r="A2636" t="s">
        <v>1115</v>
      </c>
      <c r="B2636" t="s">
        <v>1662</v>
      </c>
      <c r="C2636" t="s">
        <v>5933</v>
      </c>
      <c r="E2636" t="s">
        <v>6060</v>
      </c>
      <c r="F2636" t="str">
        <f t="shared" si="41"/>
        <v>"C:\Program Files\VideoLAN\VLC\vlc.exe" "http://icy-e-01.sharp-stream.com/tcsilki.mp3.m3u"</v>
      </c>
      <c r="M2636" t="e">
        <f>VLOOKUP(A2636,logos!$A$2:$A$10004,1,FALSE)</f>
        <v>#N/A</v>
      </c>
    </row>
    <row r="2637" spans="1:13" hidden="1" x14ac:dyDescent="0.55000000000000004">
      <c r="A2637" t="s">
        <v>1115</v>
      </c>
      <c r="B2637" t="s">
        <v>1663</v>
      </c>
      <c r="C2637" t="s">
        <v>5934</v>
      </c>
      <c r="E2637" t="s">
        <v>6060</v>
      </c>
      <c r="F2637" t="str">
        <f t="shared" si="41"/>
        <v>"C:\Program Files\VideoLAN\VLC\vlc.exe" "http://icy-e-01.sharp-stream.com/tcsilk.mp3.m3u"</v>
      </c>
      <c r="M2637" t="e">
        <f>VLOOKUP(A2637,logos!$A$2:$A$10004,1,FALSE)</f>
        <v>#N/A</v>
      </c>
    </row>
    <row r="2638" spans="1:13" hidden="1" x14ac:dyDescent="0.55000000000000004">
      <c r="A2638" t="s">
        <v>1118</v>
      </c>
      <c r="B2638" t="s">
        <v>1662</v>
      </c>
      <c r="C2638" t="s">
        <v>5935</v>
      </c>
      <c r="E2638" t="s">
        <v>6060</v>
      </c>
      <c r="F2638" t="str">
        <f t="shared" si="41"/>
        <v>"C:\Program Files\VideoLAN\VLC\vlc.exe" "http://uk2-pn.mixstream.net:8036/listen.pls?sid=1"</v>
      </c>
      <c r="M2638" t="e">
        <f>VLOOKUP(A2638,logos!$A$2:$A$10004,1,FALSE)</f>
        <v>#N/A</v>
      </c>
    </row>
    <row r="2639" spans="1:13" hidden="1" x14ac:dyDescent="0.55000000000000004">
      <c r="A2639" t="s">
        <v>1120</v>
      </c>
      <c r="B2639" t="s">
        <v>1669</v>
      </c>
      <c r="C2639" t="s">
        <v>5936</v>
      </c>
      <c r="E2639" t="s">
        <v>6060</v>
      </c>
      <c r="F2639" t="str">
        <f t="shared" si="41"/>
        <v>"C:\Program Files\VideoLAN\VLC\vlc.exe" "http://icy-e-01.sharp-stream.com/slackcity.mp3.m3u"</v>
      </c>
      <c r="M2639" t="e">
        <f>VLOOKUP(A2639,logos!$A$2:$A$10004,1,FALSE)</f>
        <v>#N/A</v>
      </c>
    </row>
    <row r="2640" spans="1:13" hidden="1" x14ac:dyDescent="0.55000000000000004">
      <c r="A2640" t="s">
        <v>1122</v>
      </c>
      <c r="B2640" t="s">
        <v>1663</v>
      </c>
      <c r="C2640" t="s">
        <v>5937</v>
      </c>
      <c r="E2640" t="s">
        <v>6060</v>
      </c>
      <c r="F2640" t="str">
        <f t="shared" si="41"/>
        <v>"C:\Program Files\VideoLAN\VLC\vlc.exe" "http://icecast.thisisdax.com/SmoothChillMP3.m3u"</v>
      </c>
      <c r="M2640" t="str">
        <f>VLOOKUP(A2640,logos!$A$2:$A$10004,1,FALSE)</f>
        <v>Smooth Chill</v>
      </c>
    </row>
    <row r="2641" spans="1:13" hidden="1" x14ac:dyDescent="0.55000000000000004">
      <c r="A2641" t="s">
        <v>1125</v>
      </c>
      <c r="B2641" t="s">
        <v>1663</v>
      </c>
      <c r="C2641" t="s">
        <v>5938</v>
      </c>
      <c r="E2641" t="s">
        <v>6060</v>
      </c>
      <c r="F2641" t="str">
        <f t="shared" si="41"/>
        <v>"C:\Program Files\VideoLAN\VLC\vlc.exe" "http://icecast.thisisdax.com/SmoothCountryMP3.m3u"</v>
      </c>
      <c r="M2641" t="str">
        <f>VLOOKUP(A2641,logos!$A$2:$A$10004,1,FALSE)</f>
        <v>Smooth Country</v>
      </c>
    </row>
    <row r="2642" spans="1:13" hidden="1" x14ac:dyDescent="0.55000000000000004">
      <c r="A2642" t="s">
        <v>2803</v>
      </c>
      <c r="B2642" t="s">
        <v>1663</v>
      </c>
      <c r="C2642" t="s">
        <v>5939</v>
      </c>
      <c r="E2642" t="s">
        <v>6060</v>
      </c>
      <c r="F2642" t="str">
        <f t="shared" si="41"/>
        <v>"C:\Program Files\VideoLAN\VLC\vlc.exe" "http://icecast.thisisdax.com/SmoothBristolMP3.m3u"</v>
      </c>
      <c r="M2642" t="str">
        <f>VLOOKUP(A2642,logos!$A$2:$A$10004,1,FALSE)</f>
        <v>Smooth Radio (Bristol &amp; Bath)</v>
      </c>
    </row>
    <row r="2643" spans="1:13" hidden="1" x14ac:dyDescent="0.55000000000000004">
      <c r="A2643" t="s">
        <v>2804</v>
      </c>
      <c r="B2643" t="s">
        <v>1663</v>
      </c>
      <c r="C2643" t="s">
        <v>5940</v>
      </c>
      <c r="E2643" t="s">
        <v>6060</v>
      </c>
      <c r="F2643" t="str">
        <f t="shared" si="41"/>
        <v>"C:\Program Files\VideoLAN\VLC\vlc.exe" "http://icecast.thisisdax.com/SmoothDorsetMP3.m3u"</v>
      </c>
      <c r="M2643" t="str">
        <f>VLOOKUP(A2643,logos!$A$2:$A$10004,1,FALSE)</f>
        <v>Smooth Radio (Dorset)</v>
      </c>
    </row>
    <row r="2644" spans="1:13" hidden="1" x14ac:dyDescent="0.55000000000000004">
      <c r="A2644" t="s">
        <v>2805</v>
      </c>
      <c r="B2644" t="s">
        <v>1663</v>
      </c>
      <c r="C2644" t="s">
        <v>5941</v>
      </c>
      <c r="E2644" t="s">
        <v>6060</v>
      </c>
      <c r="F2644" t="str">
        <f t="shared" si="41"/>
        <v>"C:\Program Files\VideoLAN\VLC\vlc.exe" "http://icecast.thisisdax.com/SmoothDerbyMP3.m3u"</v>
      </c>
      <c r="M2644" t="str">
        <f>VLOOKUP(A2644,logos!$A$2:$A$10004,1,FALSE)</f>
        <v>Smooth Radio (East Midlands) (Derbyshire)</v>
      </c>
    </row>
    <row r="2645" spans="1:13" hidden="1" x14ac:dyDescent="0.55000000000000004">
      <c r="A2645" t="s">
        <v>2806</v>
      </c>
      <c r="B2645" t="s">
        <v>1663</v>
      </c>
      <c r="C2645" t="s">
        <v>5942</v>
      </c>
      <c r="E2645" t="s">
        <v>6060</v>
      </c>
      <c r="F2645" t="str">
        <f t="shared" si="41"/>
        <v>"C:\Program Files\VideoLAN\VLC\vlc.exe" "http://icecast.thisisdax.com/SmoothEastMidsMP3.m3u"</v>
      </c>
      <c r="M2645" t="str">
        <f>VLOOKUP(A2645,logos!$A$2:$A$10004,1,FALSE)</f>
        <v>Smooth Radio (East Midlands) (East Midlands)</v>
      </c>
    </row>
    <row r="2646" spans="1:13" hidden="1" x14ac:dyDescent="0.55000000000000004">
      <c r="A2646" t="s">
        <v>2807</v>
      </c>
      <c r="B2646" t="s">
        <v>1663</v>
      </c>
      <c r="C2646" t="s">
        <v>5943</v>
      </c>
      <c r="E2646" t="s">
        <v>6060</v>
      </c>
      <c r="F2646" t="str">
        <f t="shared" si="41"/>
        <v>"C:\Program Files\VideoLAN\VLC\vlc.exe" "http://icecast.thisisdax.com/SmoothNorthantsMP3.m3u"</v>
      </c>
      <c r="M2646" t="str">
        <f>VLOOKUP(A2646,logos!$A$2:$A$10004,1,FALSE)</f>
        <v>Smooth Radio (East Midlands) (Northamptonshire &amp; Peterborough)</v>
      </c>
    </row>
    <row r="2647" spans="1:13" hidden="1" x14ac:dyDescent="0.55000000000000004">
      <c r="A2647" t="s">
        <v>2808</v>
      </c>
      <c r="B2647" t="s">
        <v>1663</v>
      </c>
      <c r="C2647" t="s">
        <v>5944</v>
      </c>
      <c r="E2647" t="s">
        <v>6060</v>
      </c>
      <c r="F2647" t="str">
        <f t="shared" si="41"/>
        <v>"C:\Program Files\VideoLAN\VLC\vlc.exe" "http://icecast.thisisdax.com/SmoothEssexMP3.m3u"</v>
      </c>
      <c r="M2647" t="str">
        <f>VLOOKUP(A2647,logos!$A$2:$A$10004,1,FALSE)</f>
        <v>Smooth Radio (Essex)</v>
      </c>
    </row>
    <row r="2648" spans="1:13" hidden="1" x14ac:dyDescent="0.55000000000000004">
      <c r="A2648" t="s">
        <v>2809</v>
      </c>
      <c r="B2648" t="s">
        <v>1663</v>
      </c>
      <c r="C2648" t="s">
        <v>5945</v>
      </c>
      <c r="E2648" t="s">
        <v>6060</v>
      </c>
      <c r="F2648" t="str">
        <f t="shared" si="41"/>
        <v>"C:\Program Files\VideoLAN\VLC\vlc.exe" "http://icecast.thisisdax.com/SmoothGloucesterMP3.m3u"</v>
      </c>
      <c r="M2648" t="str">
        <f>VLOOKUP(A2648,logos!$A$2:$A$10004,1,FALSE)</f>
        <v>Smooth Radio (Gloucestershire)</v>
      </c>
    </row>
    <row r="2649" spans="1:13" hidden="1" x14ac:dyDescent="0.55000000000000004">
      <c r="A2649" t="s">
        <v>2810</v>
      </c>
      <c r="B2649" t="s">
        <v>1663</v>
      </c>
      <c r="C2649" t="s">
        <v>5946</v>
      </c>
      <c r="E2649" t="s">
        <v>6060</v>
      </c>
      <c r="F2649" t="str">
        <f t="shared" si="41"/>
        <v>"C:\Program Files\VideoLAN\VLC\vlc.exe" "http://icecast.thisisdax.com/SmoothHampshireMP3.m3u"</v>
      </c>
      <c r="M2649" t="str">
        <f>VLOOKUP(A2649,logos!$A$2:$A$10004,1,FALSE)</f>
        <v>Smooth Radio (Hampshire &amp; West Sussex)</v>
      </c>
    </row>
    <row r="2650" spans="1:13" hidden="1" x14ac:dyDescent="0.55000000000000004">
      <c r="A2650" t="s">
        <v>2811</v>
      </c>
      <c r="B2650" t="s">
        <v>1663</v>
      </c>
      <c r="C2650" t="s">
        <v>5947</v>
      </c>
      <c r="E2650" t="s">
        <v>6060</v>
      </c>
      <c r="F2650" t="str">
        <f t="shared" si="41"/>
        <v>"C:\Program Files\VideoLAN\VLC\vlc.exe" "http://icecast.thisisdax.com/SmoothHertsMP3.m3u"</v>
      </c>
      <c r="M2650" t="str">
        <f>VLOOKUP(A2650,logos!$A$2:$A$10004,1,FALSE)</f>
        <v>Smooth Radio (Herts, Beds &amp; Bucks)</v>
      </c>
    </row>
    <row r="2651" spans="1:13" hidden="1" x14ac:dyDescent="0.55000000000000004">
      <c r="A2651" t="s">
        <v>2812</v>
      </c>
      <c r="B2651" t="s">
        <v>1663</v>
      </c>
      <c r="C2651" t="s">
        <v>5948</v>
      </c>
      <c r="E2651" t="s">
        <v>6060</v>
      </c>
      <c r="F2651" t="str">
        <f t="shared" si="41"/>
        <v>"C:\Program Files\VideoLAN\VLC\vlc.exe" "http://icecast.thisisdax.com/SmoothKentMP3.m3u"</v>
      </c>
      <c r="M2651" t="str">
        <f>VLOOKUP(A2651,logos!$A$2:$A$10004,1,FALSE)</f>
        <v>Smooth Radio (Kent)</v>
      </c>
    </row>
    <row r="2652" spans="1:13" x14ac:dyDescent="0.55000000000000004">
      <c r="A2652" t="s">
        <v>2813</v>
      </c>
      <c r="B2652" t="s">
        <v>1663</v>
      </c>
      <c r="C2652" t="s">
        <v>5949</v>
      </c>
      <c r="E2652" t="s">
        <v>6060</v>
      </c>
      <c r="F2652" t="str">
        <f t="shared" si="41"/>
        <v>"C:\Program Files\VideoLAN\VLC\vlc.exe" "http://icecast.thisisdax.com/SmoothLakeDistrictMP3.m3u"</v>
      </c>
      <c r="M2652" t="str">
        <f>VLOOKUP(A2652,logos!$A$2:$A$10004,1,FALSE)</f>
        <v>Smooth Radio (Lake District)</v>
      </c>
    </row>
    <row r="2653" spans="1:13" hidden="1" x14ac:dyDescent="0.55000000000000004">
      <c r="A2653" t="s">
        <v>2814</v>
      </c>
      <c r="B2653" t="s">
        <v>1663</v>
      </c>
      <c r="C2653" t="s">
        <v>5950</v>
      </c>
      <c r="E2653" t="s">
        <v>6060</v>
      </c>
      <c r="F2653" t="str">
        <f t="shared" si="41"/>
        <v>"C:\Program Files\VideoLAN\VLC\vlc.exe" "http://icecast.thisisdax.com/SmoothLondonMP3.m3u"</v>
      </c>
      <c r="M2653" t="str">
        <f>VLOOKUP(A2653,logos!$A$2:$A$10004,1,FALSE)</f>
        <v>Smooth Radio (London)</v>
      </c>
    </row>
    <row r="2654" spans="1:13" hidden="1" x14ac:dyDescent="0.55000000000000004">
      <c r="A2654" t="s">
        <v>2815</v>
      </c>
      <c r="B2654" t="s">
        <v>1663</v>
      </c>
      <c r="C2654" t="s">
        <v>5951</v>
      </c>
      <c r="E2654" t="s">
        <v>6060</v>
      </c>
      <c r="F2654" t="str">
        <f t="shared" si="41"/>
        <v>"C:\Program Files\VideoLAN\VLC\vlc.exe" "http://icecast.thisisdax.com/SmoothNorfolkMP3.m3u"</v>
      </c>
      <c r="M2654" t="str">
        <f>VLOOKUP(A2654,logos!$A$2:$A$10004,1,FALSE)</f>
        <v>Smooth Radio (Norfolk &amp; North Suffolk)</v>
      </c>
    </row>
    <row r="2655" spans="1:13" hidden="1" x14ac:dyDescent="0.55000000000000004">
      <c r="A2655" t="s">
        <v>2816</v>
      </c>
      <c r="B2655" t="s">
        <v>1663</v>
      </c>
      <c r="C2655" t="s">
        <v>5952</v>
      </c>
      <c r="E2655" t="s">
        <v>6060</v>
      </c>
      <c r="F2655" t="str">
        <f t="shared" si="41"/>
        <v>"C:\Program Files\VideoLAN\VLC\vlc.exe" "http://icecast.thisisdax.com/SmoothNorthEastSMP3.m3u"</v>
      </c>
      <c r="M2655" t="str">
        <f>VLOOKUP(A2655,logos!$A$2:$A$10004,1,FALSE)</f>
        <v>Smooth Radio (North East England) (Teesside)</v>
      </c>
    </row>
    <row r="2656" spans="1:13" hidden="1" x14ac:dyDescent="0.55000000000000004">
      <c r="A2656" t="s">
        <v>2817</v>
      </c>
      <c r="B2656" t="s">
        <v>1663</v>
      </c>
      <c r="C2656" t="s">
        <v>5953</v>
      </c>
      <c r="E2656" t="s">
        <v>6060</v>
      </c>
      <c r="F2656" t="str">
        <f t="shared" si="41"/>
        <v>"C:\Program Files\VideoLAN\VLC\vlc.exe" "http://icecast.thisisdax.com/SmoothNorthEastNMP3.m3u"</v>
      </c>
      <c r="M2656" t="str">
        <f>VLOOKUP(A2656,logos!$A$2:$A$10004,1,FALSE)</f>
        <v>Smooth Radio (North East England) (Tyne &amp; Wear)</v>
      </c>
    </row>
    <row r="2657" spans="1:13" hidden="1" x14ac:dyDescent="0.55000000000000004">
      <c r="A2657" t="s">
        <v>2818</v>
      </c>
      <c r="B2657" t="s">
        <v>1663</v>
      </c>
      <c r="C2657" t="s">
        <v>5954</v>
      </c>
      <c r="E2657" t="s">
        <v>6060</v>
      </c>
      <c r="F2657" t="str">
        <f t="shared" si="41"/>
        <v>"C:\Program Files\VideoLAN\VLC\vlc.exe" "http://icecast.thisisdax.com/SmoothNorthWalesMP3.m3u"</v>
      </c>
      <c r="M2657" t="str">
        <f>VLOOKUP(A2657,logos!$A$2:$A$10004,1,FALSE)</f>
        <v>Smooth Radio (North Wales &amp; Cheshire)</v>
      </c>
    </row>
    <row r="2658" spans="1:13" hidden="1" x14ac:dyDescent="0.55000000000000004">
      <c r="A2658" t="s">
        <v>2819</v>
      </c>
      <c r="B2658" t="s">
        <v>1663</v>
      </c>
      <c r="C2658" t="s">
        <v>5955</v>
      </c>
      <c r="E2658" t="s">
        <v>6060</v>
      </c>
      <c r="F2658" t="str">
        <f t="shared" si="41"/>
        <v>"C:\Program Files\VideoLAN\VLC\vlc.exe" "http://icecast.thisisdax.com/SmoothNorthWestMP3.m3u"</v>
      </c>
      <c r="M2658" t="str">
        <f>VLOOKUP(A2658,logos!$A$2:$A$10004,1,FALSE)</f>
        <v>Smooth Radio (North West England)</v>
      </c>
    </row>
    <row r="2659" spans="1:13" hidden="1" x14ac:dyDescent="0.55000000000000004">
      <c r="A2659" t="s">
        <v>2820</v>
      </c>
      <c r="B2659" t="s">
        <v>1663</v>
      </c>
      <c r="C2659" t="s">
        <v>5956</v>
      </c>
      <c r="E2659" t="s">
        <v>6060</v>
      </c>
      <c r="F2659" t="str">
        <f t="shared" si="41"/>
        <v>"C:\Program Files\VideoLAN\VLC\vlc.exe" "http://icecast.thisisdax.com/SmoothPlymouthMP3.m3u"</v>
      </c>
      <c r="M2659" t="str">
        <f>VLOOKUP(A2659,logos!$A$2:$A$10004,1,FALSE)</f>
        <v>Smooth Radio (Plymouth)</v>
      </c>
    </row>
    <row r="2660" spans="1:13" hidden="1" x14ac:dyDescent="0.55000000000000004">
      <c r="A2660" t="s">
        <v>2821</v>
      </c>
      <c r="B2660" t="s">
        <v>1663</v>
      </c>
      <c r="C2660" t="s">
        <v>5957</v>
      </c>
      <c r="E2660" t="s">
        <v>6060</v>
      </c>
      <c r="F2660" t="str">
        <f t="shared" si="41"/>
        <v>"C:\Program Files\VideoLAN\VLC\vlc.exe" "http://icecast.thisisdax.com/SmoothScotlandMP3.m3u"</v>
      </c>
      <c r="M2660" t="str">
        <f>VLOOKUP(A2660,logos!$A$2:$A$10004,1,FALSE)</f>
        <v>Smooth Radio (Scotland)</v>
      </c>
    </row>
    <row r="2661" spans="1:13" hidden="1" x14ac:dyDescent="0.55000000000000004">
      <c r="A2661" t="s">
        <v>2822</v>
      </c>
      <c r="B2661" t="s">
        <v>1663</v>
      </c>
      <c r="C2661" t="s">
        <v>5958</v>
      </c>
      <c r="E2661" t="s">
        <v>6060</v>
      </c>
      <c r="F2661" t="str">
        <f t="shared" si="41"/>
        <v>"C:\Program Files\VideoLAN\VLC\vlc.exe" "http://icecast.thisisdax.com/SmoothSouthWalesMP3.m3u"</v>
      </c>
      <c r="M2661" t="str">
        <f>VLOOKUP(A2661,logos!$A$2:$A$10004,1,FALSE)</f>
        <v>Smooth Radio (South Wales)</v>
      </c>
    </row>
    <row r="2662" spans="1:13" hidden="1" x14ac:dyDescent="0.55000000000000004">
      <c r="A2662" t="s">
        <v>2823</v>
      </c>
      <c r="B2662" t="s">
        <v>1663</v>
      </c>
      <c r="C2662" t="s">
        <v>5959</v>
      </c>
      <c r="E2662" t="s">
        <v>6060</v>
      </c>
      <c r="F2662" t="str">
        <f t="shared" si="41"/>
        <v>"C:\Program Files\VideoLAN\VLC\vlc.exe" "http://icecast.thisisdax.com/SmoothSuffolkMP3.m3u"</v>
      </c>
      <c r="M2662" t="str">
        <f>VLOOKUP(A2662,logos!$A$2:$A$10004,1,FALSE)</f>
        <v>Smooth Radio (Suffolk)</v>
      </c>
    </row>
    <row r="2663" spans="1:13" hidden="1" x14ac:dyDescent="0.55000000000000004">
      <c r="A2663" t="s">
        <v>2824</v>
      </c>
      <c r="B2663" t="s">
        <v>1663</v>
      </c>
      <c r="C2663" t="s">
        <v>5960</v>
      </c>
      <c r="E2663" t="s">
        <v>6060</v>
      </c>
      <c r="F2663" t="str">
        <f t="shared" si="41"/>
        <v>"C:\Program Files\VideoLAN\VLC\vlc.exe" "http://icecast.thisisdax.com/SmoothSussexMP3.m3u"</v>
      </c>
      <c r="M2663" t="str">
        <f>VLOOKUP(A2663,logos!$A$2:$A$10004,1,FALSE)</f>
        <v>Smooth Radio (Sussex)</v>
      </c>
    </row>
    <row r="2664" spans="1:13" hidden="1" x14ac:dyDescent="0.55000000000000004">
      <c r="A2664" t="s">
        <v>2825</v>
      </c>
      <c r="B2664" t="s">
        <v>1663</v>
      </c>
      <c r="C2664" t="s">
        <v>5961</v>
      </c>
      <c r="E2664" t="s">
        <v>6060</v>
      </c>
      <c r="F2664" t="str">
        <f t="shared" si="41"/>
        <v>"C:\Program Files\VideoLAN\VLC\vlc.exe" "http://icecast.thisisdax.com/SmoothBerkshireMP3.m3u"</v>
      </c>
      <c r="M2664" t="str">
        <f>VLOOKUP(A2664,logos!$A$2:$A$10004,1,FALSE)</f>
        <v>Smooth Radio (Thames Valley)</v>
      </c>
    </row>
    <row r="2665" spans="1:13" hidden="1" x14ac:dyDescent="0.55000000000000004">
      <c r="A2665" t="s">
        <v>2826</v>
      </c>
      <c r="B2665" t="s">
        <v>1663</v>
      </c>
      <c r="C2665" t="s">
        <v>5962</v>
      </c>
      <c r="E2665" t="s">
        <v>6060</v>
      </c>
      <c r="F2665" t="str">
        <f t="shared" si="41"/>
        <v>"C:\Program Files\VideoLAN\VLC\vlc.exe" "http://icecast.thisisdax.com/SmoothUKMP3.m3u"</v>
      </c>
      <c r="M2665" t="str">
        <f>VLOOKUP(A2665,logos!$A$2:$A$10004,1,FALSE)</f>
        <v>Smooth Radio (UK)</v>
      </c>
    </row>
    <row r="2666" spans="1:13" hidden="1" x14ac:dyDescent="0.55000000000000004">
      <c r="A2666" t="s">
        <v>2827</v>
      </c>
      <c r="B2666" t="s">
        <v>1663</v>
      </c>
      <c r="C2666" t="s">
        <v>5963</v>
      </c>
      <c r="E2666" t="s">
        <v>6060</v>
      </c>
      <c r="F2666" t="str">
        <f t="shared" si="41"/>
        <v>"C:\Program Files\VideoLAN\VLC\vlc.exe" "http://icecast.thisisdax.com/SmoothWestMidsMP3.m3u"</v>
      </c>
      <c r="M2666" t="str">
        <f>VLOOKUP(A2666,logos!$A$2:$A$10004,1,FALSE)</f>
        <v>Smooth Radio (West Midlands)</v>
      </c>
    </row>
    <row r="2667" spans="1:13" hidden="1" x14ac:dyDescent="0.55000000000000004">
      <c r="A2667" t="s">
        <v>2828</v>
      </c>
      <c r="B2667" t="s">
        <v>1663</v>
      </c>
      <c r="C2667" t="s">
        <v>5964</v>
      </c>
      <c r="E2667" t="s">
        <v>6060</v>
      </c>
      <c r="F2667" t="str">
        <f t="shared" si="41"/>
        <v>"C:\Program Files\VideoLAN\VLC\vlc.exe" "http://icecast.thisisdax.com/SmoothWiltshireMP3.m3u"</v>
      </c>
      <c r="M2667" t="str">
        <f>VLOOKUP(A2667,logos!$A$2:$A$10004,1,FALSE)</f>
        <v>Smooth Radio (Wiltshire)</v>
      </c>
    </row>
    <row r="2668" spans="1:13" hidden="1" x14ac:dyDescent="0.55000000000000004">
      <c r="A2668" t="s">
        <v>2895</v>
      </c>
      <c r="B2668" t="s">
        <v>1663</v>
      </c>
      <c r="C2668" t="s">
        <v>5965</v>
      </c>
      <c r="E2668" t="s">
        <v>6060</v>
      </c>
      <c r="F2668" t="str">
        <f t="shared" si="41"/>
        <v>"C:\Program Files\VideoLAN\VLC\vlc.exe" "http://playoutonestreaming.com:8175/listen.pls?sid=1"</v>
      </c>
      <c r="M2668" t="e">
        <f>VLOOKUP(A2668,logos!$A$2:$A$10004,1,FALSE)</f>
        <v>#N/A</v>
      </c>
    </row>
    <row r="2669" spans="1:13" hidden="1" x14ac:dyDescent="0.55000000000000004">
      <c r="A2669" t="s">
        <v>1181</v>
      </c>
      <c r="B2669" t="s">
        <v>1663</v>
      </c>
      <c r="C2669" t="s">
        <v>5966</v>
      </c>
      <c r="E2669" t="s">
        <v>6060</v>
      </c>
      <c r="F2669" t="str">
        <f t="shared" si="41"/>
        <v>"C:\Program Files\VideoLAN\VLC\vlc.exe" "http://svr1.msmn2.co:8324/listen.pls?sid=1"</v>
      </c>
      <c r="M2669" t="e">
        <f>VLOOKUP(A2669,logos!$A$2:$A$10004,1,FALSE)</f>
        <v>#N/A</v>
      </c>
    </row>
    <row r="2670" spans="1:13" hidden="1" x14ac:dyDescent="0.55000000000000004">
      <c r="A2670" t="s">
        <v>1181</v>
      </c>
      <c r="B2670" t="s">
        <v>1669</v>
      </c>
      <c r="C2670" t="s">
        <v>5967</v>
      </c>
      <c r="E2670" t="s">
        <v>6060</v>
      </c>
      <c r="F2670" t="str">
        <f t="shared" si="41"/>
        <v>"C:\Program Files\VideoLAN\VLC\vlc.exe" "http://82.163.73.123:8330/listen.pls?sid=1"</v>
      </c>
      <c r="M2670" t="e">
        <f>VLOOKUP(A2670,logos!$A$2:$A$10004,1,FALSE)</f>
        <v>#N/A</v>
      </c>
    </row>
    <row r="2671" spans="1:13" hidden="1" x14ac:dyDescent="0.55000000000000004">
      <c r="A2671" t="s">
        <v>1181</v>
      </c>
      <c r="B2671" t="s">
        <v>1666</v>
      </c>
      <c r="C2671" t="s">
        <v>5968</v>
      </c>
      <c r="E2671" t="s">
        <v>6060</v>
      </c>
      <c r="F2671" t="str">
        <f t="shared" si="41"/>
        <v>"C:\Program Files\VideoLAN\VLC\vlc.exe" "http://88.202.230.61:8330/listen.pls?sid=1"</v>
      </c>
      <c r="M2671" t="e">
        <f>VLOOKUP(A2671,logos!$A$2:$A$10004,1,FALSE)</f>
        <v>#N/A</v>
      </c>
    </row>
    <row r="2672" spans="1:13" hidden="1" x14ac:dyDescent="0.55000000000000004">
      <c r="A2672" t="s">
        <v>1185</v>
      </c>
      <c r="B2672" t="s">
        <v>1663</v>
      </c>
      <c r="C2672" t="s">
        <v>5969</v>
      </c>
      <c r="E2672" t="s">
        <v>6060</v>
      </c>
      <c r="F2672" t="str">
        <f t="shared" si="41"/>
        <v>"C:\Program Files\VideoLAN\VLC\vlc.exe" "http://stream.rcs.revma.com/e7c2n0nc508uv.m3u"</v>
      </c>
      <c r="M2672" t="str">
        <f>VLOOKUP(A2672,logos!$A$2:$A$10004,1,FALSE)</f>
        <v>Soleil Radio</v>
      </c>
    </row>
    <row r="2673" spans="1:13" hidden="1" x14ac:dyDescent="0.55000000000000004">
      <c r="A2673" t="s">
        <v>1185</v>
      </c>
      <c r="B2673" t="s">
        <v>1670</v>
      </c>
      <c r="C2673" t="s">
        <v>5970</v>
      </c>
      <c r="E2673" t="s">
        <v>6060</v>
      </c>
      <c r="F2673" t="str">
        <f t="shared" si="41"/>
        <v>"C:\Program Files\VideoLAN\VLC\vlc.exe" "http://stream.rcs.revma.com/sa3ccwa9yy8uv.m3u"</v>
      </c>
      <c r="M2673" t="str">
        <f>VLOOKUP(A2673,logos!$A$2:$A$10004,1,FALSE)</f>
        <v>Soleil Radio</v>
      </c>
    </row>
    <row r="2674" spans="1:13" hidden="1" x14ac:dyDescent="0.55000000000000004">
      <c r="A2674" t="s">
        <v>1188</v>
      </c>
      <c r="B2674" t="s">
        <v>1668</v>
      </c>
      <c r="C2674" t="s">
        <v>5971</v>
      </c>
      <c r="E2674" t="s">
        <v>6060</v>
      </c>
      <c r="F2674" t="str">
        <f t="shared" si="41"/>
        <v>"C:\Program Files\VideoLAN\VLC\vlc.exe" "http://centova.solidradio.co.uk:8000/listen.pls?sid=4"</v>
      </c>
      <c r="M2674" t="e">
        <f>VLOOKUP(A2674,logos!$A$2:$A$10004,1,FALSE)</f>
        <v>#N/A</v>
      </c>
    </row>
    <row r="2675" spans="1:13" hidden="1" x14ac:dyDescent="0.55000000000000004">
      <c r="A2675" t="s">
        <v>1188</v>
      </c>
      <c r="B2675" t="s">
        <v>1666</v>
      </c>
      <c r="C2675" t="s">
        <v>5972</v>
      </c>
      <c r="E2675" t="s">
        <v>6060</v>
      </c>
      <c r="F2675" t="str">
        <f t="shared" si="41"/>
        <v>"C:\Program Files\VideoLAN\VLC\vlc.exe" "http://centova.solidradio.co.uk:8000/listen.pls?sid=3"</v>
      </c>
      <c r="M2675" t="e">
        <f>VLOOKUP(A2675,logos!$A$2:$A$10004,1,FALSE)</f>
        <v>#N/A</v>
      </c>
    </row>
    <row r="2676" spans="1:13" hidden="1" x14ac:dyDescent="0.55000000000000004">
      <c r="A2676" t="s">
        <v>1191</v>
      </c>
      <c r="B2676" t="s">
        <v>1663</v>
      </c>
      <c r="C2676" t="s">
        <v>5973</v>
      </c>
      <c r="E2676" t="s">
        <v>6060</v>
      </c>
      <c r="F2676" t="str">
        <f t="shared" si="41"/>
        <v>"C:\Program Files\VideoLAN\VLC\vlc.exe" "http://icy-e-01.sharp-stream.com/spectrum4.mp3.m3u"</v>
      </c>
      <c r="M2676" t="e">
        <f>VLOOKUP(A2676,logos!$A$2:$A$10004,1,FALSE)</f>
        <v>#N/A</v>
      </c>
    </row>
    <row r="2677" spans="1:13" hidden="1" x14ac:dyDescent="0.55000000000000004">
      <c r="A2677" t="s">
        <v>1193</v>
      </c>
      <c r="B2677" t="s">
        <v>1663</v>
      </c>
      <c r="C2677" t="s">
        <v>5974</v>
      </c>
      <c r="E2677" t="s">
        <v>6060</v>
      </c>
      <c r="F2677" t="str">
        <f t="shared" si="41"/>
        <v>"C:\Program Files\VideoLAN\VLC\vlc.exe" "http://s3.radio.co/s59218e461/listen.m3u"</v>
      </c>
      <c r="M2677" t="e">
        <f>VLOOKUP(A2677,logos!$A$2:$A$10004,1,FALSE)</f>
        <v>#N/A</v>
      </c>
    </row>
    <row r="2678" spans="1:13" hidden="1" x14ac:dyDescent="0.55000000000000004">
      <c r="A2678" t="s">
        <v>2829</v>
      </c>
      <c r="B2678" t="s">
        <v>1663</v>
      </c>
      <c r="C2678" t="s">
        <v>5975</v>
      </c>
      <c r="E2678" t="s">
        <v>6060</v>
      </c>
      <c r="F2678" t="str">
        <f t="shared" si="41"/>
        <v>"C:\Program Files\VideoLAN\VLC\vlc.exe" "http://stream.rcs.revma.com/4bxr9kkgewzuv.m3u"</v>
      </c>
      <c r="M2678" t="e">
        <f>VLOOKUP(A2678,logos!$A$2:$A$10004,1,FALSE)</f>
        <v>#N/A</v>
      </c>
    </row>
    <row r="2679" spans="1:13" hidden="1" x14ac:dyDescent="0.55000000000000004">
      <c r="A2679" t="s">
        <v>2829</v>
      </c>
      <c r="B2679" t="s">
        <v>1689</v>
      </c>
      <c r="C2679" t="s">
        <v>5976</v>
      </c>
      <c r="E2679" t="s">
        <v>6060</v>
      </c>
      <c r="F2679" t="str">
        <f t="shared" si="41"/>
        <v>"C:\Program Files\VideoLAN\VLC\vlc.exe" "http://stream.rcs.revma.com/8rud7kqkdwzuv.m3u"</v>
      </c>
      <c r="M2679" t="e">
        <f>VLOOKUP(A2679,logos!$A$2:$A$10004,1,FALSE)</f>
        <v>#N/A</v>
      </c>
    </row>
    <row r="2680" spans="1:13" hidden="1" x14ac:dyDescent="0.55000000000000004">
      <c r="A2680" t="s">
        <v>2829</v>
      </c>
      <c r="B2680" t="s">
        <v>1666</v>
      </c>
      <c r="C2680" t="s">
        <v>5977</v>
      </c>
      <c r="E2680" t="s">
        <v>6060</v>
      </c>
      <c r="F2680" t="str">
        <f t="shared" si="41"/>
        <v>"C:\Program Files\VideoLAN\VLC\vlc.exe" "http://stream.rcs.revma.com/hyyz8327ptzuv.m3u"</v>
      </c>
      <c r="M2680" t="e">
        <f>VLOOKUP(A2680,logos!$A$2:$A$10004,1,FALSE)</f>
        <v>#N/A</v>
      </c>
    </row>
    <row r="2681" spans="1:13" hidden="1" x14ac:dyDescent="0.55000000000000004">
      <c r="A2681" t="s">
        <v>1199</v>
      </c>
      <c r="B2681" t="s">
        <v>1664</v>
      </c>
      <c r="C2681" t="s">
        <v>5978</v>
      </c>
      <c r="E2681" t="s">
        <v>6060</v>
      </c>
      <c r="F2681" t="str">
        <f t="shared" si="41"/>
        <v>"C:\Program Files\VideoLAN\VLC\vlc.exe" "http://stream2.hippynet.co.uk:8086/stream.mp3.m3u"</v>
      </c>
      <c r="M2681" t="e">
        <f>VLOOKUP(A2681,logos!$A$2:$A$10004,1,FALSE)</f>
        <v>#N/A</v>
      </c>
    </row>
    <row r="2682" spans="1:13" hidden="1" x14ac:dyDescent="0.55000000000000004">
      <c r="A2682" t="s">
        <v>1199</v>
      </c>
      <c r="B2682" t="s">
        <v>1669</v>
      </c>
      <c r="C2682" t="s">
        <v>5979</v>
      </c>
      <c r="E2682" t="s">
        <v>6060</v>
      </c>
      <c r="F2682" t="str">
        <f t="shared" si="41"/>
        <v>"C:\Program Files\VideoLAN\VLC\vlc.exe" "http://stream2.hippynet.co.uk:8084/stream.mp3.m3u"</v>
      </c>
      <c r="M2682" t="e">
        <f>VLOOKUP(A2682,logos!$A$2:$A$10004,1,FALSE)</f>
        <v>#N/A</v>
      </c>
    </row>
    <row r="2683" spans="1:13" hidden="1" x14ac:dyDescent="0.55000000000000004">
      <c r="A2683" t="s">
        <v>1202</v>
      </c>
      <c r="B2683" t="s">
        <v>1663</v>
      </c>
      <c r="C2683" t="s">
        <v>5980</v>
      </c>
      <c r="E2683" t="s">
        <v>6060</v>
      </c>
      <c r="F2683" t="str">
        <f t="shared" si="41"/>
        <v>"C:\Program Files\VideoLAN\VLC\vlc.exe" "http://www.radiofeeds.net/playlists/steel.m3u"</v>
      </c>
      <c r="M2683" t="e">
        <f>VLOOKUP(A2683,logos!$A$2:$A$10004,1,FALSE)</f>
        <v>#N/A</v>
      </c>
    </row>
    <row r="2684" spans="1:13" hidden="1" x14ac:dyDescent="0.55000000000000004">
      <c r="A2684" t="s">
        <v>1204</v>
      </c>
      <c r="B2684" t="s">
        <v>1663</v>
      </c>
      <c r="C2684" t="s">
        <v>5981</v>
      </c>
      <c r="E2684" t="s">
        <v>6060</v>
      </c>
      <c r="F2684" t="str">
        <f t="shared" si="41"/>
        <v>"C:\Program Files\VideoLAN\VLC\vlc.exe" "http://playoutonestreaming.com:8070/listen.pls?sid=1"</v>
      </c>
      <c r="M2684" t="e">
        <f>VLOOKUP(A2684,logos!$A$2:$A$10004,1,FALSE)</f>
        <v>#N/A</v>
      </c>
    </row>
    <row r="2685" spans="1:13" hidden="1" x14ac:dyDescent="0.55000000000000004">
      <c r="A2685" t="s">
        <v>1206</v>
      </c>
      <c r="B2685" t="s">
        <v>1662</v>
      </c>
      <c r="C2685" t="s">
        <v>5982</v>
      </c>
      <c r="E2685" t="s">
        <v>6060</v>
      </c>
      <c r="F2685" t="str">
        <f t="shared" si="41"/>
        <v>"C:\Program Files\VideoLAN\VLC\vlc.exe" "http://streaming.broadcastradio.com:10520/streetsdaac.m3u"</v>
      </c>
      <c r="M2685" t="e">
        <f>VLOOKUP(A2685,logos!$A$2:$A$10004,1,FALSE)</f>
        <v>#N/A</v>
      </c>
    </row>
    <row r="2686" spans="1:13" hidden="1" x14ac:dyDescent="0.55000000000000004">
      <c r="A2686" t="s">
        <v>1206</v>
      </c>
      <c r="B2686" t="s">
        <v>1663</v>
      </c>
      <c r="C2686" t="s">
        <v>5983</v>
      </c>
      <c r="E2686" t="s">
        <v>6060</v>
      </c>
      <c r="F2686" t="str">
        <f t="shared" si="41"/>
        <v>"C:\Program Files\VideoLAN\VLC\vlc.exe" "http://streaming.broadcastradio.com:10520/streetsd.m3u"</v>
      </c>
      <c r="M2686" t="e">
        <f>VLOOKUP(A2686,logos!$A$2:$A$10004,1,FALSE)</f>
        <v>#N/A</v>
      </c>
    </row>
    <row r="2687" spans="1:13" hidden="1" x14ac:dyDescent="0.55000000000000004">
      <c r="A2687" t="s">
        <v>1209</v>
      </c>
      <c r="B2687" t="s">
        <v>1663</v>
      </c>
      <c r="C2687" t="s">
        <v>5984</v>
      </c>
      <c r="E2687" t="s">
        <v>6060</v>
      </c>
      <c r="F2687" t="str">
        <f t="shared" si="41"/>
        <v>"C:\Program Files\VideoLAN\VLC\vlc.exe" "http://styleradio.radioca.st:8405/listen.pls?sid=1"</v>
      </c>
      <c r="M2687" t="e">
        <f>VLOOKUP(A2687,logos!$A$2:$A$10004,1,FALSE)</f>
        <v>#N/A</v>
      </c>
    </row>
    <row r="2688" spans="1:13" hidden="1" x14ac:dyDescent="0.55000000000000004">
      <c r="A2688" t="s">
        <v>1211</v>
      </c>
      <c r="B2688" t="s">
        <v>1663</v>
      </c>
      <c r="C2688" t="s">
        <v>5985</v>
      </c>
      <c r="E2688" t="s">
        <v>6060</v>
      </c>
      <c r="F2688" t="str">
        <f t="shared" si="41"/>
        <v>"C:\Program Files\VideoLAN\VLC\vlc.exe" "http://icy-e-01.sharp-stream.com/sukhsagar.mp3.m3u"</v>
      </c>
      <c r="M2688" t="e">
        <f>VLOOKUP(A2688,logos!$A$2:$A$10004,1,FALSE)</f>
        <v>#N/A</v>
      </c>
    </row>
    <row r="2689" spans="1:13" hidden="1" x14ac:dyDescent="0.55000000000000004">
      <c r="A2689" t="s">
        <v>1213</v>
      </c>
      <c r="B2689" t="s">
        <v>1663</v>
      </c>
      <c r="C2689" t="s">
        <v>5986</v>
      </c>
      <c r="E2689" t="s">
        <v>6060</v>
      </c>
      <c r="F2689" t="str">
        <f t="shared" si="41"/>
        <v>"C:\Program Files\VideoLAN\VLC\vlc.exe" "http://www.radiofeeds.net/playlists/sharptemp.pls?station=sunfm-mp3"</v>
      </c>
      <c r="M2689" t="e">
        <f>VLOOKUP(A2689,logos!$A$2:$A$10004,1,FALSE)</f>
        <v>#N/A</v>
      </c>
    </row>
    <row r="2690" spans="1:13" hidden="1" x14ac:dyDescent="0.55000000000000004">
      <c r="A2690" t="s">
        <v>1213</v>
      </c>
      <c r="B2690" t="s">
        <v>1670</v>
      </c>
      <c r="C2690" t="s">
        <v>5987</v>
      </c>
      <c r="E2690" t="s">
        <v>6060</v>
      </c>
      <c r="F2690" t="str">
        <f t="shared" si="41"/>
        <v>"C:\Program Files\VideoLAN\VLC\vlc.exe" "http://icy-e-01.sharp-stream.com/sunfmdab.mp3.m3u"</v>
      </c>
      <c r="M2690" t="e">
        <f>VLOOKUP(A2690,logos!$A$2:$A$10004,1,FALSE)</f>
        <v>#N/A</v>
      </c>
    </row>
    <row r="2691" spans="1:13" hidden="1" x14ac:dyDescent="0.55000000000000004">
      <c r="A2691" t="s">
        <v>1216</v>
      </c>
      <c r="B2691" t="s">
        <v>1663</v>
      </c>
      <c r="C2691" t="s">
        <v>5988</v>
      </c>
      <c r="E2691" t="s">
        <v>6060</v>
      </c>
      <c r="F2691" t="str">
        <f t="shared" ref="F2691:F2754" si="42">"""C:\Program Files\VideoLAN\VLC\vlc.exe"" """&amp;C2691&amp;""""</f>
        <v>"C:\Program Files\VideoLAN\VLC\vlc.exe" "http://www.radiofeeds.net/playlists/sunoh.m3u"</v>
      </c>
      <c r="M2691" t="e">
        <f>VLOOKUP(A2691,logos!$A$2:$A$10004,1,FALSE)</f>
        <v>#N/A</v>
      </c>
    </row>
    <row r="2692" spans="1:13" hidden="1" x14ac:dyDescent="0.55000000000000004">
      <c r="A2692" t="s">
        <v>2896</v>
      </c>
      <c r="B2692" t="s">
        <v>1690</v>
      </c>
      <c r="C2692" t="s">
        <v>5989</v>
      </c>
      <c r="E2692" t="s">
        <v>6060</v>
      </c>
      <c r="F2692" t="str">
        <f t="shared" si="42"/>
        <v>"C:\Program Files\VideoLAN\VLC\vlc.exe" "http://www.radiofeeds.net/playlists/sharptemp.pls?station=sunriseradio-mp3"</v>
      </c>
      <c r="M2692" t="e">
        <f>VLOOKUP(A2692,logos!$A$2:$A$10004,1,FALSE)</f>
        <v>#N/A</v>
      </c>
    </row>
    <row r="2693" spans="1:13" hidden="1" x14ac:dyDescent="0.55000000000000004">
      <c r="A2693" t="s">
        <v>2897</v>
      </c>
      <c r="B2693" t="s">
        <v>1690</v>
      </c>
      <c r="C2693" t="s">
        <v>5990</v>
      </c>
      <c r="E2693" t="s">
        <v>6060</v>
      </c>
      <c r="F2693" t="str">
        <f t="shared" si="42"/>
        <v>"C:\Program Files\VideoLAN\VLC\vlc.exe" "http://www.radiofeeds.net/playlists/sharptemp.pls?station=sunriseradionat-mp3"</v>
      </c>
      <c r="M2693" t="e">
        <f>VLOOKUP(A2693,logos!$A$2:$A$10004,1,FALSE)</f>
        <v>#N/A</v>
      </c>
    </row>
    <row r="2694" spans="1:13" hidden="1" x14ac:dyDescent="0.55000000000000004">
      <c r="A2694" t="s">
        <v>2897</v>
      </c>
      <c r="B2694" t="s">
        <v>1693</v>
      </c>
      <c r="C2694" t="s">
        <v>5991</v>
      </c>
      <c r="E2694" t="s">
        <v>6060</v>
      </c>
      <c r="F2694" t="str">
        <f t="shared" si="42"/>
        <v>"C:\Program Files\VideoLAN\VLC\vlc.exe" "http://www.radiofeeds.net/playlists/sharptemp.pls?station=sunriseradioalexa-mp3"</v>
      </c>
      <c r="M2694" t="e">
        <f>VLOOKUP(A2694,logos!$A$2:$A$10004,1,FALSE)</f>
        <v>#N/A</v>
      </c>
    </row>
    <row r="2695" spans="1:13" hidden="1" x14ac:dyDescent="0.55000000000000004">
      <c r="A2695" t="s">
        <v>2838</v>
      </c>
      <c r="B2695" t="s">
        <v>1679</v>
      </c>
      <c r="C2695" t="s">
        <v>5992</v>
      </c>
      <c r="E2695" t="s">
        <v>6060</v>
      </c>
      <c r="F2695" t="str">
        <f t="shared" si="42"/>
        <v>"C:\Program Files\VideoLAN\VLC\vlc.exe" "http://stream1.themediasite.co.uk:8070/listen.pls?sid=29"</v>
      </c>
      <c r="M2695" t="e">
        <f>VLOOKUP(A2695,logos!$A$2:$A$10004,1,FALSE)</f>
        <v>#N/A</v>
      </c>
    </row>
    <row r="2696" spans="1:13" hidden="1" x14ac:dyDescent="0.55000000000000004">
      <c r="A2696" t="s">
        <v>2838</v>
      </c>
      <c r="B2696" t="s">
        <v>1668</v>
      </c>
      <c r="C2696" t="s">
        <v>5993</v>
      </c>
      <c r="E2696" t="s">
        <v>6060</v>
      </c>
      <c r="F2696" t="str">
        <f t="shared" si="42"/>
        <v>"C:\Program Files\VideoLAN\VLC\vlc.exe" "http://stream1.themediasite.co.uk:8070/listen.pls?sid=28"</v>
      </c>
      <c r="M2696" t="e">
        <f>VLOOKUP(A2696,logos!$A$2:$A$10004,1,FALSE)</f>
        <v>#N/A</v>
      </c>
    </row>
    <row r="2697" spans="1:13" hidden="1" x14ac:dyDescent="0.55000000000000004">
      <c r="A2697" t="s">
        <v>2838</v>
      </c>
      <c r="B2697" t="s">
        <v>1663</v>
      </c>
      <c r="C2697" t="s">
        <v>5994</v>
      </c>
      <c r="E2697" t="s">
        <v>6060</v>
      </c>
      <c r="F2697" t="str">
        <f t="shared" si="42"/>
        <v>"C:\Program Files\VideoLAN\VLC\vlc.exe" "http://stream1.themediasite.co.uk:8070/listen.pls?sid=27"</v>
      </c>
      <c r="M2697" t="e">
        <f>VLOOKUP(A2697,logos!$A$2:$A$10004,1,FALSE)</f>
        <v>#N/A</v>
      </c>
    </row>
    <row r="2698" spans="1:13" hidden="1" x14ac:dyDescent="0.55000000000000004">
      <c r="A2698" t="s">
        <v>2838</v>
      </c>
      <c r="B2698" t="s">
        <v>1670</v>
      </c>
      <c r="C2698" t="s">
        <v>5995</v>
      </c>
      <c r="E2698" t="s">
        <v>6060</v>
      </c>
      <c r="F2698" t="str">
        <f t="shared" si="42"/>
        <v>"C:\Program Files\VideoLAN\VLC\vlc.exe" "http://stream1.themediasite.co.uk:8070/listen.pls?sid=1"</v>
      </c>
      <c r="M2698" t="e">
        <f>VLOOKUP(A2698,logos!$A$2:$A$10004,1,FALSE)</f>
        <v>#N/A</v>
      </c>
    </row>
    <row r="2699" spans="1:13" hidden="1" x14ac:dyDescent="0.55000000000000004">
      <c r="A2699" t="s">
        <v>1229</v>
      </c>
      <c r="B2699" t="s">
        <v>1663</v>
      </c>
      <c r="C2699" t="s">
        <v>5996</v>
      </c>
      <c r="E2699" t="s">
        <v>6060</v>
      </c>
      <c r="F2699" t="str">
        <f t="shared" si="42"/>
        <v>"C:\Program Files\VideoLAN\VLC\vlc.exe" "http://streaming.radio.co/s6a51b5927/listen.m3u"</v>
      </c>
      <c r="M2699" t="e">
        <f>VLOOKUP(A2699,logos!$A$2:$A$10004,1,FALSE)</f>
        <v>#N/A</v>
      </c>
    </row>
    <row r="2700" spans="1:13" hidden="1" x14ac:dyDescent="0.55000000000000004">
      <c r="A2700" t="s">
        <v>2898</v>
      </c>
      <c r="B2700" t="s">
        <v>1663</v>
      </c>
      <c r="C2700" t="s">
        <v>5997</v>
      </c>
      <c r="E2700" t="s">
        <v>6060</v>
      </c>
      <c r="F2700" t="str">
        <f t="shared" si="42"/>
        <v>"C:\Program Files\VideoLAN\VLC\vlc.exe" "http://icecast.easystream.co.uk:8000/herefordFM.m3u"</v>
      </c>
      <c r="M2700" t="e">
        <f>VLOOKUP(A2700,logos!$A$2:$A$10004,1,FALSE)</f>
        <v>#N/A</v>
      </c>
    </row>
    <row r="2701" spans="1:13" hidden="1" x14ac:dyDescent="0.55000000000000004">
      <c r="A2701" t="s">
        <v>2899</v>
      </c>
      <c r="B2701" t="s">
        <v>1663</v>
      </c>
      <c r="C2701" t="s">
        <v>5998</v>
      </c>
      <c r="E2701" t="s">
        <v>6060</v>
      </c>
      <c r="F2701" t="str">
        <f t="shared" si="42"/>
        <v>"C:\Program Files\VideoLAN\VLC\vlc.exe" "http://icecast.easystream.co.uk:8000/monmouth.m3u"</v>
      </c>
      <c r="M2701" t="e">
        <f>VLOOKUP(A2701,logos!$A$2:$A$10004,1,FALSE)</f>
        <v>#N/A</v>
      </c>
    </row>
    <row r="2702" spans="1:13" hidden="1" x14ac:dyDescent="0.55000000000000004">
      <c r="A2702" t="s">
        <v>2900</v>
      </c>
      <c r="B2702" t="s">
        <v>1663</v>
      </c>
      <c r="C2702" t="s">
        <v>5999</v>
      </c>
      <c r="E2702" t="s">
        <v>6060</v>
      </c>
      <c r="F2702" t="str">
        <f t="shared" si="42"/>
        <v>"C:\Program Files\VideoLAN\VLC\vlc.exe" "http://icecast.easystream.co.uk:8000/sunshine855.m3u"</v>
      </c>
      <c r="M2702" t="e">
        <f>VLOOKUP(A2702,logos!$A$2:$A$10004,1,FALSE)</f>
        <v>#N/A</v>
      </c>
    </row>
    <row r="2703" spans="1:13" hidden="1" x14ac:dyDescent="0.55000000000000004">
      <c r="A2703" t="s">
        <v>1237</v>
      </c>
      <c r="B2703" t="s">
        <v>1693</v>
      </c>
      <c r="C2703" t="s">
        <v>6000</v>
      </c>
      <c r="E2703" t="s">
        <v>6060</v>
      </c>
      <c r="F2703" t="str">
        <f t="shared" si="42"/>
        <v>"C:\Program Files\VideoLAN\VLC\vlc.exe" "http://s2.xrad.io:8058/listen.pls?sid=1"</v>
      </c>
      <c r="M2703" t="e">
        <f>VLOOKUP(A2703,logos!$A$2:$A$10004,1,FALSE)</f>
        <v>#N/A</v>
      </c>
    </row>
    <row r="2704" spans="1:13" hidden="1" x14ac:dyDescent="0.55000000000000004">
      <c r="A2704" t="s">
        <v>1239</v>
      </c>
      <c r="B2704" t="s">
        <v>1690</v>
      </c>
      <c r="C2704" t="s">
        <v>6001</v>
      </c>
      <c r="E2704" t="s">
        <v>6060</v>
      </c>
      <c r="F2704" t="str">
        <f t="shared" si="42"/>
        <v>"C:\Program Files\VideoLAN\VLC\vlc.exe" "http://www.radiofeeds.net/playlists/wgtalkradio.m3u"</v>
      </c>
      <c r="M2704" t="str">
        <f>VLOOKUP(A2704,logos!$A$2:$A$10004,1,FALSE)</f>
        <v>TalkRadio</v>
      </c>
    </row>
    <row r="2705" spans="1:13" hidden="1" x14ac:dyDescent="0.55000000000000004">
      <c r="A2705" t="s">
        <v>2830</v>
      </c>
      <c r="B2705" t="s">
        <v>1690</v>
      </c>
      <c r="C2705" t="s">
        <v>6002</v>
      </c>
      <c r="E2705" t="s">
        <v>6060</v>
      </c>
      <c r="F2705" t="str">
        <f t="shared" si="42"/>
        <v>"C:\Program Files\VideoLAN\VLC\vlc.exe" "http://www.radiofeeds.net/playlists/talksportstream.m3u"</v>
      </c>
      <c r="M2705" t="str">
        <f>VLOOKUP(A2705,logos!$A$2:$A$10004,1,FALSE)</f>
        <v>talkSPORT (UK)</v>
      </c>
    </row>
    <row r="2706" spans="1:13" hidden="1" x14ac:dyDescent="0.55000000000000004">
      <c r="A2706" t="s">
        <v>1243</v>
      </c>
      <c r="B2706" t="s">
        <v>1663</v>
      </c>
      <c r="C2706" t="s">
        <v>6003</v>
      </c>
      <c r="E2706" t="s">
        <v>6060</v>
      </c>
      <c r="F2706" t="str">
        <f t="shared" si="42"/>
        <v>"C:\Program Files\VideoLAN\VLC\vlc.exe" "http://www.radiofeeds.net/playlists/talksport2.m3u"</v>
      </c>
      <c r="M2706" t="str">
        <f>VLOOKUP(A2706,logos!$A$2:$A$10004,1,FALSE)</f>
        <v>talkSPORT 2</v>
      </c>
    </row>
    <row r="2707" spans="1:13" hidden="1" x14ac:dyDescent="0.55000000000000004">
      <c r="A2707" t="s">
        <v>1245</v>
      </c>
      <c r="B2707" t="s">
        <v>1692</v>
      </c>
      <c r="C2707" t="s">
        <v>6004</v>
      </c>
      <c r="E2707" t="s">
        <v>6060</v>
      </c>
      <c r="F2707" t="str">
        <f t="shared" si="42"/>
        <v>"C:\Program Files\VideoLAN\VLC\vlc.exe" "http://www.radiofeeds.net/playlists/bauer.pls?station=tayfm-mp3"</v>
      </c>
      <c r="M2707" t="str">
        <f>VLOOKUP(A2707,logos!$A$2:$A$10004,1,FALSE)</f>
        <v>Tay FM</v>
      </c>
    </row>
    <row r="2708" spans="1:13" hidden="1" x14ac:dyDescent="0.55000000000000004">
      <c r="A2708" t="s">
        <v>1247</v>
      </c>
      <c r="B2708" t="s">
        <v>1692</v>
      </c>
      <c r="C2708" t="s">
        <v>6005</v>
      </c>
      <c r="E2708" t="s">
        <v>6060</v>
      </c>
      <c r="F2708" t="str">
        <f t="shared" si="42"/>
        <v>"C:\Program Files\VideoLAN\VLC\vlc.exe" "http://www.radiofeeds.net/playlists/bauer.pls?station=tayam-mp3"</v>
      </c>
      <c r="M2708" t="str">
        <f>VLOOKUP(A2708,logos!$A$2:$A$10004,1,FALSE)</f>
        <v>Tay 2</v>
      </c>
    </row>
    <row r="2709" spans="1:13" hidden="1" x14ac:dyDescent="0.55000000000000004">
      <c r="A2709" t="s">
        <v>1249</v>
      </c>
      <c r="B2709" t="s">
        <v>1666</v>
      </c>
      <c r="C2709" t="s">
        <v>6006</v>
      </c>
      <c r="E2709" t="s">
        <v>6060</v>
      </c>
      <c r="F2709" t="str">
        <f t="shared" si="42"/>
        <v>"C:\Program Files\VideoLAN\VLC\vlc.exe" "http://uk3.internet-radio.com:8154/live.m3u"</v>
      </c>
      <c r="M2709" t="e">
        <f>VLOOKUP(A2709,logos!$A$2:$A$10004,1,FALSE)</f>
        <v>#N/A</v>
      </c>
    </row>
    <row r="2710" spans="1:13" hidden="1" x14ac:dyDescent="0.55000000000000004">
      <c r="A2710" t="s">
        <v>1251</v>
      </c>
      <c r="B2710" t="s">
        <v>1692</v>
      </c>
      <c r="C2710" t="s">
        <v>6007</v>
      </c>
      <c r="E2710" t="s">
        <v>6060</v>
      </c>
      <c r="F2710" t="str">
        <f t="shared" si="42"/>
        <v>"C:\Program Files\VideoLAN\VLC\vlc.exe" "http://www.radiofeeds.net/playlists/bauer.pls?station=tfm-mp3"</v>
      </c>
      <c r="M2710" t="str">
        <f>VLOOKUP(A2710,logos!$A$2:$A$10004,1,FALSE)</f>
        <v>TFM</v>
      </c>
    </row>
    <row r="2711" spans="1:13" hidden="1" x14ac:dyDescent="0.55000000000000004">
      <c r="A2711" t="s">
        <v>1253</v>
      </c>
      <c r="B2711" t="s">
        <v>1663</v>
      </c>
      <c r="C2711" t="s">
        <v>6008</v>
      </c>
      <c r="E2711" t="s">
        <v>6060</v>
      </c>
      <c r="F2711" t="str">
        <f t="shared" si="42"/>
        <v>"C:\Program Files\VideoLAN\VLC\vlc.exe" "http://www.radiofeeds.net/playlists/thegiant.m3u"</v>
      </c>
      <c r="M2711" t="e">
        <f>VLOOKUP(A2711,logos!$A$2:$A$10004,1,FALSE)</f>
        <v>#N/A</v>
      </c>
    </row>
    <row r="2712" spans="1:13" hidden="1" x14ac:dyDescent="0.55000000000000004">
      <c r="A2712" t="s">
        <v>1255</v>
      </c>
      <c r="B2712" t="s">
        <v>1663</v>
      </c>
      <c r="C2712" t="s">
        <v>6009</v>
      </c>
      <c r="E2712" t="s">
        <v>6060</v>
      </c>
      <c r="F2712" t="str">
        <f t="shared" si="42"/>
        <v>"C:\Program Files\VideoLAN\VLC\vlc.exe" "http://uk7.internet-radio.com:8352/listen.pls?sid=1"</v>
      </c>
      <c r="M2712" t="e">
        <f>VLOOKUP(A2712,logos!$A$2:$A$10004,1,FALSE)</f>
        <v>#N/A</v>
      </c>
    </row>
    <row r="2713" spans="1:13" hidden="1" x14ac:dyDescent="0.55000000000000004">
      <c r="A2713" t="s">
        <v>1257</v>
      </c>
      <c r="B2713" t="s">
        <v>1690</v>
      </c>
      <c r="C2713" t="s">
        <v>6010</v>
      </c>
      <c r="E2713" t="s">
        <v>6060</v>
      </c>
      <c r="F2713" t="str">
        <f t="shared" si="42"/>
        <v>"C:\Program Files\VideoLAN\VLC\vlc.exe" "http://therockservice.servebeer.com:8001/listen.pls"</v>
      </c>
      <c r="M2713" t="e">
        <f>VLOOKUP(A2713,logos!$A$2:$A$10004,1,FALSE)</f>
        <v>#N/A</v>
      </c>
    </row>
    <row r="2714" spans="1:13" hidden="1" x14ac:dyDescent="0.55000000000000004">
      <c r="A2714" t="s">
        <v>1257</v>
      </c>
      <c r="B2714" t="s">
        <v>1663</v>
      </c>
      <c r="C2714" t="s">
        <v>6011</v>
      </c>
      <c r="E2714" t="s">
        <v>6060</v>
      </c>
      <c r="F2714" t="str">
        <f t="shared" si="42"/>
        <v>"C:\Program Files\VideoLAN\VLC\vlc.exe" "http://therockservice.servebeer.com:7999/listen.pls"</v>
      </c>
      <c r="M2714" t="e">
        <f>VLOOKUP(A2714,logos!$A$2:$A$10004,1,FALSE)</f>
        <v>#N/A</v>
      </c>
    </row>
    <row r="2715" spans="1:13" hidden="1" x14ac:dyDescent="0.55000000000000004">
      <c r="A2715" t="s">
        <v>1257</v>
      </c>
      <c r="B2715" t="s">
        <v>1669</v>
      </c>
      <c r="C2715" t="s">
        <v>6012</v>
      </c>
      <c r="E2715" t="s">
        <v>6060</v>
      </c>
      <c r="F2715" t="str">
        <f t="shared" si="42"/>
        <v>"C:\Program Files\VideoLAN\VLC\vlc.exe" "http://therockservice.servebeer.com:7997/listen.pls"</v>
      </c>
      <c r="M2715" t="e">
        <f>VLOOKUP(A2715,logos!$A$2:$A$10004,1,FALSE)</f>
        <v>#N/A</v>
      </c>
    </row>
    <row r="2716" spans="1:13" hidden="1" x14ac:dyDescent="0.55000000000000004">
      <c r="A2716" t="s">
        <v>1257</v>
      </c>
      <c r="B2716" t="s">
        <v>1670</v>
      </c>
      <c r="C2716" t="s">
        <v>6013</v>
      </c>
      <c r="E2716" t="s">
        <v>6060</v>
      </c>
      <c r="F2716" t="str">
        <f t="shared" si="42"/>
        <v>"C:\Program Files\VideoLAN\VLC\vlc.exe" "http://therockservice.servebeer.com:7993/listen.pls"</v>
      </c>
      <c r="M2716" t="e">
        <f>VLOOKUP(A2716,logos!$A$2:$A$10004,1,FALSE)</f>
        <v>#N/A</v>
      </c>
    </row>
    <row r="2717" spans="1:13" hidden="1" x14ac:dyDescent="0.55000000000000004">
      <c r="A2717" t="s">
        <v>1262</v>
      </c>
      <c r="B2717" t="s">
        <v>1663</v>
      </c>
      <c r="C2717" t="s">
        <v>6014</v>
      </c>
      <c r="E2717" t="s">
        <v>6060</v>
      </c>
      <c r="F2717" t="str">
        <f t="shared" si="42"/>
        <v>"C:\Program Files\VideoLAN\VLC\vlc.exe" "http://icecast3.rosisystems.com:8000/thevoice.mp3.m3u"</v>
      </c>
      <c r="M2717" t="e">
        <f>VLOOKUP(A2717,logos!$A$2:$A$10004,1,FALSE)</f>
        <v>#N/A</v>
      </c>
    </row>
    <row r="2718" spans="1:13" hidden="1" x14ac:dyDescent="0.55000000000000004">
      <c r="A2718" t="s">
        <v>1262</v>
      </c>
      <c r="B2718" t="s">
        <v>1666</v>
      </c>
      <c r="C2718" t="s">
        <v>6015</v>
      </c>
      <c r="E2718" t="s">
        <v>6060</v>
      </c>
      <c r="F2718" t="str">
        <f t="shared" si="42"/>
        <v>"C:\Program Files\VideoLAN\VLC\vlc.exe" "http://icecast3.rosisystems.com:8000/thevoice_hq.m3u"</v>
      </c>
      <c r="M2718" t="e">
        <f>VLOOKUP(A2718,logos!$A$2:$A$10004,1,FALSE)</f>
        <v>#N/A</v>
      </c>
    </row>
    <row r="2719" spans="1:13" hidden="1" x14ac:dyDescent="0.55000000000000004">
      <c r="A2719" t="s">
        <v>1265</v>
      </c>
      <c r="B2719" t="s">
        <v>1692</v>
      </c>
      <c r="C2719" t="s">
        <v>6016</v>
      </c>
      <c r="E2719" t="s">
        <v>6060</v>
      </c>
      <c r="F2719" t="str">
        <f t="shared" si="42"/>
        <v>"C:\Program Files\VideoLAN\VLC\vlc.exe" "http://www.radiofeeds.net/playlists/bauer.pls?station=net1swansea-mp3"</v>
      </c>
      <c r="M2719" t="str">
        <f>VLOOKUP(A2719,logos!$A$2:$A$10004,1,FALSE)</f>
        <v>The Wave</v>
      </c>
    </row>
    <row r="2720" spans="1:13" hidden="1" x14ac:dyDescent="0.55000000000000004">
      <c r="A2720" t="s">
        <v>1267</v>
      </c>
      <c r="B2720" t="s">
        <v>1663</v>
      </c>
      <c r="C2720" t="s">
        <v>6017</v>
      </c>
      <c r="E2720" t="s">
        <v>6060</v>
      </c>
      <c r="F2720" t="str">
        <f t="shared" si="42"/>
        <v>"C:\Program Files\VideoLAN\VLC\vlc.exe" "http://streaming.broadcastradio.com:10760/thisisthecoast.m3u"</v>
      </c>
      <c r="M2720" t="str">
        <f>VLOOKUP(A2720,logos!$A$2:$A$10004,1,FALSE)</f>
        <v>This is the Coast</v>
      </c>
    </row>
    <row r="2721" spans="1:13" hidden="1" x14ac:dyDescent="0.55000000000000004">
      <c r="A2721" t="s">
        <v>1269</v>
      </c>
      <c r="B2721" t="s">
        <v>1669</v>
      </c>
      <c r="C2721" t="s">
        <v>6018</v>
      </c>
      <c r="E2721" t="s">
        <v>6060</v>
      </c>
      <c r="F2721" t="str">
        <f t="shared" si="42"/>
        <v>"C:\Program Files\VideoLAN\VLC\vlc.exe" "http://www.radiofeeds.net/playlists/sharptemp.pls?station=1075-mp3"</v>
      </c>
      <c r="M2721" t="e">
        <f>VLOOKUP(A2721,logos!$A$2:$A$10004,1,FALSE)</f>
        <v>#N/A</v>
      </c>
    </row>
    <row r="2722" spans="1:13" hidden="1" x14ac:dyDescent="0.55000000000000004">
      <c r="A2722" t="s">
        <v>1271</v>
      </c>
      <c r="B2722" t="s">
        <v>1663</v>
      </c>
      <c r="C2722" t="s">
        <v>6019</v>
      </c>
      <c r="E2722" t="s">
        <v>6060</v>
      </c>
      <c r="F2722" t="str">
        <f t="shared" si="42"/>
        <v>"C:\Program Files\VideoLAN\VLC\vlc.exe" "http://aries.streaming.zfast.co.uk:8024/listen.pls?sid=1"</v>
      </c>
      <c r="M2722" t="e">
        <f>VLOOKUP(A2722,logos!$A$2:$A$10004,1,FALSE)</f>
        <v>#N/A</v>
      </c>
    </row>
    <row r="2723" spans="1:13" hidden="1" x14ac:dyDescent="0.55000000000000004">
      <c r="A2723" t="s">
        <v>1273</v>
      </c>
      <c r="B2723" t="s">
        <v>1663</v>
      </c>
      <c r="C2723" t="s">
        <v>6020</v>
      </c>
      <c r="E2723" t="s">
        <v>6060</v>
      </c>
      <c r="F2723" t="str">
        <f t="shared" si="42"/>
        <v>"C:\Program Files\VideoLAN\VLC\vlc.exe" "http://www.radiofeeds.net/playlists/wgtimesradio.m3u"</v>
      </c>
      <c r="M2723" t="str">
        <f>VLOOKUP(A2723,logos!$A$2:$A$10004,1,FALSE)</f>
        <v>Times Radio</v>
      </c>
    </row>
    <row r="2724" spans="1:13" hidden="1" x14ac:dyDescent="0.55000000000000004">
      <c r="A2724" t="s">
        <v>1275</v>
      </c>
      <c r="B2724" t="s">
        <v>1666</v>
      </c>
      <c r="C2724" t="s">
        <v>6021</v>
      </c>
      <c r="E2724" t="s">
        <v>6060</v>
      </c>
      <c r="F2724" t="str">
        <f t="shared" si="42"/>
        <v>"C:\Program Files\VideoLAN\VLC\vlc.exe" "http://s6.citrus3.com:8310/stream.m3u"</v>
      </c>
      <c r="M2724" t="e">
        <f>VLOOKUP(A2724,logos!$A$2:$A$10004,1,FALSE)</f>
        <v>#N/A</v>
      </c>
    </row>
    <row r="2725" spans="1:13" hidden="1" x14ac:dyDescent="0.55000000000000004">
      <c r="A2725" t="s">
        <v>1277</v>
      </c>
      <c r="B2725" t="s">
        <v>1663</v>
      </c>
      <c r="C2725" t="s">
        <v>6022</v>
      </c>
      <c r="E2725" t="s">
        <v>6060</v>
      </c>
      <c r="F2725" t="str">
        <f t="shared" si="42"/>
        <v>"C:\Program Files\VideoLAN\VLC\vlc.exe" "http://s3.voscast.com:9532/listen.pls?sid=1"</v>
      </c>
      <c r="M2725" t="e">
        <f>VLOOKUP(A2725,logos!$A$2:$A$10004,1,FALSE)</f>
        <v>#N/A</v>
      </c>
    </row>
    <row r="2726" spans="1:13" hidden="1" x14ac:dyDescent="0.55000000000000004">
      <c r="A2726" t="s">
        <v>2831</v>
      </c>
      <c r="B2726" t="s">
        <v>1668</v>
      </c>
      <c r="C2726" t="s">
        <v>6023</v>
      </c>
      <c r="E2726" t="s">
        <v>6060</v>
      </c>
      <c r="F2726" t="str">
        <f t="shared" si="42"/>
        <v>"C:\Program Files\VideoLAN\VLC\vlc.exe" "http://streaming02.zfast.co.uk:8020/stream.m3u"</v>
      </c>
      <c r="M2726" t="e">
        <f>VLOOKUP(A2726,logos!$A$2:$A$10004,1,FALSE)</f>
        <v>#N/A</v>
      </c>
    </row>
    <row r="2727" spans="1:13" hidden="1" x14ac:dyDescent="0.55000000000000004">
      <c r="A2727" t="s">
        <v>1281</v>
      </c>
      <c r="B2727" t="s">
        <v>1682</v>
      </c>
      <c r="C2727" t="s">
        <v>6024</v>
      </c>
      <c r="E2727" t="s">
        <v>6060</v>
      </c>
      <c r="F2727" t="str">
        <f t="shared" si="42"/>
        <v>"C:\Program Files\VideoLAN\VLC\vlc.exe" "http://icy-e-01.sharp-stream.com/twruk.mp3.m3u"</v>
      </c>
      <c r="M2727" t="e">
        <f>VLOOKUP(A2727,logos!$A$2:$A$10004,1,FALSE)</f>
        <v>#N/A</v>
      </c>
    </row>
    <row r="2728" spans="1:13" hidden="1" x14ac:dyDescent="0.55000000000000004">
      <c r="A2728" t="s">
        <v>1283</v>
      </c>
      <c r="B2728" t="s">
        <v>1669</v>
      </c>
      <c r="C2728" t="s">
        <v>6025</v>
      </c>
      <c r="E2728" t="s">
        <v>6060</v>
      </c>
      <c r="F2728" t="str">
        <f t="shared" si="42"/>
        <v>"C:\Program Files\VideoLAN\VLC\vlc.exe" "http://stream1.themediasite.co.uk:8008/listen.pls?sid=1"</v>
      </c>
      <c r="M2728" t="e">
        <f>VLOOKUP(A2728,logos!$A$2:$A$10004,1,FALSE)</f>
        <v>#N/A</v>
      </c>
    </row>
    <row r="2729" spans="1:13" hidden="1" x14ac:dyDescent="0.55000000000000004">
      <c r="A2729" t="s">
        <v>1285</v>
      </c>
      <c r="B2729" t="s">
        <v>1664</v>
      </c>
      <c r="C2729" t="s">
        <v>6026</v>
      </c>
      <c r="E2729" t="s">
        <v>6060</v>
      </c>
      <c r="F2729" t="str">
        <f t="shared" si="42"/>
        <v>"C:\Program Files\VideoLAN\VLC\vlc.exe" "http://www.radiofeeds.net/playlists/tibus.pls?station=U105LQ"</v>
      </c>
      <c r="M2729" t="e">
        <f>VLOOKUP(A2729,logos!$A$2:$A$10004,1,FALSE)</f>
        <v>#N/A</v>
      </c>
    </row>
    <row r="2730" spans="1:13" hidden="1" x14ac:dyDescent="0.55000000000000004">
      <c r="A2730" t="s">
        <v>1285</v>
      </c>
      <c r="B2730" t="s">
        <v>1663</v>
      </c>
      <c r="C2730" t="s">
        <v>6027</v>
      </c>
      <c r="E2730" t="s">
        <v>6060</v>
      </c>
      <c r="F2730" t="str">
        <f t="shared" si="42"/>
        <v>"C:\Program Files\VideoLAN\VLC\vlc.exe" "http://www.radiofeeds.net/playlists/tibus.pls?station=U105"</v>
      </c>
      <c r="M2730" t="e">
        <f>VLOOKUP(A2730,logos!$A$2:$A$10004,1,FALSE)</f>
        <v>#N/A</v>
      </c>
    </row>
    <row r="2731" spans="1:13" hidden="1" x14ac:dyDescent="0.55000000000000004">
      <c r="A2731" t="s">
        <v>1288</v>
      </c>
      <c r="B2731" t="s">
        <v>1663</v>
      </c>
      <c r="C2731" t="s">
        <v>6028</v>
      </c>
      <c r="E2731" t="s">
        <v>6060</v>
      </c>
      <c r="F2731" t="str">
        <f t="shared" si="42"/>
        <v>"C:\Program Files\VideoLAN\VLC\vlc.exe" "http://icy-e-01.sharp-stream.com/ucbuk.mp3.m3u"</v>
      </c>
      <c r="M2731" t="e">
        <f>VLOOKUP(A2731,logos!$A$2:$A$10004,1,FALSE)</f>
        <v>#N/A</v>
      </c>
    </row>
    <row r="2732" spans="1:13" hidden="1" x14ac:dyDescent="0.55000000000000004">
      <c r="A2732" t="s">
        <v>1290</v>
      </c>
      <c r="B2732" t="s">
        <v>1663</v>
      </c>
      <c r="C2732" t="s">
        <v>6029</v>
      </c>
      <c r="E2732" t="s">
        <v>6060</v>
      </c>
      <c r="F2732" t="str">
        <f t="shared" si="42"/>
        <v>"C:\Program Files\VideoLAN\VLC\vlc.exe" "http://icy-e-01.sharp-stream.com/ucbinspirational.mp3.m3u"</v>
      </c>
      <c r="M2732" t="e">
        <f>VLOOKUP(A2732,logos!$A$2:$A$10004,1,FALSE)</f>
        <v>#N/A</v>
      </c>
    </row>
    <row r="2733" spans="1:13" hidden="1" x14ac:dyDescent="0.55000000000000004">
      <c r="A2733" t="s">
        <v>1292</v>
      </c>
      <c r="B2733" t="s">
        <v>1663</v>
      </c>
      <c r="C2733" t="s">
        <v>6030</v>
      </c>
      <c r="E2733" t="s">
        <v>6060</v>
      </c>
      <c r="F2733" t="str">
        <f t="shared" si="42"/>
        <v>"C:\Program Files\VideoLAN\VLC\vlc.exe" "http://eclipse.galaxywebsolutions.com:7571/live.m3u"</v>
      </c>
      <c r="M2733" t="e">
        <f>VLOOKUP(A2733,logos!$A$2:$A$10004,1,FALSE)</f>
        <v>#N/A</v>
      </c>
    </row>
    <row r="2734" spans="1:13" hidden="1" x14ac:dyDescent="0.55000000000000004">
      <c r="A2734" t="s">
        <v>2839</v>
      </c>
      <c r="B2734" t="s">
        <v>1669</v>
      </c>
      <c r="C2734" t="s">
        <v>6031</v>
      </c>
      <c r="E2734" t="s">
        <v>6060</v>
      </c>
      <c r="F2734" t="str">
        <f t="shared" si="42"/>
        <v>"C:\Program Files\VideoLAN\VLC\vlc.exe" "http://icy-e-01.sharp-stream.com/urfonline.mp3.m3u"</v>
      </c>
      <c r="M2734" t="e">
        <f>VLOOKUP(A2734,logos!$A$2:$A$10004,1,FALSE)</f>
        <v>#N/A</v>
      </c>
    </row>
    <row r="2735" spans="1:13" hidden="1" x14ac:dyDescent="0.55000000000000004">
      <c r="A2735" t="s">
        <v>1296</v>
      </c>
      <c r="B2735" t="s">
        <v>1666</v>
      </c>
      <c r="C2735" t="s">
        <v>6032</v>
      </c>
      <c r="E2735" t="s">
        <v>6060</v>
      </c>
      <c r="F2735" t="str">
        <f t="shared" si="42"/>
        <v>"C:\Program Files\VideoLAN\VLC\vlc.exe" "http://live.canstream.co.uk:8000/ucaradio.mp3.m3u"</v>
      </c>
      <c r="M2735" t="e">
        <f>VLOOKUP(A2735,logos!$A$2:$A$10004,1,FALSE)</f>
        <v>#N/A</v>
      </c>
    </row>
    <row r="2736" spans="1:13" hidden="1" x14ac:dyDescent="0.55000000000000004">
      <c r="A2736" t="s">
        <v>1298</v>
      </c>
      <c r="B2736" t="s">
        <v>1663</v>
      </c>
      <c r="C2736" t="s">
        <v>6033</v>
      </c>
      <c r="E2736" t="s">
        <v>6060</v>
      </c>
      <c r="F2736" t="str">
        <f t="shared" si="42"/>
        <v>"C:\Program Files\VideoLAN\VLC\vlc.exe" "http://stream.v2radio.co.uk/V2RadioHQMP3.m3u"</v>
      </c>
      <c r="M2736" t="str">
        <f>VLOOKUP(A2736,logos!$A$2:$A$10004,1,FALSE)</f>
        <v>V2 Radio</v>
      </c>
    </row>
    <row r="2737" spans="1:13" hidden="1" x14ac:dyDescent="0.55000000000000004">
      <c r="A2737" t="s">
        <v>1298</v>
      </c>
      <c r="B2737" t="s">
        <v>1666</v>
      </c>
      <c r="C2737" t="s">
        <v>6034</v>
      </c>
      <c r="E2737" t="s">
        <v>6060</v>
      </c>
      <c r="F2737" t="str">
        <f t="shared" si="42"/>
        <v>"C:\Program Files\VideoLAN\VLC\vlc.exe" "http://stream.v2radio.co.uk/V2RadioDAB.m3u"</v>
      </c>
      <c r="M2737" t="str">
        <f>VLOOKUP(A2737,logos!$A$2:$A$10004,1,FALSE)</f>
        <v>V2 Radio</v>
      </c>
    </row>
    <row r="2738" spans="1:13" hidden="1" x14ac:dyDescent="0.55000000000000004">
      <c r="A2738" t="s">
        <v>1301</v>
      </c>
      <c r="B2738" t="s">
        <v>1666</v>
      </c>
      <c r="C2738" t="s">
        <v>6035</v>
      </c>
      <c r="E2738" t="s">
        <v>6060</v>
      </c>
      <c r="F2738" t="str">
        <f t="shared" si="42"/>
        <v>"C:\Program Files\VideoLAN\VLC\vlc.exe" "http://playoutonestreaming.com:8133/listen.pls?sid=1"</v>
      </c>
      <c r="M2738" t="e">
        <f>VLOOKUP(A2738,logos!$A$2:$A$10004,1,FALSE)</f>
        <v>#N/A</v>
      </c>
    </row>
    <row r="2739" spans="1:13" hidden="1" x14ac:dyDescent="0.55000000000000004">
      <c r="A2739" t="s">
        <v>1303</v>
      </c>
      <c r="B2739" t="s">
        <v>1692</v>
      </c>
      <c r="C2739" t="s">
        <v>6036</v>
      </c>
      <c r="E2739" t="s">
        <v>6060</v>
      </c>
      <c r="F2739" t="str">
        <f t="shared" si="42"/>
        <v>"C:\Program Files\VideoLAN\VLC\vlc.exe" "http://www.radiofeeds.net/playlists/bauer.pls?station=viking-mp3"</v>
      </c>
      <c r="M2739" t="str">
        <f>VLOOKUP(A2739,logos!$A$2:$A$10004,1,FALSE)</f>
        <v>Viking FM</v>
      </c>
    </row>
    <row r="2740" spans="1:13" hidden="1" x14ac:dyDescent="0.55000000000000004">
      <c r="A2740" t="s">
        <v>1305</v>
      </c>
      <c r="B2740" t="s">
        <v>1663</v>
      </c>
      <c r="C2740" t="s">
        <v>6037</v>
      </c>
      <c r="E2740" t="s">
        <v>6060</v>
      </c>
      <c r="F2740" t="str">
        <f t="shared" si="42"/>
        <v>"C:\Program Files\VideoLAN\VLC\vlc.exe" "http://www.radiofeeds.net/playlists/wgvirginradio.m3u"</v>
      </c>
      <c r="M2740" t="str">
        <f>VLOOKUP(A2740,logos!$A$2:$A$10004,1,FALSE)</f>
        <v>Virgin Radio</v>
      </c>
    </row>
    <row r="2741" spans="1:13" hidden="1" x14ac:dyDescent="0.55000000000000004">
      <c r="A2741" t="s">
        <v>1308</v>
      </c>
      <c r="B2741" t="s">
        <v>1663</v>
      </c>
      <c r="C2741" t="s">
        <v>6038</v>
      </c>
      <c r="E2741" t="s">
        <v>6060</v>
      </c>
      <c r="F2741" t="str">
        <f t="shared" si="42"/>
        <v>"C:\Program Files\VideoLAN\VLC\vlc.exe" "http://www.radiofeeds.net/playlists/wgvirginpride.m3u"</v>
      </c>
      <c r="M2741" t="str">
        <f>VLOOKUP(A2741,logos!$A$2:$A$10004,1,FALSE)</f>
        <v>Virgin Radio 80s PLUS</v>
      </c>
    </row>
    <row r="2742" spans="1:13" hidden="1" x14ac:dyDescent="0.55000000000000004">
      <c r="A2742" t="s">
        <v>1310</v>
      </c>
      <c r="B2742" t="s">
        <v>1663</v>
      </c>
      <c r="C2742" t="s">
        <v>6039</v>
      </c>
      <c r="E2742" t="s">
        <v>6060</v>
      </c>
      <c r="F2742" t="str">
        <f t="shared" si="42"/>
        <v>"C:\Program Files\VideoLAN\VLC\vlc.exe" "http://www.radiofeeds.net/playlists/wgvirginanthems.m3u"</v>
      </c>
      <c r="M2742" t="str">
        <f>VLOOKUP(A2742,logos!$A$2:$A$10004,1,FALSE)</f>
        <v>Virgin Radio Anthems</v>
      </c>
    </row>
    <row r="2743" spans="1:13" hidden="1" x14ac:dyDescent="0.55000000000000004">
      <c r="A2743" t="s">
        <v>1312</v>
      </c>
      <c r="B2743" t="s">
        <v>1663</v>
      </c>
      <c r="C2743" t="s">
        <v>6040</v>
      </c>
      <c r="E2743" t="s">
        <v>6060</v>
      </c>
      <c r="F2743" t="str">
        <f t="shared" si="42"/>
        <v>"C:\Program Files\VideoLAN\VLC\vlc.exe" "http://www.radiofeeds.net/playlists/wgvirginchilled.m3u"</v>
      </c>
      <c r="M2743" t="str">
        <f>VLOOKUP(A2743,logos!$A$2:$A$10004,1,FALSE)</f>
        <v>Virgin Radio Chilled</v>
      </c>
    </row>
    <row r="2744" spans="1:13" hidden="1" x14ac:dyDescent="0.55000000000000004">
      <c r="A2744" t="s">
        <v>1314</v>
      </c>
      <c r="B2744" t="s">
        <v>1663</v>
      </c>
      <c r="C2744" t="s">
        <v>6041</v>
      </c>
      <c r="E2744" t="s">
        <v>6060</v>
      </c>
      <c r="F2744" t="str">
        <f t="shared" si="42"/>
        <v>"C:\Program Files\VideoLAN\VLC\vlc.exe" "http://s6.voscast.com:9980/stream.m3u"</v>
      </c>
      <c r="M2744" t="e">
        <f>VLOOKUP(A2744,logos!$A$2:$A$10004,1,FALSE)</f>
        <v>#N/A</v>
      </c>
    </row>
    <row r="2745" spans="1:13" hidden="1" x14ac:dyDescent="0.55000000000000004">
      <c r="A2745" t="s">
        <v>1316</v>
      </c>
      <c r="B2745" t="s">
        <v>1692</v>
      </c>
      <c r="C2745" t="s">
        <v>6042</v>
      </c>
      <c r="E2745" t="s">
        <v>6060</v>
      </c>
      <c r="F2745" t="str">
        <f t="shared" si="42"/>
        <v>"C:\Program Files\VideoLAN\VLC\vlc.exe" "http://www.radiofeeds.net/playlists/bauer.pls?station=wave105-mp3"</v>
      </c>
      <c r="M2745" t="str">
        <f>VLOOKUP(A2745,logos!$A$2:$A$10004,1,FALSE)</f>
        <v>Wave 105</v>
      </c>
    </row>
    <row r="2746" spans="1:13" hidden="1" x14ac:dyDescent="0.55000000000000004">
      <c r="A2746" t="s">
        <v>1318</v>
      </c>
      <c r="B2746" t="s">
        <v>1663</v>
      </c>
      <c r="C2746" t="s">
        <v>6043</v>
      </c>
      <c r="E2746" t="s">
        <v>6060</v>
      </c>
      <c r="F2746" t="str">
        <f t="shared" si="42"/>
        <v>"C:\Program Files\VideoLAN\VLC\vlc.exe" "http://webradio.radiomonitor.com/m3u/WavesRadio.m3u"</v>
      </c>
      <c r="M2746" t="e">
        <f>VLOOKUP(A2746,logos!$A$2:$A$10004,1,FALSE)</f>
        <v>#N/A</v>
      </c>
    </row>
    <row r="2747" spans="1:13" hidden="1" x14ac:dyDescent="0.55000000000000004">
      <c r="A2747" t="s">
        <v>1320</v>
      </c>
      <c r="B2747" t="s">
        <v>1692</v>
      </c>
      <c r="C2747" t="s">
        <v>6044</v>
      </c>
      <c r="E2747" t="s">
        <v>6060</v>
      </c>
      <c r="F2747" t="str">
        <f t="shared" si="42"/>
        <v>"C:\Program Files\VideoLAN\VLC\vlc.exe" "http://www.radiofeeds.net/playlists/bauer.pls?station=westfm-mp3"</v>
      </c>
      <c r="M2747" t="str">
        <f>VLOOKUP(A2747,logos!$A$2:$A$10004,1,FALSE)</f>
        <v>West FM</v>
      </c>
    </row>
    <row r="2748" spans="1:13" hidden="1" x14ac:dyDescent="0.55000000000000004">
      <c r="A2748" t="s">
        <v>2833</v>
      </c>
      <c r="B2748" t="s">
        <v>1692</v>
      </c>
      <c r="C2748" t="s">
        <v>6045</v>
      </c>
      <c r="E2748" t="s">
        <v>6060</v>
      </c>
      <c r="F2748" t="str">
        <f t="shared" si="42"/>
        <v>"C:\Program Files\VideoLAN\VLC\vlc.exe" "http://www.radiofeeds.net/playlists/bauer.pls?station=westsound-mp3"</v>
      </c>
      <c r="M2748" t="str">
        <f>VLOOKUP(A2748,logos!$A$2:$A$10004,1,FALSE)</f>
        <v>West Sound (Ayrshire)</v>
      </c>
    </row>
    <row r="2749" spans="1:13" hidden="1" x14ac:dyDescent="0.55000000000000004">
      <c r="A2749" t="s">
        <v>2834</v>
      </c>
      <c r="B2749" t="s">
        <v>1692</v>
      </c>
      <c r="C2749" t="s">
        <v>6046</v>
      </c>
      <c r="E2749" t="s">
        <v>6060</v>
      </c>
      <c r="F2749" t="str">
        <f t="shared" si="42"/>
        <v>"C:\Program Files\VideoLAN\VLC\vlc.exe" "http://www.radiofeeds.net/playlists/bauer.pls?station=westsoundfm-mp3"</v>
      </c>
      <c r="M2749" t="e">
        <f>VLOOKUP(A2749,logos!$A$2:$A$10004,1,FALSE)</f>
        <v>#N/A</v>
      </c>
    </row>
    <row r="2750" spans="1:13" hidden="1" x14ac:dyDescent="0.55000000000000004">
      <c r="A2750" t="s">
        <v>1691</v>
      </c>
      <c r="B2750" t="s">
        <v>1669</v>
      </c>
      <c r="C2750" t="s">
        <v>6047</v>
      </c>
      <c r="E2750" t="s">
        <v>6060</v>
      </c>
      <c r="F2750" t="str">
        <f t="shared" si="42"/>
        <v>"C:\Program Files\VideoLAN\VLC\vlc.exe" "http://s2.stationplaylist.com:7012/listen.mp3.m3u"</v>
      </c>
      <c r="M2750" t="e">
        <f>VLOOKUP(A2750,logos!$A$2:$A$10004,1,FALSE)</f>
        <v>#N/A</v>
      </c>
    </row>
    <row r="2751" spans="1:13" hidden="1" x14ac:dyDescent="0.55000000000000004">
      <c r="A2751" t="s">
        <v>2901</v>
      </c>
      <c r="B2751" t="s">
        <v>1663</v>
      </c>
      <c r="C2751" t="s">
        <v>6048</v>
      </c>
      <c r="E2751" t="s">
        <v>6060</v>
      </c>
      <c r="F2751" t="str">
        <f t="shared" si="42"/>
        <v>"C:\Program Files\VideoLAN\VLC\vlc.exe" "http://uksouth.streaming.broadcast.radio:16190/wowblackpool.m3u"</v>
      </c>
      <c r="M2751" t="e">
        <f>VLOOKUP(A2751,logos!$A$2:$A$10004,1,FALSE)</f>
        <v>#N/A</v>
      </c>
    </row>
    <row r="2752" spans="1:13" hidden="1" x14ac:dyDescent="0.55000000000000004">
      <c r="A2752" t="s">
        <v>1330</v>
      </c>
      <c r="B2752" t="s">
        <v>1693</v>
      </c>
      <c r="C2752" t="s">
        <v>6049</v>
      </c>
      <c r="E2752" t="s">
        <v>6060</v>
      </c>
      <c r="F2752" t="str">
        <f t="shared" si="42"/>
        <v>"C:\Program Files\VideoLAN\VLC\vlc.exe" "http://streaming.edmradio.online:8025/WRN-E.m3u"</v>
      </c>
      <c r="M2752" t="e">
        <f>VLOOKUP(A2752,logos!$A$2:$A$10004,1,FALSE)</f>
        <v>#N/A</v>
      </c>
    </row>
    <row r="2753" spans="1:13" hidden="1" x14ac:dyDescent="0.55000000000000004">
      <c r="A2753" t="s">
        <v>2840</v>
      </c>
      <c r="B2753" t="s">
        <v>1689</v>
      </c>
      <c r="C2753" t="s">
        <v>6050</v>
      </c>
      <c r="E2753" t="s">
        <v>6060</v>
      </c>
      <c r="F2753" t="str">
        <f t="shared" si="42"/>
        <v>"C:\Program Files\VideoLAN\VLC\vlc.exe" "http://radio.canstream.co.uk:8039/live.mp3.m3u"</v>
      </c>
      <c r="M2753" t="e">
        <f>VLOOKUP(A2753,logos!$A$2:$A$10004,1,FALSE)</f>
        <v>#N/A</v>
      </c>
    </row>
    <row r="2754" spans="1:13" hidden="1" x14ac:dyDescent="0.55000000000000004">
      <c r="A2754" t="s">
        <v>1334</v>
      </c>
      <c r="B2754" t="s">
        <v>1663</v>
      </c>
      <c r="C2754" t="s">
        <v>6051</v>
      </c>
      <c r="E2754" t="s">
        <v>6060</v>
      </c>
      <c r="F2754" t="str">
        <f t="shared" si="42"/>
        <v>"C:\Program Files\VideoLAN\VLC\vlc.exe" "http://icy-e-01.sharp-stream.com/xrhythms.mp3.m3u"</v>
      </c>
      <c r="M2754" t="e">
        <f>VLOOKUP(A2754,logos!$A$2:$A$10004,1,FALSE)</f>
        <v>#N/A</v>
      </c>
    </row>
    <row r="2755" spans="1:13" hidden="1" x14ac:dyDescent="0.55000000000000004">
      <c r="A2755" t="s">
        <v>1336</v>
      </c>
      <c r="B2755" t="s">
        <v>1663</v>
      </c>
      <c r="C2755" t="s">
        <v>6052</v>
      </c>
      <c r="E2755" t="s">
        <v>6060</v>
      </c>
      <c r="F2755" t="str">
        <f t="shared" ref="F2755:F2765" si="43">"""C:\Program Files\VideoLAN\VLC\vlc.exe"" """&amp;C2755&amp;""""</f>
        <v>"C:\Program Files\VideoLAN\VLC\vlc.exe" "http://icecast.thisisdax.com/RealXSManchesterMP3.m3u"</v>
      </c>
      <c r="M2755" t="e">
        <f>VLOOKUP(A2755,logos!$A$2:$A$10004,1,FALSE)</f>
        <v>#N/A</v>
      </c>
    </row>
    <row r="2756" spans="1:13" hidden="1" x14ac:dyDescent="0.55000000000000004">
      <c r="A2756" t="s">
        <v>2841</v>
      </c>
      <c r="B2756" t="s">
        <v>1669</v>
      </c>
      <c r="C2756" t="s">
        <v>6053</v>
      </c>
      <c r="E2756" t="s">
        <v>6060</v>
      </c>
      <c r="F2756" t="str">
        <f t="shared" si="43"/>
        <v>"C:\Program Files\VideoLAN\VLC\vlc.exe" "http://ec1.yesstreaming.net:1490/stream.m3u"</v>
      </c>
      <c r="M2756" t="e">
        <f>VLOOKUP(A2756,logos!$A$2:$A$10004,1,FALSE)</f>
        <v>#N/A</v>
      </c>
    </row>
    <row r="2757" spans="1:13" hidden="1" x14ac:dyDescent="0.55000000000000004">
      <c r="A2757" t="s">
        <v>1340</v>
      </c>
      <c r="B2757" t="s">
        <v>1687</v>
      </c>
      <c r="C2757" t="s">
        <v>6054</v>
      </c>
      <c r="E2757" t="s">
        <v>6060</v>
      </c>
      <c r="F2757" t="str">
        <f t="shared" si="43"/>
        <v>"C:\Program Files\VideoLAN\VLC\vlc.exe" "http://stream2.hippynet.co.uk:8020/mobile.m3u"</v>
      </c>
      <c r="M2757" t="e">
        <f>VLOOKUP(A2757,logos!$A$2:$A$10004,1,FALSE)</f>
        <v>#N/A</v>
      </c>
    </row>
    <row r="2758" spans="1:13" hidden="1" x14ac:dyDescent="0.55000000000000004">
      <c r="A2758" t="s">
        <v>1340</v>
      </c>
      <c r="B2758" t="s">
        <v>1663</v>
      </c>
      <c r="C2758" t="s">
        <v>6055</v>
      </c>
      <c r="E2758" t="s">
        <v>6060</v>
      </c>
      <c r="F2758" t="str">
        <f t="shared" si="43"/>
        <v>"C:\Program Files\VideoLAN\VLC\vlc.exe" "http://stream2.hippynet.co.uk:8020/streamb.m3u"</v>
      </c>
      <c r="M2758" t="e">
        <f>VLOOKUP(A2758,logos!$A$2:$A$10004,1,FALSE)</f>
        <v>#N/A</v>
      </c>
    </row>
    <row r="2759" spans="1:13" hidden="1" x14ac:dyDescent="0.55000000000000004">
      <c r="A2759" t="s">
        <v>1340</v>
      </c>
      <c r="B2759" t="s">
        <v>1670</v>
      </c>
      <c r="C2759" t="s">
        <v>6056</v>
      </c>
      <c r="E2759" t="s">
        <v>6060</v>
      </c>
      <c r="F2759" t="str">
        <f t="shared" si="43"/>
        <v>"C:\Program Files\VideoLAN\VLC\vlc.exe" "http://stream2.hippynet.co.uk:8021/stream.m3u"</v>
      </c>
      <c r="M2759" t="e">
        <f>VLOOKUP(A2759,logos!$A$2:$A$10004,1,FALSE)</f>
        <v>#N/A</v>
      </c>
    </row>
    <row r="2760" spans="1:13" hidden="1" x14ac:dyDescent="0.55000000000000004">
      <c r="A2760" t="s">
        <v>1344</v>
      </c>
      <c r="B2760" t="s">
        <v>1663</v>
      </c>
      <c r="C2760" t="s">
        <v>6057</v>
      </c>
      <c r="E2760" t="s">
        <v>6060</v>
      </c>
      <c r="F2760" t="str">
        <f t="shared" si="43"/>
        <v>"C:\Program Files\VideoLAN\VLC\vlc.exe" "http://streaming.broadcastradio.com:11040/yourharrogate.m3u"</v>
      </c>
      <c r="M2760" t="e">
        <f>VLOOKUP(A2760,logos!$A$2:$A$10004,1,FALSE)</f>
        <v>#N/A</v>
      </c>
    </row>
    <row r="2761" spans="1:13" hidden="1" x14ac:dyDescent="0.55000000000000004">
      <c r="A2761" t="s">
        <v>1346</v>
      </c>
      <c r="B2761" t="s">
        <v>1662</v>
      </c>
      <c r="C2761" t="s">
        <v>6058</v>
      </c>
      <c r="E2761" t="s">
        <v>6060</v>
      </c>
      <c r="F2761" t="str">
        <f t="shared" si="43"/>
        <v>"C:\Program Files\VideoLAN\VLC\vlc.exe" "http://vps.zestliverpool.com:8000/listen.pls?sid=4"</v>
      </c>
      <c r="M2761" t="e">
        <f>VLOOKUP(A2761,logos!$A$2:$A$10004,1,FALSE)</f>
        <v>#N/A</v>
      </c>
    </row>
    <row r="2762" spans="1:13" hidden="1" x14ac:dyDescent="0.55000000000000004">
      <c r="A2762" t="s">
        <v>1346</v>
      </c>
      <c r="B2762" t="s">
        <v>1663</v>
      </c>
      <c r="C2762" t="s">
        <v>6059</v>
      </c>
      <c r="E2762" t="s">
        <v>6060</v>
      </c>
      <c r="F2762" t="str">
        <f t="shared" si="43"/>
        <v>"C:\Program Files\VideoLAN\VLC\vlc.exe" "http://vps.zestliverpool.com:8000/listen.pls?sid=3"</v>
      </c>
      <c r="M2762" t="e">
        <f>VLOOKUP(A2762,logos!$A$2:$A$10004,1,FALSE)</f>
        <v>#N/A</v>
      </c>
    </row>
    <row r="2763" spans="1:13" hidden="1" x14ac:dyDescent="0.55000000000000004">
      <c r="A2763" t="s">
        <v>6062</v>
      </c>
      <c r="B2763" t="s">
        <v>1669</v>
      </c>
      <c r="C2763" t="s">
        <v>6061</v>
      </c>
      <c r="E2763" t="s">
        <v>23</v>
      </c>
      <c r="F2763" t="str">
        <f t="shared" si="43"/>
        <v>"C:\Program Files\VideoLAN\VLC\vlc.exe" "http://stream.radioparadise.com/mp3-192"</v>
      </c>
      <c r="M2763" t="str">
        <f>VLOOKUP(A2763,logos!$A$2:$A$10004,1,FALSE)</f>
        <v>Radio Paradise</v>
      </c>
    </row>
    <row r="2764" spans="1:13" hidden="1" x14ac:dyDescent="0.55000000000000004">
      <c r="A2764" t="s">
        <v>2765</v>
      </c>
      <c r="B2764" t="s">
        <v>1662</v>
      </c>
      <c r="C2764" t="s">
        <v>6064</v>
      </c>
      <c r="E2764" t="s">
        <v>6065</v>
      </c>
      <c r="F2764" t="str">
        <f t="shared" si="43"/>
        <v>"C:\Program Files\VideoLAN\VLC\vlc.exe" "http://media-the.musicradio.com:80/LBCUK"</v>
      </c>
      <c r="M2764" t="str">
        <f>VLOOKUP(A2764,logos!$A$2:$A$10004,1,FALSE)</f>
        <v>LBC (UK)</v>
      </c>
    </row>
    <row r="2765" spans="1:13" hidden="1" x14ac:dyDescent="0.55000000000000004">
      <c r="A2765" t="s">
        <v>2767</v>
      </c>
      <c r="B2765" t="s">
        <v>1662</v>
      </c>
      <c r="C2765" t="s">
        <v>6066</v>
      </c>
      <c r="E2765" t="s">
        <v>6065</v>
      </c>
      <c r="F2765" t="str">
        <f t="shared" si="43"/>
        <v>"C:\Program Files\VideoLAN\VLC\vlc.exe" "http://media-the.musicradio.com:80/LBCNewsUK"</v>
      </c>
      <c r="M2765" t="str">
        <f>VLOOKUP(A2765,logos!$A$2:$A$10004,1,FALSE)</f>
        <v>LBC News (UK)</v>
      </c>
    </row>
    <row r="2766" spans="1:13" hidden="1" x14ac:dyDescent="0.55000000000000004">
      <c r="A2766" t="s">
        <v>34</v>
      </c>
      <c r="B2766" t="s">
        <v>1662</v>
      </c>
      <c r="C2766" t="s">
        <v>6070</v>
      </c>
      <c r="D2766" t="s">
        <v>1657</v>
      </c>
      <c r="E2766" t="s">
        <v>6069</v>
      </c>
      <c r="F2766" t="str">
        <f t="shared" ref="F2766:F2775" si="44">"""C:\Program Files\VideoLAN\VLC\vlc.exe"" """&amp;C2766&amp;""""</f>
        <v>"C:\Program Files\VideoLAN\VLC\vlc.exe" "http://edge-bauerall-01-gos2.sharp-stream.com/absoluteclassicrock.aac"</v>
      </c>
      <c r="M2766" t="str">
        <f>VLOOKUP(A2766,logos!$A$2:$A$10004,1,FALSE)</f>
        <v>Absolute Classic Rock</v>
      </c>
    </row>
    <row r="2767" spans="1:13" hidden="1" x14ac:dyDescent="0.55000000000000004">
      <c r="A2767" t="s">
        <v>38</v>
      </c>
      <c r="B2767" t="s">
        <v>1662</v>
      </c>
      <c r="C2767" t="s">
        <v>6071</v>
      </c>
      <c r="D2767" t="s">
        <v>1657</v>
      </c>
      <c r="E2767" t="s">
        <v>6069</v>
      </c>
      <c r="F2767" t="str">
        <f t="shared" si="44"/>
        <v>"C:\Program Files\VideoLAN\VLC\vlc.exe" "http://edge-bauerall-01-gos2.sharp-stream.com/absoluteradio.aac"</v>
      </c>
      <c r="M2767" t="str">
        <f>VLOOKUP(A2767,logos!$A$2:$A$10004,1,FALSE)</f>
        <v>Absolute Radio</v>
      </c>
    </row>
    <row r="2768" spans="1:13" hidden="1" x14ac:dyDescent="0.55000000000000004">
      <c r="A2768" t="s">
        <v>48</v>
      </c>
      <c r="B2768" t="s">
        <v>1662</v>
      </c>
      <c r="C2768" t="s">
        <v>6072</v>
      </c>
      <c r="D2768" t="s">
        <v>1657</v>
      </c>
      <c r="E2768" t="s">
        <v>6069</v>
      </c>
      <c r="F2768" t="str">
        <f t="shared" si="44"/>
        <v>"C:\Program Files\VideoLAN\VLC\vlc.exe" "http://edge-bauerall-01-gos2.sharp-stream.com/absolute00s.aac"</v>
      </c>
      <c r="M2768" t="str">
        <f>VLOOKUP(A2768,logos!$A$2:$A$10004,1,FALSE)</f>
        <v>Absolute Radio 00s</v>
      </c>
    </row>
    <row r="2769" spans="1:13" hidden="1" x14ac:dyDescent="0.55000000000000004">
      <c r="A2769" t="s">
        <v>50</v>
      </c>
      <c r="B2769" t="s">
        <v>1662</v>
      </c>
      <c r="C2769" t="s">
        <v>6073</v>
      </c>
      <c r="D2769" t="s">
        <v>1657</v>
      </c>
      <c r="E2769" t="s">
        <v>6069</v>
      </c>
      <c r="F2769" t="str">
        <f t="shared" si="44"/>
        <v>"C:\Program Files\VideoLAN\VLC\vlc.exe" "http://edge-bauerall-01-gos2.sharp-stream.com/absolute10s.aac"</v>
      </c>
      <c r="M2769" t="str">
        <f>VLOOKUP(A2769,logos!$A$2:$A$10004,1,FALSE)</f>
        <v>Absolute Radio 10s</v>
      </c>
    </row>
    <row r="2770" spans="1:13" hidden="1" x14ac:dyDescent="0.55000000000000004">
      <c r="A2770" t="s">
        <v>40</v>
      </c>
      <c r="B2770" t="s">
        <v>1662</v>
      </c>
      <c r="C2770" t="s">
        <v>6074</v>
      </c>
      <c r="D2770" t="s">
        <v>1657</v>
      </c>
      <c r="E2770" t="s">
        <v>6069</v>
      </c>
      <c r="F2770" t="str">
        <f t="shared" si="44"/>
        <v>"C:\Program Files\VideoLAN\VLC\vlc.exe" "http://edge-bauerall-01-gos2.sharp-stream.com/absolute60s.aac"</v>
      </c>
      <c r="M2770" t="str">
        <f>VLOOKUP(A2770,logos!$A$2:$A$381,1,FALSE)</f>
        <v>Absolute Radio 60s</v>
      </c>
    </row>
    <row r="2771" spans="1:13" hidden="1" x14ac:dyDescent="0.55000000000000004">
      <c r="A2771" t="s">
        <v>42</v>
      </c>
      <c r="B2771" t="s">
        <v>1662</v>
      </c>
      <c r="C2771" t="s">
        <v>6075</v>
      </c>
      <c r="D2771" t="s">
        <v>1657</v>
      </c>
      <c r="E2771" t="s">
        <v>6069</v>
      </c>
      <c r="F2771" t="str">
        <f t="shared" si="44"/>
        <v>"C:\Program Files\VideoLAN\VLC\vlc.exe" "http://edge-bauerall-01-gos2.sharp-stream.com/absolute70s.aac"</v>
      </c>
      <c r="M2771" t="str">
        <f>VLOOKUP(A2771,logos!$A$2:$A$381,1,FALSE)</f>
        <v>Absolute Radio 70s</v>
      </c>
    </row>
    <row r="2772" spans="1:13" hidden="1" x14ac:dyDescent="0.55000000000000004">
      <c r="A2772" t="s">
        <v>4811</v>
      </c>
      <c r="B2772" t="s">
        <v>1662</v>
      </c>
      <c r="C2772" t="s">
        <v>6076</v>
      </c>
      <c r="D2772" t="s">
        <v>1657</v>
      </c>
      <c r="E2772" t="s">
        <v>6069</v>
      </c>
      <c r="F2772" t="str">
        <f t="shared" si="44"/>
        <v>"C:\Program Files\VideoLAN\VLC\vlc.exe" "http://edge-bauerall-01-gos2.sharp-stream.com/absolute80s.aac"</v>
      </c>
      <c r="M2772" t="str">
        <f>VLOOKUP(A2772,logos!$A$2:$A$381,1,FALSE)</f>
        <v>Absolute Radio 80s</v>
      </c>
    </row>
    <row r="2773" spans="1:13" hidden="1" x14ac:dyDescent="0.55000000000000004">
      <c r="A2773" t="s">
        <v>46</v>
      </c>
      <c r="B2773" t="s">
        <v>1662</v>
      </c>
      <c r="C2773" t="s">
        <v>6077</v>
      </c>
      <c r="D2773" t="s">
        <v>1657</v>
      </c>
      <c r="E2773" t="s">
        <v>6069</v>
      </c>
      <c r="F2773" t="str">
        <f t="shared" si="44"/>
        <v>"C:\Program Files\VideoLAN\VLC\vlc.exe" "http://edge-bauerall-01-gos2.sharp-stream.com/absolute90s.aac"</v>
      </c>
      <c r="M2773" t="str">
        <f>VLOOKUP(A2773,logos!$A$2:$A$381,1,FALSE)</f>
        <v>Absolute Radio 90s</v>
      </c>
    </row>
    <row r="2774" spans="1:13" hidden="1" x14ac:dyDescent="0.55000000000000004">
      <c r="A2774" t="s">
        <v>52</v>
      </c>
      <c r="B2774" t="s">
        <v>1662</v>
      </c>
      <c r="C2774" t="s">
        <v>6133</v>
      </c>
      <c r="D2774" t="s">
        <v>1657</v>
      </c>
      <c r="E2774" t="s">
        <v>6069</v>
      </c>
      <c r="F2774" t="str">
        <f t="shared" si="44"/>
        <v>"C:\Program Files\VideoLAN\VLC\vlc.exe" "http://edge-bauerall-01-gos2.sharp-stream.com/countryhits.aac"</v>
      </c>
      <c r="M2774" t="str">
        <f>VLOOKUP(A2774,logos!$A$2:$A$381,1,FALSE)</f>
        <v>Absolute Radio Country</v>
      </c>
    </row>
    <row r="2775" spans="1:13" hidden="1" x14ac:dyDescent="0.55000000000000004">
      <c r="A2775" t="s">
        <v>1104</v>
      </c>
      <c r="B2775" t="s">
        <v>1662</v>
      </c>
      <c r="C2775" t="s">
        <v>6078</v>
      </c>
      <c r="D2775" t="s">
        <v>1657</v>
      </c>
      <c r="E2775" t="s">
        <v>6069</v>
      </c>
      <c r="F2775" t="str">
        <f t="shared" si="44"/>
        <v>"C:\Program Files\VideoLAN\VLC\vlc.exe" "http://edge-bauerall-01-gos2.sharp-stream.com/scala.aac"</v>
      </c>
      <c r="M2775" t="str">
        <f>VLOOKUP(A2775,logos!$A$2:$A$381,1,FALSE)</f>
        <v>Scala Radio</v>
      </c>
    </row>
    <row r="2776" spans="1:13" hidden="1" x14ac:dyDescent="0.55000000000000004">
      <c r="A2776" t="s">
        <v>2773</v>
      </c>
      <c r="B2776" t="s">
        <v>1662</v>
      </c>
      <c r="C2776" t="s">
        <v>6082</v>
      </c>
      <c r="D2776" t="s">
        <v>1657</v>
      </c>
      <c r="E2776" t="s">
        <v>6069</v>
      </c>
      <c r="F2776" t="str">
        <f t="shared" ref="F2776:F2829" si="45">"""C:\Program Files\VideoLAN\VLC\vlc.exe"" """&amp;C2776&amp;""""</f>
        <v>"C:\Program Files\VideoLAN\VLC\vlc.exe" "http://edge-bauerall-01-gos2.sharp-stream.com/magic1054.aac"</v>
      </c>
      <c r="M2776" t="str">
        <f>VLOOKUP(A2776,logos!$A$2:$A$381,1,FALSE)</f>
        <v>Magic (London)</v>
      </c>
    </row>
    <row r="2777" spans="1:13" hidden="1" x14ac:dyDescent="0.55000000000000004">
      <c r="A2777" t="s">
        <v>811</v>
      </c>
      <c r="B2777" t="s">
        <v>1662</v>
      </c>
      <c r="C2777" t="s">
        <v>6081</v>
      </c>
      <c r="D2777" t="s">
        <v>1657</v>
      </c>
      <c r="E2777" t="s">
        <v>6069</v>
      </c>
      <c r="F2777" t="str">
        <f t="shared" si="45"/>
        <v>"C:\Program Files\VideoLAN\VLC\vlc.exe" "http://edge-bauerall-01-gos2.sharp-stream.com/magicchilled.aac"</v>
      </c>
      <c r="M2777" t="str">
        <f>VLOOKUP(A2777,logos!$A$2:$A$381,1,FALSE)</f>
        <v>Magic Chilled</v>
      </c>
    </row>
    <row r="2778" spans="1:13" hidden="1" x14ac:dyDescent="0.55000000000000004">
      <c r="A2778" t="s">
        <v>813</v>
      </c>
      <c r="B2778" t="s">
        <v>1662</v>
      </c>
      <c r="C2778" t="s">
        <v>6080</v>
      </c>
      <c r="D2778" t="s">
        <v>1657</v>
      </c>
      <c r="E2778" t="s">
        <v>6069</v>
      </c>
      <c r="F2778" t="str">
        <f t="shared" si="45"/>
        <v>"C:\Program Files\VideoLAN\VLC\vlc.exe" "http://edge-bauerall-01-gos2.sharp-stream.com/magicsoul.aac"</v>
      </c>
      <c r="M2778" t="str">
        <f>VLOOKUP(A2778,logos!$A$2:$A$381,1,FALSE)</f>
        <v>Magic Soul</v>
      </c>
    </row>
    <row r="2779" spans="1:13" hidden="1" x14ac:dyDescent="0.55000000000000004">
      <c r="A2779" t="s">
        <v>821</v>
      </c>
      <c r="B2779" t="s">
        <v>1662</v>
      </c>
      <c r="C2779" t="s">
        <v>6079</v>
      </c>
      <c r="D2779" t="s">
        <v>1657</v>
      </c>
      <c r="E2779" t="s">
        <v>6069</v>
      </c>
      <c r="F2779" t="str">
        <f t="shared" si="45"/>
        <v>"C:\Program Files\VideoLAN\VLC\vlc.exe" "http://edge-bauerall-01-gos2.sharp-stream.com/magicmellow.aac"</v>
      </c>
      <c r="M2779" t="str">
        <f>VLOOKUP(A2779,logos!$A$2:$A$381,1,FALSE)</f>
        <v>Mellow Magic</v>
      </c>
    </row>
    <row r="2780" spans="1:13" hidden="1" x14ac:dyDescent="0.55000000000000004">
      <c r="A2780" t="s">
        <v>2651</v>
      </c>
      <c r="B2780" t="s">
        <v>1662</v>
      </c>
      <c r="C2780" t="s">
        <v>6083</v>
      </c>
      <c r="D2780" t="s">
        <v>1657</v>
      </c>
      <c r="E2780" t="s">
        <v>6069</v>
      </c>
      <c r="F2780" t="str">
        <f t="shared" si="45"/>
        <v>"C:\Program Files\VideoLAN\VLC\vlc.exe" "http://edge-bauerall-01-gos2.sharp-stream.com/cfm.aac"</v>
      </c>
      <c r="M2780" t="str">
        <f>VLOOKUP(A2780,logos!$A$2:$A$381,1,FALSE)</f>
        <v>CFM (East)</v>
      </c>
    </row>
    <row r="2781" spans="1:13" hidden="1" x14ac:dyDescent="0.55000000000000004">
      <c r="A2781" t="s">
        <v>347</v>
      </c>
      <c r="B2781" t="s">
        <v>1662</v>
      </c>
      <c r="C2781" t="s">
        <v>6084</v>
      </c>
      <c r="D2781" t="s">
        <v>1657</v>
      </c>
      <c r="E2781" t="s">
        <v>6069</v>
      </c>
      <c r="F2781" t="str">
        <f t="shared" si="45"/>
        <v>"C:\Program Files\VideoLAN\VLC\vlc.exe" "http://edge-bauerall-01-gos2.sharp-stream.com/clyde1.aac"</v>
      </c>
      <c r="M2781" t="str">
        <f>VLOOKUP(A2781,logos!$A$2:$A$381,1,FALSE)</f>
        <v>Clyde 1</v>
      </c>
    </row>
    <row r="2782" spans="1:13" hidden="1" x14ac:dyDescent="0.55000000000000004">
      <c r="A2782" t="s">
        <v>349</v>
      </c>
      <c r="B2782" t="s">
        <v>1662</v>
      </c>
      <c r="C2782" t="s">
        <v>6085</v>
      </c>
      <c r="D2782" t="s">
        <v>1657</v>
      </c>
      <c r="E2782" t="s">
        <v>6069</v>
      </c>
      <c r="F2782" t="str">
        <f t="shared" si="45"/>
        <v>"C:\Program Files\VideoLAN\VLC\vlc.exe" "http://edge-bauerall-01-gos2.sharp-stream.com/clyde2.aac"</v>
      </c>
      <c r="M2782" t="str">
        <f>VLOOKUP(A2782,logos!$A$2:$A$381,1,FALSE)</f>
        <v>Clyde 2</v>
      </c>
    </row>
    <row r="2783" spans="1:13" hidden="1" x14ac:dyDescent="0.55000000000000004">
      <c r="A2783" t="s">
        <v>355</v>
      </c>
      <c r="B2783" t="s">
        <v>1662</v>
      </c>
      <c r="C2783" t="s">
        <v>6086</v>
      </c>
      <c r="D2783" t="s">
        <v>1657</v>
      </c>
      <c r="E2783" t="s">
        <v>6069</v>
      </c>
      <c r="F2783" t="str">
        <f t="shared" si="45"/>
        <v>"C:\Program Files\VideoLAN\VLC\vlc.exe" "http://edge-bauerall-01-gos2.sharp-stream.com/coolfm.aac"</v>
      </c>
      <c r="M2783" t="str">
        <f>VLOOKUP(A2783,logos!$A$2:$A$381,1,FALSE)</f>
        <v>Cool FM</v>
      </c>
    </row>
    <row r="2784" spans="1:13" hidden="1" x14ac:dyDescent="0.55000000000000004">
      <c r="A2784" t="s">
        <v>377</v>
      </c>
      <c r="B2784" t="s">
        <v>1662</v>
      </c>
      <c r="C2784" t="s">
        <v>6087</v>
      </c>
      <c r="D2784" t="s">
        <v>1657</v>
      </c>
      <c r="E2784" t="s">
        <v>6069</v>
      </c>
      <c r="F2784" t="str">
        <f t="shared" si="45"/>
        <v>"C:\Program Files\VideoLAN\VLC\vlc.exe" "http://edge-bauerall-01-gos2.sharp-stream.com/downtowncountry.aac"</v>
      </c>
      <c r="M2784" t="str">
        <f>VLOOKUP(A2784,logos!$A$2:$A$381,1,FALSE)</f>
        <v>Downtown Country</v>
      </c>
    </row>
    <row r="2785" spans="1:13" hidden="1" x14ac:dyDescent="0.55000000000000004">
      <c r="A2785" t="s">
        <v>379</v>
      </c>
      <c r="B2785" t="s">
        <v>1662</v>
      </c>
      <c r="C2785" t="s">
        <v>6088</v>
      </c>
      <c r="D2785" t="s">
        <v>1657</v>
      </c>
      <c r="E2785" t="s">
        <v>6069</v>
      </c>
      <c r="F2785" t="str">
        <f t="shared" si="45"/>
        <v>"C:\Program Files\VideoLAN\VLC\vlc.exe" "http://edge-bauerall-01-gos2.sharp-stream.com/downtown.aac"</v>
      </c>
      <c r="M2785" t="str">
        <f>VLOOKUP(A2785,logos!$A$2:$A$381,1,FALSE)</f>
        <v>Downtown Radio</v>
      </c>
    </row>
    <row r="2786" spans="1:13" hidden="1" x14ac:dyDescent="0.55000000000000004">
      <c r="A2786" t="s">
        <v>414</v>
      </c>
      <c r="B2786" t="s">
        <v>1662</v>
      </c>
      <c r="C2786" t="s">
        <v>4836</v>
      </c>
      <c r="D2786" t="s">
        <v>1657</v>
      </c>
      <c r="E2786" t="s">
        <v>6069</v>
      </c>
      <c r="F2786" t="str">
        <f t="shared" si="45"/>
        <v>"C:\Program Files\VideoLAN\VLC\vlc.exe" "http://edge-bauerall-01-gos2.sharp-stream.com/forth1.aac"</v>
      </c>
      <c r="M2786" t="str">
        <f>VLOOKUP(A2786,logos!$A$2:$A$381,1,FALSE)</f>
        <v>Forth 1</v>
      </c>
    </row>
    <row r="2787" spans="1:13" hidden="1" x14ac:dyDescent="0.55000000000000004">
      <c r="A2787" t="s">
        <v>416</v>
      </c>
      <c r="B2787" t="s">
        <v>1662</v>
      </c>
      <c r="C2787" t="s">
        <v>4839</v>
      </c>
      <c r="D2787" t="s">
        <v>1657</v>
      </c>
      <c r="E2787" t="s">
        <v>6069</v>
      </c>
      <c r="F2787" t="str">
        <f t="shared" si="45"/>
        <v>"C:\Program Files\VideoLAN\VLC\vlc.exe" "http://edge-bauerall-01-gos2.sharp-stream.com/forth2.aac"</v>
      </c>
      <c r="M2787" t="str">
        <f>VLOOKUP(A2787,logos!$A$2:$A$381,1,FALSE)</f>
        <v>Forth 2</v>
      </c>
    </row>
    <row r="2788" spans="1:13" hidden="1" x14ac:dyDescent="0.55000000000000004">
      <c r="A2788" t="s">
        <v>1576</v>
      </c>
      <c r="B2788" t="s">
        <v>1662</v>
      </c>
      <c r="C2788" t="s">
        <v>6089</v>
      </c>
      <c r="D2788" t="s">
        <v>1657</v>
      </c>
      <c r="E2788" t="s">
        <v>6069</v>
      </c>
      <c r="F2788" t="str">
        <f t="shared" si="45"/>
        <v>"C:\Program Files\VideoLAN\VLC\vlc.exe" "http://edge-bauerall-01-gos2.sharp-stream.com/freebirmingham.aac"</v>
      </c>
      <c r="M2788" t="str">
        <f>VLOOKUP(A2788,logos!$A$2:$A$381,1,FALSE)</f>
        <v>Free Radio (Birmingham)</v>
      </c>
    </row>
    <row r="2789" spans="1:13" hidden="1" x14ac:dyDescent="0.55000000000000004">
      <c r="A2789" t="s">
        <v>1577</v>
      </c>
      <c r="B2789" t="s">
        <v>1662</v>
      </c>
      <c r="C2789" t="s">
        <v>6090</v>
      </c>
      <c r="D2789" t="s">
        <v>1657</v>
      </c>
      <c r="E2789" t="s">
        <v>6069</v>
      </c>
      <c r="F2789" t="str">
        <f t="shared" si="45"/>
        <v>"C:\Program Files\VideoLAN\VLC\vlc.exe" "http://edge-bauerall-01-gos2.sharp-stream.com/freeblackcountry.aac"</v>
      </c>
      <c r="M2789" t="str">
        <f>VLOOKUP(A2789,logos!$A$2:$A$381,1,FALSE)</f>
        <v>Free Radio (Black Country)</v>
      </c>
    </row>
    <row r="2790" spans="1:13" hidden="1" x14ac:dyDescent="0.55000000000000004">
      <c r="A2790" t="s">
        <v>1578</v>
      </c>
      <c r="B2790" t="s">
        <v>1662</v>
      </c>
      <c r="C2790" t="s">
        <v>6091</v>
      </c>
      <c r="D2790" t="s">
        <v>1657</v>
      </c>
      <c r="E2790" t="s">
        <v>6069</v>
      </c>
      <c r="F2790" t="str">
        <f t="shared" si="45"/>
        <v>"C:\Program Files\VideoLAN\VLC\vlc.exe" "http://edge-bauerall-01-gos2.sharp-stream.com/freecoventry.aac"</v>
      </c>
      <c r="M2790" t="str">
        <f>VLOOKUP(A2790,logos!$A$2:$A$381,1,FALSE)</f>
        <v>Free Radio (Coventry &amp; Warwickshire)</v>
      </c>
    </row>
    <row r="2791" spans="1:13" hidden="1" x14ac:dyDescent="0.55000000000000004">
      <c r="A2791" t="s">
        <v>2661</v>
      </c>
      <c r="B2791" t="s">
        <v>1662</v>
      </c>
      <c r="C2791" t="s">
        <v>6092</v>
      </c>
      <c r="D2791" t="s">
        <v>1657</v>
      </c>
      <c r="E2791" t="s">
        <v>6069</v>
      </c>
      <c r="F2791" t="str">
        <f t="shared" si="45"/>
        <v>"C:\Program Files\VideoLAN\VLC\vlc.exe" "http://edge-bauerall-01-gos2.sharp-stream.com/freehereford.aac"</v>
      </c>
      <c r="M2791" t="e">
        <f>VLOOKUP(A2791,logos!$A$2:$A$381,1,FALSE)</f>
        <v>#N/A</v>
      </c>
    </row>
    <row r="2792" spans="1:13" hidden="1" x14ac:dyDescent="0.55000000000000004">
      <c r="A2792" t="s">
        <v>1580</v>
      </c>
      <c r="B2792" t="s">
        <v>1662</v>
      </c>
      <c r="C2792" t="s">
        <v>6093</v>
      </c>
      <c r="D2792" t="s">
        <v>1657</v>
      </c>
      <c r="E2792" t="s">
        <v>6069</v>
      </c>
      <c r="F2792" t="str">
        <f t="shared" si="45"/>
        <v>"C:\Program Files\VideoLAN\VLC\vlc.exe" "http://edge-bauerall-01-gos2.sharp-stream.com/freeshropshire.aac"</v>
      </c>
      <c r="M2792" t="str">
        <f>VLOOKUP(A2792,logos!$A$2:$A$381,1,FALSE)</f>
        <v>Free Radio (Shropshire)</v>
      </c>
    </row>
    <row r="2793" spans="1:13" hidden="1" x14ac:dyDescent="0.55000000000000004">
      <c r="A2793" t="s">
        <v>451</v>
      </c>
      <c r="B2793" t="s">
        <v>1662</v>
      </c>
      <c r="C2793" t="s">
        <v>6094</v>
      </c>
      <c r="D2793" t="s">
        <v>1657</v>
      </c>
      <c r="E2793" t="s">
        <v>6069</v>
      </c>
      <c r="F2793" t="str">
        <f t="shared" si="45"/>
        <v>"C:\Program Files\VideoLAN\VLC\vlc.exe" "http://edge-bauerall-01-gos2.sharp-stream.com/gem106.aac"</v>
      </c>
      <c r="M2793" t="str">
        <f>VLOOKUP(A2793,logos!$A$2:$A$381,1,FALSE)</f>
        <v>Gem</v>
      </c>
    </row>
    <row r="2794" spans="1:13" hidden="1" x14ac:dyDescent="0.55000000000000004">
      <c r="A2794" t="s">
        <v>566</v>
      </c>
      <c r="B2794" t="s">
        <v>1662</v>
      </c>
      <c r="C2794" t="s">
        <v>6095</v>
      </c>
      <c r="D2794" t="s">
        <v>1657</v>
      </c>
      <c r="E2794" t="s">
        <v>6069</v>
      </c>
      <c r="F2794" t="str">
        <f t="shared" si="45"/>
        <v>"C:\Program Files\VideoLAN\VLC\vlc.exe" "http://edge-bauerall-01-gos2.sharp-stream.com/hallam.aac"</v>
      </c>
      <c r="M2794" t="str">
        <f>VLOOKUP(A2794,logos!$A$2:$A$381,1,FALSE)</f>
        <v>Hallam FM</v>
      </c>
    </row>
    <row r="2795" spans="1:13" hidden="1" x14ac:dyDescent="0.55000000000000004">
      <c r="A2795" t="s">
        <v>681</v>
      </c>
      <c r="B2795" t="s">
        <v>1662</v>
      </c>
      <c r="C2795" t="s">
        <v>6096</v>
      </c>
      <c r="D2795" t="s">
        <v>1657</v>
      </c>
      <c r="E2795" t="s">
        <v>6069</v>
      </c>
      <c r="F2795" t="str">
        <f t="shared" si="45"/>
        <v>"C:\Program Files\VideoLAN\VLC\vlc.exe" "http://edge-bauerall-01-gos2.sharp-stream.com/heat.aac"</v>
      </c>
      <c r="M2795" t="str">
        <f>VLOOKUP(A2795,logos!$A$2:$A$381,1,FALSE)</f>
        <v>heat Radio</v>
      </c>
    </row>
    <row r="2796" spans="1:13" hidden="1" x14ac:dyDescent="0.55000000000000004">
      <c r="A2796" t="s">
        <v>736</v>
      </c>
      <c r="B2796" t="s">
        <v>1662</v>
      </c>
      <c r="C2796" t="s">
        <v>6097</v>
      </c>
      <c r="D2796" t="s">
        <v>1657</v>
      </c>
      <c r="E2796" t="s">
        <v>6069</v>
      </c>
      <c r="F2796" t="str">
        <f t="shared" si="45"/>
        <v>"C:\Program Files\VideoLAN\VLC\vlc.exe" "http://edge-bauerall-01-gos2.sharp-stream.com/jazz.aac"</v>
      </c>
      <c r="M2796" t="str">
        <f>VLOOKUP(A2796,logos!$A$2:$A$381,1,FALSE)</f>
        <v>Jazz FM</v>
      </c>
    </row>
    <row r="2797" spans="1:13" hidden="1" x14ac:dyDescent="0.55000000000000004">
      <c r="A2797" t="s">
        <v>740</v>
      </c>
      <c r="B2797" t="s">
        <v>1662</v>
      </c>
      <c r="C2797" t="s">
        <v>6098</v>
      </c>
      <c r="D2797" t="s">
        <v>1657</v>
      </c>
      <c r="E2797" t="s">
        <v>6069</v>
      </c>
      <c r="F2797" t="str">
        <f t="shared" si="45"/>
        <v>"C:\Program Files\VideoLAN\VLC\vlc.exe" "http://edge-bauerall-01-gos2.sharp-stream.com/kerrang.aac"</v>
      </c>
      <c r="M2797" t="str">
        <f>VLOOKUP(A2797,logos!$A$2:$A$381,1,FALSE)</f>
        <v>Kerrang! Radio</v>
      </c>
    </row>
    <row r="2798" spans="1:13" hidden="1" x14ac:dyDescent="0.55000000000000004">
      <c r="A2798" t="s">
        <v>1613</v>
      </c>
      <c r="B2798" t="s">
        <v>1662</v>
      </c>
      <c r="C2798" t="s">
        <v>6099</v>
      </c>
      <c r="D2798" t="s">
        <v>1657</v>
      </c>
      <c r="E2798" t="s">
        <v>6069</v>
      </c>
      <c r="F2798" t="str">
        <f t="shared" si="45"/>
        <v>"C:\Program Files\VideoLAN\VLC\vlc.exe" "http://edge-bauerall-01-gos2.sharp-stream.com/webcast7.aac"</v>
      </c>
      <c r="M2798" t="str">
        <f>VLOOKUP(A2798,logos!$A$2:$A$381,1,FALSE)</f>
        <v>KISS BLISS</v>
      </c>
    </row>
    <row r="2799" spans="1:13" hidden="1" x14ac:dyDescent="0.55000000000000004">
      <c r="A2799" t="s">
        <v>1614</v>
      </c>
      <c r="B2799" t="s">
        <v>1662</v>
      </c>
      <c r="C2799" t="s">
        <v>6100</v>
      </c>
      <c r="D2799" t="s">
        <v>1657</v>
      </c>
      <c r="E2799" t="s">
        <v>6069</v>
      </c>
      <c r="F2799" t="str">
        <f t="shared" si="45"/>
        <v>"C:\Program Files\VideoLAN\VLC\vlc.exe" "http://edge-bauerall-01-gos2.sharp-stream.com/webcast6.aac"</v>
      </c>
      <c r="M2799" t="str">
        <f>VLOOKUP(A2799,logos!$A$2:$A$381,1,FALSE)</f>
        <v>KISS DANCE</v>
      </c>
    </row>
    <row r="2800" spans="1:13" hidden="1" x14ac:dyDescent="0.55000000000000004">
      <c r="A2800" t="s">
        <v>749</v>
      </c>
      <c r="B2800" t="s">
        <v>1662</v>
      </c>
      <c r="C2800" t="s">
        <v>6101</v>
      </c>
      <c r="D2800" t="s">
        <v>1657</v>
      </c>
      <c r="E2800" t="s">
        <v>6069</v>
      </c>
      <c r="F2800" t="str">
        <f t="shared" si="45"/>
        <v>"C:\Program Files\VideoLAN\VLC\vlc.exe" "http://edge-bauerall-01-gos2.sharp-stream.com/kissfresh.aac"</v>
      </c>
      <c r="M2800" t="str">
        <f>VLOOKUP(A2800,logos!$A$2:$A$381,1,FALSE)</f>
        <v>KISS FRESH</v>
      </c>
    </row>
    <row r="2801" spans="1:13" hidden="1" x14ac:dyDescent="0.55000000000000004">
      <c r="A2801" t="s">
        <v>1615</v>
      </c>
      <c r="B2801" t="s">
        <v>1662</v>
      </c>
      <c r="C2801" t="s">
        <v>6102</v>
      </c>
      <c r="D2801" t="s">
        <v>1657</v>
      </c>
      <c r="E2801" t="s">
        <v>6069</v>
      </c>
      <c r="F2801" t="str">
        <f t="shared" si="45"/>
        <v>"C:\Program Files\VideoLAN\VLC\vlc.exe" "http://edge-bauerall-01-gos2.sharp-stream.com/webcast5.aac"</v>
      </c>
      <c r="M2801" t="str">
        <f>VLOOKUP(A2801,logos!$A$2:$A$381,1,FALSE)</f>
        <v>KISS GARAGE</v>
      </c>
    </row>
    <row r="2802" spans="1:13" hidden="1" x14ac:dyDescent="0.55000000000000004">
      <c r="A2802" t="s">
        <v>751</v>
      </c>
      <c r="B2802" t="s">
        <v>1662</v>
      </c>
      <c r="C2802" t="s">
        <v>6103</v>
      </c>
      <c r="D2802" t="s">
        <v>1657</v>
      </c>
      <c r="E2802" t="s">
        <v>6069</v>
      </c>
      <c r="F2802" t="str">
        <f t="shared" si="45"/>
        <v>"C:\Program Files\VideoLAN\VLC\vlc.exe" "http://edge-bauerall-01-gos2.sharp-stream.com/kisstory.aac"</v>
      </c>
      <c r="M2802" t="str">
        <f>VLOOKUP(A2802,logos!$A$2:$A$381,1,FALSE)</f>
        <v>KISSTORY</v>
      </c>
    </row>
    <row r="2803" spans="1:13" hidden="1" x14ac:dyDescent="0.55000000000000004">
      <c r="A2803" t="s">
        <v>787</v>
      </c>
      <c r="B2803" t="s">
        <v>1662</v>
      </c>
      <c r="C2803" t="s">
        <v>6104</v>
      </c>
      <c r="D2803" t="s">
        <v>1657</v>
      </c>
      <c r="E2803" t="s">
        <v>6069</v>
      </c>
      <c r="F2803" t="str">
        <f t="shared" si="45"/>
        <v>"C:\Program Files\VideoLAN\VLC\vlc.exe" "http://edge-bauerall-01-gos2.sharp-stream.com/net1lincoln.aac"</v>
      </c>
      <c r="M2803" t="str">
        <f>VLOOKUP(A2803,logos!$A$2:$A$381,1,FALSE)</f>
        <v>Lincs FM</v>
      </c>
    </row>
    <row r="2804" spans="1:13" hidden="1" x14ac:dyDescent="0.55000000000000004">
      <c r="A2804" t="s">
        <v>825</v>
      </c>
      <c r="B2804" t="s">
        <v>1662</v>
      </c>
      <c r="C2804" t="s">
        <v>6105</v>
      </c>
      <c r="D2804" t="s">
        <v>1657</v>
      </c>
      <c r="E2804" t="s">
        <v>6069</v>
      </c>
      <c r="F2804" t="str">
        <f t="shared" si="45"/>
        <v>"C:\Program Files\VideoLAN\VLC\vlc.exe" "http://edge-bauerall-01-gos2.sharp-stream.com/metro.aac"</v>
      </c>
      <c r="M2804" t="str">
        <f>VLOOKUP(A2804,logos!$A$2:$A$381,1,FALSE)</f>
        <v>Metro Radio</v>
      </c>
    </row>
    <row r="2805" spans="1:13" hidden="1" x14ac:dyDescent="0.55000000000000004">
      <c r="A2805" t="s">
        <v>827</v>
      </c>
      <c r="B2805" t="s">
        <v>1662</v>
      </c>
      <c r="C2805" t="s">
        <v>6106</v>
      </c>
      <c r="D2805" t="s">
        <v>1657</v>
      </c>
      <c r="E2805" t="s">
        <v>6069</v>
      </c>
      <c r="F2805" t="str">
        <f t="shared" si="45"/>
        <v>"C:\Program Files\VideoLAN\VLC\vlc.exe" "http://edge-bauerall-01-gos2.sharp-stream.com/mfrfm.aac"</v>
      </c>
      <c r="M2805" t="str">
        <f>VLOOKUP(A2805,logos!$A$2:$A$381,1,FALSE)</f>
        <v>MFR</v>
      </c>
    </row>
    <row r="2806" spans="1:13" hidden="1" x14ac:dyDescent="0.55000000000000004">
      <c r="A2806" t="s">
        <v>829</v>
      </c>
      <c r="B2806" t="s">
        <v>1662</v>
      </c>
      <c r="C2806" t="s">
        <v>6107</v>
      </c>
      <c r="D2806" t="s">
        <v>1657</v>
      </c>
      <c r="E2806" t="s">
        <v>6069</v>
      </c>
      <c r="F2806" t="str">
        <f t="shared" si="45"/>
        <v>"C:\Program Files\VideoLAN\VLC\vlc.exe" "http://edge-bauerall-01-gos2.sharp-stream.com/mfram.aac"</v>
      </c>
      <c r="M2806" t="str">
        <f>VLOOKUP(A2806,logos!$A$2:$A$381,1,FALSE)</f>
        <v>MFR 2</v>
      </c>
    </row>
    <row r="2807" spans="1:13" hidden="1" x14ac:dyDescent="0.55000000000000004">
      <c r="A2807" t="s">
        <v>923</v>
      </c>
      <c r="B2807" t="s">
        <v>1662</v>
      </c>
      <c r="C2807" t="s">
        <v>6108</v>
      </c>
      <c r="D2807" t="s">
        <v>1657</v>
      </c>
      <c r="E2807" t="s">
        <v>6069</v>
      </c>
      <c r="F2807" t="str">
        <f t="shared" si="45"/>
        <v>"C:\Program Files\VideoLAN\VLC\vlc.exe" "http://edge-bauerall-01-gos2.sharp-stream.com/northsound1.aac"</v>
      </c>
      <c r="M2807" t="str">
        <f>VLOOKUP(A2807,logos!$A$2:$A$381,1,FALSE)</f>
        <v>Northsound 1</v>
      </c>
    </row>
    <row r="2808" spans="1:13" hidden="1" x14ac:dyDescent="0.55000000000000004">
      <c r="A2808" t="s">
        <v>925</v>
      </c>
      <c r="B2808" t="s">
        <v>1662</v>
      </c>
      <c r="C2808" t="s">
        <v>6109</v>
      </c>
      <c r="D2808" t="s">
        <v>1657</v>
      </c>
      <c r="E2808" t="s">
        <v>6069</v>
      </c>
      <c r="F2808" t="str">
        <f t="shared" si="45"/>
        <v>"C:\Program Files\VideoLAN\VLC\vlc.exe" "http://edge-bauerall-01-gos2.sharp-stream.com/northsound2.aac"</v>
      </c>
      <c r="M2808" t="str">
        <f>VLOOKUP(A2808,logos!$A$2:$A$381,1,FALSE)</f>
        <v>Northsound 2</v>
      </c>
    </row>
    <row r="2809" spans="1:13" hidden="1" x14ac:dyDescent="0.55000000000000004">
      <c r="A2809" t="s">
        <v>2794</v>
      </c>
      <c r="B2809" t="s">
        <v>1662</v>
      </c>
      <c r="C2809" t="s">
        <v>6110</v>
      </c>
      <c r="D2809" t="s">
        <v>1657</v>
      </c>
      <c r="E2809" t="s">
        <v>6069</v>
      </c>
      <c r="F2809" t="str">
        <f t="shared" si="45"/>
        <v>"C:\Program Files\VideoLAN\VLC\vlc.exe" "http://edge-bauerall-01-gos2.sharp-stream.com/net1cornwalleast.aac"</v>
      </c>
      <c r="M2809" t="e">
        <f>VLOOKUP(A2809,logos!$A$2:$A$381,1,FALSE)</f>
        <v>#N/A</v>
      </c>
    </row>
    <row r="2810" spans="1:13" hidden="1" x14ac:dyDescent="0.55000000000000004">
      <c r="A2810" t="s">
        <v>2795</v>
      </c>
      <c r="B2810" t="s">
        <v>1662</v>
      </c>
      <c r="C2810" t="s">
        <v>6111</v>
      </c>
      <c r="D2810" t="s">
        <v>1657</v>
      </c>
      <c r="E2810" t="s">
        <v>6069</v>
      </c>
      <c r="F2810" t="str">
        <f t="shared" si="45"/>
        <v>"C:\Program Files\VideoLAN\VLC\vlc.exe" "http://edge-bauerall-01-gos2.sharp-stream.com/net1cornwall.aac"</v>
      </c>
      <c r="M2810" t="str">
        <f>VLOOKUP(A2810,logos!$A$2:$A$381,1,FALSE)</f>
        <v>Pirate FM (West)</v>
      </c>
    </row>
    <row r="2811" spans="1:13" hidden="1" x14ac:dyDescent="0.55000000000000004">
      <c r="A2811" t="s">
        <v>950</v>
      </c>
      <c r="B2811" t="s">
        <v>1662</v>
      </c>
      <c r="C2811" t="s">
        <v>6112</v>
      </c>
      <c r="D2811" t="s">
        <v>1657</v>
      </c>
      <c r="E2811" t="s">
        <v>6069</v>
      </c>
      <c r="F2811" t="str">
        <f t="shared" si="45"/>
        <v>"C:\Program Files\VideoLAN\VLC\vlc.exe" "http://edge-bauerall-01-gos2.sharp-stream.com/planetrock.aac"</v>
      </c>
      <c r="M2811" t="str">
        <f>VLOOKUP(A2811,logos!$A$2:$A$381,1,FALSE)</f>
        <v>Planet Rock</v>
      </c>
    </row>
    <row r="2812" spans="1:13" hidden="1" x14ac:dyDescent="0.55000000000000004">
      <c r="A2812" t="s">
        <v>976</v>
      </c>
      <c r="B2812" t="s">
        <v>1662</v>
      </c>
      <c r="C2812" t="s">
        <v>6113</v>
      </c>
      <c r="D2812" t="s">
        <v>1657</v>
      </c>
      <c r="E2812" t="s">
        <v>6069</v>
      </c>
      <c r="F2812" t="str">
        <f t="shared" si="45"/>
        <v>"C:\Program Files\VideoLAN\VLC\vlc.exe" "http://edge-bauerall-01-gos2.sharp-stream.com/net1bradford.aac"</v>
      </c>
      <c r="M2812" t="str">
        <f>VLOOKUP(A2812,logos!$A$2:$A$381,1,FALSE)</f>
        <v>Pulse 1</v>
      </c>
    </row>
    <row r="2813" spans="1:13" hidden="1" x14ac:dyDescent="0.55000000000000004">
      <c r="A2813" t="s">
        <v>1011</v>
      </c>
      <c r="B2813" t="s">
        <v>1662</v>
      </c>
      <c r="C2813" t="s">
        <v>6114</v>
      </c>
      <c r="D2813" t="s">
        <v>1657</v>
      </c>
      <c r="E2813" t="s">
        <v>6069</v>
      </c>
      <c r="F2813" t="str">
        <f t="shared" si="45"/>
        <v>"C:\Program Files\VideoLAN\VLC\vlc.exe" "http://edge-bauerall-01-gos2.sharp-stream.com/borders.aac"</v>
      </c>
      <c r="M2813" t="str">
        <f>VLOOKUP(A2813,logos!$A$2:$A$381,1,FALSE)</f>
        <v>Radio Borders</v>
      </c>
    </row>
    <row r="2814" spans="1:13" hidden="1" x14ac:dyDescent="0.55000000000000004">
      <c r="A2814" t="s">
        <v>1023</v>
      </c>
      <c r="B2814" t="s">
        <v>1662</v>
      </c>
      <c r="C2814" t="s">
        <v>6115</v>
      </c>
      <c r="D2814" t="s">
        <v>1657</v>
      </c>
      <c r="E2814" t="s">
        <v>6069</v>
      </c>
      <c r="F2814" t="str">
        <f t="shared" si="45"/>
        <v>"C:\Program Files\VideoLAN\VLC\vlc.exe" "http://edge-bauerall-01-gos2.sharp-stream.com/city.aac"</v>
      </c>
      <c r="M2814" t="str">
        <f>VLOOKUP(A2814,logos!$A$2:$A$381,1,FALSE)</f>
        <v>Radio City</v>
      </c>
    </row>
    <row r="2815" spans="1:13" hidden="1" x14ac:dyDescent="0.55000000000000004">
      <c r="A2815" t="s">
        <v>1082</v>
      </c>
      <c r="B2815" t="s">
        <v>1662</v>
      </c>
      <c r="C2815" t="s">
        <v>6067</v>
      </c>
      <c r="D2815" t="s">
        <v>1657</v>
      </c>
      <c r="E2815" t="s">
        <v>6069</v>
      </c>
      <c r="F2815" t="str">
        <f t="shared" si="45"/>
        <v>"C:\Program Files\VideoLAN\VLC\vlc.exe" "http://edge-bauerall-01-gos2.sharp-stream.com/rock.aac"</v>
      </c>
      <c r="M2815" t="str">
        <f>VLOOKUP(A2815,logos!$A$2:$A$381,1,FALSE)</f>
        <v>Rock FM</v>
      </c>
    </row>
    <row r="2816" spans="1:13" hidden="1" x14ac:dyDescent="0.55000000000000004">
      <c r="A2816" t="s">
        <v>1113</v>
      </c>
      <c r="B2816" t="s">
        <v>1662</v>
      </c>
      <c r="C2816" t="s">
        <v>6116</v>
      </c>
      <c r="D2816" t="s">
        <v>1657</v>
      </c>
      <c r="E2816" t="s">
        <v>6069</v>
      </c>
      <c r="F2816" t="str">
        <f t="shared" si="45"/>
        <v>"C:\Program Files\VideoLAN\VLC\vlc.exe" "http://edge-bauerall-01-gos2.sharp-stream.com/net1stoke.aac"</v>
      </c>
      <c r="M2816" t="str">
        <f>VLOOKUP(A2816,logos!$A$2:$A$381,1,FALSE)</f>
        <v>Signal 1</v>
      </c>
    </row>
    <row r="2817" spans="1:13" hidden="1" x14ac:dyDescent="0.55000000000000004">
      <c r="A2817" t="s">
        <v>1247</v>
      </c>
      <c r="B2817" t="s">
        <v>1662</v>
      </c>
      <c r="C2817" t="s">
        <v>6117</v>
      </c>
      <c r="D2817" t="s">
        <v>1657</v>
      </c>
      <c r="E2817" t="s">
        <v>6069</v>
      </c>
      <c r="F2817" t="str">
        <f t="shared" si="45"/>
        <v>"C:\Program Files\VideoLAN\VLC\vlc.exe" "http://edge-bauerall-01-gos2.sharp-stream.com/tayam.aac"</v>
      </c>
      <c r="M2817" t="str">
        <f>VLOOKUP(A2817,logos!$A$2:$A$381,1,FALSE)</f>
        <v>Tay 2</v>
      </c>
    </row>
    <row r="2818" spans="1:13" hidden="1" x14ac:dyDescent="0.55000000000000004">
      <c r="A2818" t="s">
        <v>1245</v>
      </c>
      <c r="B2818" t="s">
        <v>1662</v>
      </c>
      <c r="C2818" t="s">
        <v>6118</v>
      </c>
      <c r="D2818" t="s">
        <v>1657</v>
      </c>
      <c r="E2818" t="s">
        <v>6069</v>
      </c>
      <c r="F2818" t="str">
        <f t="shared" si="45"/>
        <v>"C:\Program Files\VideoLAN\VLC\vlc.exe" "http://edge-bauerall-01-gos2.sharp-stream.com/tayfm.aac"</v>
      </c>
      <c r="M2818" t="str">
        <f>VLOOKUP(A2818,logos!$A$2:$A$381,1,FALSE)</f>
        <v>Tay FM</v>
      </c>
    </row>
    <row r="2819" spans="1:13" hidden="1" x14ac:dyDescent="0.55000000000000004">
      <c r="A2819" t="s">
        <v>1251</v>
      </c>
      <c r="B2819" t="s">
        <v>1662</v>
      </c>
      <c r="C2819" t="s">
        <v>6119</v>
      </c>
      <c r="D2819" t="s">
        <v>1657</v>
      </c>
      <c r="E2819" t="s">
        <v>6069</v>
      </c>
      <c r="F2819" t="str">
        <f t="shared" si="45"/>
        <v>"C:\Program Files\VideoLAN\VLC\vlc.exe" "http://edge-bauerall-01-gos2.sharp-stream.com/tfm.aac"</v>
      </c>
      <c r="M2819" t="str">
        <f>VLOOKUP(A2819,logos!$A$2:$A$381,1,FALSE)</f>
        <v>TFM</v>
      </c>
    </row>
    <row r="2820" spans="1:13" hidden="1" x14ac:dyDescent="0.55000000000000004">
      <c r="A2820" t="s">
        <v>1265</v>
      </c>
      <c r="B2820" t="s">
        <v>1662</v>
      </c>
      <c r="C2820" t="s">
        <v>6120</v>
      </c>
      <c r="D2820" t="s">
        <v>1657</v>
      </c>
      <c r="E2820" t="s">
        <v>6069</v>
      </c>
      <c r="F2820" t="str">
        <f t="shared" si="45"/>
        <v>"C:\Program Files\VideoLAN\VLC\vlc.exe" "http://edge-bauerall-01-gos2.sharp-stream.com/net1swansea.aac"</v>
      </c>
      <c r="M2820" t="str">
        <f>VLOOKUP(A2820,logos!$A$2:$A$381,1,FALSE)</f>
        <v>The Wave</v>
      </c>
    </row>
    <row r="2821" spans="1:13" hidden="1" x14ac:dyDescent="0.55000000000000004">
      <c r="A2821" t="s">
        <v>1303</v>
      </c>
      <c r="B2821" t="s">
        <v>1662</v>
      </c>
      <c r="C2821" t="s">
        <v>6121</v>
      </c>
      <c r="D2821" t="s">
        <v>1657</v>
      </c>
      <c r="E2821" t="s">
        <v>6069</v>
      </c>
      <c r="F2821" t="str">
        <f t="shared" si="45"/>
        <v>"C:\Program Files\VideoLAN\VLC\vlc.exe" "http://edge-bauerall-01-gos2.sharp-stream.com/viking.aac"</v>
      </c>
      <c r="M2821" t="str">
        <f>VLOOKUP(A2821,logos!$A$2:$A$381,1,FALSE)</f>
        <v>Viking FM</v>
      </c>
    </row>
    <row r="2822" spans="1:13" hidden="1" x14ac:dyDescent="0.55000000000000004">
      <c r="A2822" t="s">
        <v>1316</v>
      </c>
      <c r="B2822" t="s">
        <v>1662</v>
      </c>
      <c r="C2822" t="s">
        <v>6122</v>
      </c>
      <c r="D2822" t="s">
        <v>1657</v>
      </c>
      <c r="E2822" t="s">
        <v>6069</v>
      </c>
      <c r="F2822" t="str">
        <f t="shared" si="45"/>
        <v>"C:\Program Files\VideoLAN\VLC\vlc.exe" "http://edge-bauerall-01-gos2.sharp-stream.com/wave105.aac"</v>
      </c>
      <c r="M2822" t="str">
        <f>VLOOKUP(A2822,logos!$A$2:$A$381,1,FALSE)</f>
        <v>Wave 105</v>
      </c>
    </row>
    <row r="2823" spans="1:13" hidden="1" x14ac:dyDescent="0.55000000000000004">
      <c r="A2823" t="s">
        <v>1320</v>
      </c>
      <c r="B2823" t="s">
        <v>1662</v>
      </c>
      <c r="C2823" t="s">
        <v>6123</v>
      </c>
      <c r="D2823" t="s">
        <v>1657</v>
      </c>
      <c r="E2823" t="s">
        <v>6069</v>
      </c>
      <c r="F2823" t="str">
        <f t="shared" si="45"/>
        <v>"C:\Program Files\VideoLAN\VLC\vlc.exe" "http://edge-bauerall-01-gos2.sharp-stream.com/westfm.aac"</v>
      </c>
      <c r="M2823" t="str">
        <f>VLOOKUP(A2823,logos!$A$2:$A$381,1,FALSE)</f>
        <v>West FM</v>
      </c>
    </row>
    <row r="2824" spans="1:13" hidden="1" x14ac:dyDescent="0.55000000000000004">
      <c r="A2824" t="s">
        <v>2833</v>
      </c>
      <c r="B2824" t="s">
        <v>1662</v>
      </c>
      <c r="C2824" t="s">
        <v>6124</v>
      </c>
      <c r="D2824" t="s">
        <v>1657</v>
      </c>
      <c r="E2824" t="s">
        <v>6069</v>
      </c>
      <c r="F2824" t="str">
        <f t="shared" si="45"/>
        <v>"C:\Program Files\VideoLAN\VLC\vlc.exe" "http://edge-bauerall-01-gos2.sharp-stream.com/westsound.aac"</v>
      </c>
      <c r="M2824" t="e">
        <f>VLOOKUP(A2824,logos!$A$2:$A$381,1,FALSE)</f>
        <v>#N/A</v>
      </c>
    </row>
    <row r="2825" spans="1:13" hidden="1" x14ac:dyDescent="0.55000000000000004">
      <c r="A2825" t="s">
        <v>2834</v>
      </c>
      <c r="B2825" t="s">
        <v>1662</v>
      </c>
      <c r="C2825" t="s">
        <v>6125</v>
      </c>
      <c r="D2825" t="s">
        <v>1657</v>
      </c>
      <c r="E2825" t="s">
        <v>6069</v>
      </c>
      <c r="F2825" t="str">
        <f t="shared" si="45"/>
        <v>"C:\Program Files\VideoLAN\VLC\vlc.exe" "http://edge-bauerall-01-gos2.sharp-stream.com/westsoundfm.aac"</v>
      </c>
      <c r="M2825" t="e">
        <f>VLOOKUP(A2825,logos!$A$2:$A$381,1,FALSE)</f>
        <v>#N/A</v>
      </c>
    </row>
    <row r="2826" spans="1:13" hidden="1" x14ac:dyDescent="0.55000000000000004">
      <c r="A2826" t="s">
        <v>2680</v>
      </c>
      <c r="B2826" t="s">
        <v>1662</v>
      </c>
      <c r="C2826" t="s">
        <v>6129</v>
      </c>
      <c r="D2826" t="s">
        <v>1657</v>
      </c>
      <c r="E2826" t="s">
        <v>6069</v>
      </c>
      <c r="F2826" t="str">
        <f t="shared" si="45"/>
        <v>"C:\Program Files\VideoLAN\VLC\vlc.exe" "http://edge-bauerall-01-gos2.sharp-stream.com/net2cumbria.aac"</v>
      </c>
      <c r="M2826" t="str">
        <f>VLOOKUP(A2826,logos!$A$2:$A$381,1,FALSE)</f>
        <v>Greatest Hits Radio (North West) (Cumbria)</v>
      </c>
    </row>
    <row r="2827" spans="1:13" hidden="1" x14ac:dyDescent="0.55000000000000004">
      <c r="A2827" t="s">
        <v>1605</v>
      </c>
      <c r="B2827" t="s">
        <v>1662</v>
      </c>
      <c r="C2827" t="s">
        <v>6128</v>
      </c>
      <c r="D2827" t="s">
        <v>1657</v>
      </c>
      <c r="E2827" t="s">
        <v>6069</v>
      </c>
      <c r="F2827" t="str">
        <f t="shared" si="45"/>
        <v>"C:\Program Files\VideoLAN\VLC\vlc.exe" "http://edge-bauerall-01-gos2.sharp-stream.com/key.aac"</v>
      </c>
      <c r="M2827" t="str">
        <f>VLOOKUP(A2827,logos!$A$2:$A$381,1,FALSE)</f>
        <v>Hits Radio (Manchester)</v>
      </c>
    </row>
    <row r="2828" spans="1:13" hidden="1" x14ac:dyDescent="0.55000000000000004">
      <c r="A2828" t="s">
        <v>2760</v>
      </c>
      <c r="B2828" t="s">
        <v>1662</v>
      </c>
      <c r="C2828" t="s">
        <v>6130</v>
      </c>
      <c r="D2828" t="s">
        <v>1657</v>
      </c>
      <c r="E2828" t="s">
        <v>6069</v>
      </c>
      <c r="F2828" t="str">
        <f t="shared" si="45"/>
        <v>"C:\Program Files\VideoLAN\VLC\vlc.exe" "http://edge-bauerall-01-gos2.sharp-stream.com/hits.aac"</v>
      </c>
      <c r="M2828" t="str">
        <f>VLOOKUP(A2828,logos!$A$2:$A$381,1,FALSE)</f>
        <v>Hits Radio (UK)</v>
      </c>
    </row>
    <row r="2829" spans="1:13" hidden="1" x14ac:dyDescent="0.55000000000000004">
      <c r="A2829" t="s">
        <v>702</v>
      </c>
      <c r="B2829" t="s">
        <v>1662</v>
      </c>
      <c r="C2829" t="s">
        <v>6131</v>
      </c>
      <c r="D2829" t="s">
        <v>1657</v>
      </c>
      <c r="E2829" t="s">
        <v>6069</v>
      </c>
      <c r="F2829" t="str">
        <f t="shared" si="45"/>
        <v>"C:\Program Files\VideoLAN\VLC\vlc.exe" "http://edge-bauerall-01-gos2.sharp-stream.com/hitsradiopride.aac"</v>
      </c>
      <c r="M2829" t="str">
        <f>VLOOKUP(A2829,logos!$A$2:$A$381,1,FALSE)</f>
        <v>Hits Radio Pride</v>
      </c>
    </row>
    <row r="2830" spans="1:13" hidden="1" x14ac:dyDescent="0.55000000000000004">
      <c r="A2830" t="s">
        <v>2762</v>
      </c>
      <c r="B2830" t="s">
        <v>1662</v>
      </c>
      <c r="C2830" t="s">
        <v>6127</v>
      </c>
      <c r="D2830" t="s">
        <v>1657</v>
      </c>
      <c r="E2830" t="s">
        <v>6069</v>
      </c>
      <c r="F2830" t="str">
        <f t="shared" ref="F2830:F2831" si="46">"""C:\Program Files\VideoLAN\VLC\vlc.exe"" """&amp;C2830&amp;""""</f>
        <v>"C:\Program Files\VideoLAN\VLC\vlc.exe" "http://edge-bauerall-01-gos2.sharp-stream.com/kiss100.aac"</v>
      </c>
      <c r="M2830" t="e">
        <f>VLOOKUP(A2830,logos!$A$2:$A$381,1,FALSE)</f>
        <v>#N/A</v>
      </c>
    </row>
    <row r="2831" spans="1:13" hidden="1" x14ac:dyDescent="0.55000000000000004">
      <c r="A2831" t="s">
        <v>2763</v>
      </c>
      <c r="B2831" t="s">
        <v>1662</v>
      </c>
      <c r="C2831" t="s">
        <v>6126</v>
      </c>
      <c r="D2831" t="s">
        <v>1657</v>
      </c>
      <c r="E2831" t="s">
        <v>6069</v>
      </c>
      <c r="F2831" t="str">
        <f t="shared" si="46"/>
        <v>"C:\Program Files\VideoLAN\VLC\vlc.exe" "http://edge-bauerall-01-gos2.sharp-stream.com/kissnational.aac"</v>
      </c>
      <c r="M2831" t="str">
        <f>VLOOKUP(A2831,logos!$A$2:$A$381,1,FALSE)</f>
        <v>KISS (UK)</v>
      </c>
    </row>
    <row r="2832" spans="1:13" hidden="1" x14ac:dyDescent="0.55000000000000004">
      <c r="A2832" t="s">
        <v>2843</v>
      </c>
      <c r="B2832" t="s">
        <v>1663</v>
      </c>
      <c r="C2832" t="s">
        <v>6174</v>
      </c>
      <c r="E2832" t="s">
        <v>6202</v>
      </c>
      <c r="F2832" t="str">
        <f t="shared" ref="F2832:F2863" si="47">"""C:\Program Files\VideoLAN\VLC\vlc.exe"" """&amp;C2832&amp;""""</f>
        <v>"C:\Program Files\VideoLAN\VLC\vlc.exe" "http://a.files.bbci.co.uk/media/live/manifesto/audio/simulcast/hls/uk/sbr_med/ak/bbc_radio_one.m3u8"</v>
      </c>
    </row>
    <row r="2833" spans="1:6" hidden="1" x14ac:dyDescent="0.55000000000000004">
      <c r="A2833" t="s">
        <v>101</v>
      </c>
      <c r="B2833" t="s">
        <v>1663</v>
      </c>
      <c r="C2833" t="s">
        <v>6136</v>
      </c>
      <c r="E2833" t="s">
        <v>6202</v>
      </c>
      <c r="F2833" t="str">
        <f t="shared" si="47"/>
        <v>"C:\Program Files\VideoLAN\VLC\vlc.exe" "http://a.files.bbci.co.uk/media/live/manifesto/audio/simulcast/hls/uk/sbr_med/ak/bbc_1xtra.m3u8"</v>
      </c>
    </row>
    <row r="2834" spans="1:6" hidden="1" x14ac:dyDescent="0.55000000000000004">
      <c r="A2834" t="s">
        <v>103</v>
      </c>
      <c r="B2834" t="s">
        <v>1663</v>
      </c>
      <c r="C2834" t="s">
        <v>6191</v>
      </c>
      <c r="E2834" t="s">
        <v>6202</v>
      </c>
      <c r="F2834" t="str">
        <f t="shared" si="47"/>
        <v>"C:\Program Files\VideoLAN\VLC\vlc.exe" "http://a.files.bbci.co.uk/media/live/manifesto/audio/simulcast/hls/uk/sbr_med/ak/bbc_radio_two.m3u8"</v>
      </c>
    </row>
    <row r="2835" spans="1:6" hidden="1" x14ac:dyDescent="0.55000000000000004">
      <c r="A2835" t="s">
        <v>105</v>
      </c>
      <c r="B2835" t="s">
        <v>1663</v>
      </c>
      <c r="C2835" t="s">
        <v>6190</v>
      </c>
      <c r="E2835" t="s">
        <v>6202</v>
      </c>
      <c r="F2835" t="str">
        <f t="shared" si="47"/>
        <v>"C:\Program Files\VideoLAN\VLC\vlc.exe" "http://a.files.bbci.co.uk/media/live/manifesto/audio/simulcast/hls/uk/sbr_med/ak/bbc_radio_three.m3u8"</v>
      </c>
    </row>
    <row r="2836" spans="1:6" hidden="1" x14ac:dyDescent="0.55000000000000004">
      <c r="A2836" t="s">
        <v>2844</v>
      </c>
      <c r="B2836" t="s">
        <v>1663</v>
      </c>
      <c r="C2836" t="s">
        <v>6154</v>
      </c>
      <c r="E2836" t="s">
        <v>6202</v>
      </c>
      <c r="F2836" t="str">
        <f t="shared" si="47"/>
        <v>"C:\Program Files\VideoLAN\VLC\vlc.exe" "http://a.files.bbci.co.uk/media/live/manifesto/audio/simulcast/hls/uk/sbr_med/ak/bbc_radio_fourfm.m3u8"</v>
      </c>
    </row>
    <row r="2837" spans="1:6" hidden="1" x14ac:dyDescent="0.55000000000000004">
      <c r="A2837" t="s">
        <v>2845</v>
      </c>
      <c r="B2837" t="s">
        <v>1663</v>
      </c>
      <c r="C2837" t="s">
        <v>6155</v>
      </c>
      <c r="E2837" t="s">
        <v>6202</v>
      </c>
      <c r="F2837" t="str">
        <f t="shared" si="47"/>
        <v>"C:\Program Files\VideoLAN\VLC\vlc.exe" "http://a.files.bbci.co.uk/media/live/manifesto/audio/simulcast/hls/uk/sbr_med/ak/bbc_radio_fourlw.m3u8"</v>
      </c>
    </row>
    <row r="2838" spans="1:6" hidden="1" x14ac:dyDescent="0.55000000000000004">
      <c r="A2838" t="s">
        <v>111</v>
      </c>
      <c r="B2838" t="s">
        <v>1663</v>
      </c>
      <c r="C2838" t="s">
        <v>6153</v>
      </c>
      <c r="E2838" t="s">
        <v>6202</v>
      </c>
      <c r="F2838" t="str">
        <f t="shared" si="47"/>
        <v>"C:\Program Files\VideoLAN\VLC\vlc.exe" "http://a.files.bbci.co.uk/media/live/manifesto/audio/simulcast/hls/uk/sbr_med/ak/bbc_radio_four_extra.m3u8"</v>
      </c>
    </row>
    <row r="2839" spans="1:6" hidden="1" x14ac:dyDescent="0.55000000000000004">
      <c r="A2839" t="s">
        <v>113</v>
      </c>
      <c r="B2839" t="s">
        <v>1663</v>
      </c>
      <c r="C2839" t="s">
        <v>6151</v>
      </c>
      <c r="E2839" t="s">
        <v>6202</v>
      </c>
      <c r="F2839" t="str">
        <f t="shared" si="47"/>
        <v>"C:\Program Files\VideoLAN\VLC\vlc.exe" "http://a.files.bbci.co.uk/media/live/manifesto/audio/simulcast/hls/uk/sbr_med/ak/bbc_radio_five_live.m3u8"</v>
      </c>
    </row>
    <row r="2840" spans="1:6" hidden="1" x14ac:dyDescent="0.55000000000000004">
      <c r="A2840" t="s">
        <v>116</v>
      </c>
      <c r="B2840" t="s">
        <v>1663</v>
      </c>
      <c r="C2840" t="s">
        <v>6152</v>
      </c>
      <c r="E2840" t="s">
        <v>6202</v>
      </c>
      <c r="F2840" t="str">
        <f t="shared" si="47"/>
        <v>"C:\Program Files\VideoLAN\VLC\vlc.exe" "http://a.files.bbci.co.uk/media/live/manifesto/audio/simulcast/hls/uk/sbr_med/ak/bbc_radio_five_live_sports_extra.m3u8"</v>
      </c>
    </row>
    <row r="2841" spans="1:6" hidden="1" x14ac:dyDescent="0.55000000000000004">
      <c r="A2841" t="s">
        <v>118</v>
      </c>
      <c r="B2841" t="s">
        <v>1663</v>
      </c>
      <c r="C2841" t="s">
        <v>6137</v>
      </c>
      <c r="E2841" t="s">
        <v>6202</v>
      </c>
      <c r="F2841" t="str">
        <f t="shared" si="47"/>
        <v>"C:\Program Files\VideoLAN\VLC\vlc.exe" "http://a.files.bbci.co.uk/media/live/manifesto/audio/simulcast/hls/uk/sbr_med/ak/bbc_6music.m3u8"</v>
      </c>
    </row>
    <row r="2842" spans="1:6" hidden="1" x14ac:dyDescent="0.55000000000000004">
      <c r="A2842" t="s">
        <v>90</v>
      </c>
      <c r="B2842" t="s">
        <v>1663</v>
      </c>
      <c r="C2842" t="s">
        <v>6138</v>
      </c>
      <c r="E2842" t="s">
        <v>6202</v>
      </c>
      <c r="F2842" t="str">
        <f t="shared" si="47"/>
        <v>"C:\Program Files\VideoLAN\VLC\vlc.exe" "http://a.files.bbci.co.uk/media/live/manifesto/audio/simulcast/hls/uk/sbr_med/ak/bbc_asian_network.m3u8"</v>
      </c>
    </row>
    <row r="2843" spans="1:6" hidden="1" x14ac:dyDescent="0.55000000000000004">
      <c r="A2843" t="s">
        <v>6200</v>
      </c>
      <c r="B2843" t="s">
        <v>1663</v>
      </c>
      <c r="C2843" t="s">
        <v>6175</v>
      </c>
      <c r="E2843" t="s">
        <v>6202</v>
      </c>
      <c r="F2843" t="str">
        <f t="shared" si="47"/>
        <v>"C:\Program Files\VideoLAN\VLC\vlc.exe" "http://a.files.bbci.co.uk/media/live/manifesto/audio/simulcast/hls/uk/sbr_med/ak/bbc_radio_one_dance.m3u8"</v>
      </c>
    </row>
    <row r="2844" spans="1:6" hidden="1" x14ac:dyDescent="0.55000000000000004">
      <c r="A2844" t="s">
        <v>6201</v>
      </c>
      <c r="B2844" t="s">
        <v>1663</v>
      </c>
      <c r="C2844" t="s">
        <v>6176</v>
      </c>
      <c r="E2844" t="s">
        <v>6202</v>
      </c>
      <c r="F2844" t="str">
        <f t="shared" si="47"/>
        <v>"C:\Program Files\VideoLAN\VLC\vlc.exe" "http://a.files.bbci.co.uk/media/live/manifesto/audio/simulcast/hls/uk/sbr_med/ak/bbc_radio_one_relax.m3u8"</v>
      </c>
    </row>
    <row r="2845" spans="1:6" hidden="1" x14ac:dyDescent="0.55000000000000004">
      <c r="A2845" t="s">
        <v>216</v>
      </c>
      <c r="B2845" t="s">
        <v>1663</v>
      </c>
      <c r="C2845" t="s">
        <v>6199</v>
      </c>
      <c r="E2845" t="s">
        <v>6202</v>
      </c>
      <c r="F2845" t="str">
        <f t="shared" si="47"/>
        <v>"C:\Program Files\VideoLAN\VLC\vlc.exe" "http://a.files.bbci.co.uk/media/live/manifesto/audio/simulcast/hls/uk/sbr_med/ak/bbc_world_service.m3u8"</v>
      </c>
    </row>
    <row r="2846" spans="1:6" hidden="1" x14ac:dyDescent="0.55000000000000004">
      <c r="A2846" t="s">
        <v>2854</v>
      </c>
      <c r="B2846" t="s">
        <v>1663</v>
      </c>
      <c r="C2846" t="s">
        <v>6139</v>
      </c>
      <c r="E2846" t="s">
        <v>6202</v>
      </c>
      <c r="F2846" t="str">
        <f t="shared" si="47"/>
        <v>"C:\Program Files\VideoLAN\VLC\vlc.exe" "http://a.files.bbci.co.uk/media/live/manifesto/audio/simulcast/hls/uk/sbr_med/ak/bbc_london.m3u8"</v>
      </c>
    </row>
    <row r="2847" spans="1:6" hidden="1" x14ac:dyDescent="0.55000000000000004">
      <c r="A2847" t="s">
        <v>120</v>
      </c>
      <c r="B2847" t="s">
        <v>1663</v>
      </c>
      <c r="C2847" t="s">
        <v>6140</v>
      </c>
      <c r="E2847" t="s">
        <v>6202</v>
      </c>
      <c r="F2847" t="str">
        <f t="shared" si="47"/>
        <v>"C:\Program Files\VideoLAN\VLC\vlc.exe" "http://a.files.bbci.co.uk/media/live/manifesto/audio/simulcast/hls/uk/sbr_med/ak/bbc_radio_berkshire.m3u8"</v>
      </c>
    </row>
    <row r="2848" spans="1:6" hidden="1" x14ac:dyDescent="0.55000000000000004">
      <c r="A2848" t="s">
        <v>122</v>
      </c>
      <c r="B2848" t="s">
        <v>1663</v>
      </c>
      <c r="C2848" t="s">
        <v>6141</v>
      </c>
      <c r="E2848" t="s">
        <v>6202</v>
      </c>
      <c r="F2848" t="str">
        <f t="shared" si="47"/>
        <v>"C:\Program Files\VideoLAN\VLC\vlc.exe" "http://a.files.bbci.co.uk/media/live/manifesto/audio/simulcast/hls/uk/sbr_med/ak/bbc_radio_bristol.m3u8"</v>
      </c>
    </row>
    <row r="2849" spans="1:6" hidden="1" x14ac:dyDescent="0.55000000000000004">
      <c r="A2849" t="s">
        <v>2846</v>
      </c>
      <c r="B2849" t="s">
        <v>1663</v>
      </c>
      <c r="C2849" t="s">
        <v>6142</v>
      </c>
      <c r="E2849" t="s">
        <v>6202</v>
      </c>
      <c r="F2849" t="str">
        <f t="shared" si="47"/>
        <v>"C:\Program Files\VideoLAN\VLC\vlc.exe" "http://a.files.bbci.co.uk/media/live/manifesto/audio/simulcast/hls/uk/sbr_med/ak/bbc_radio_cambridge.m3u8"</v>
      </c>
    </row>
    <row r="2850" spans="1:6" hidden="1" x14ac:dyDescent="0.55000000000000004">
      <c r="A2850" t="s">
        <v>126</v>
      </c>
      <c r="B2850" t="s">
        <v>1663</v>
      </c>
      <c r="C2850" t="s">
        <v>6143</v>
      </c>
      <c r="E2850" t="s">
        <v>6202</v>
      </c>
      <c r="F2850" t="str">
        <f t="shared" si="47"/>
        <v>"C:\Program Files\VideoLAN\VLC\vlc.exe" "http://a.files.bbci.co.uk/media/live/manifesto/audio/simulcast/hls/uk/sbr_med/ak/bbc_radio_cornwall.m3u8"</v>
      </c>
    </row>
    <row r="2851" spans="1:6" hidden="1" x14ac:dyDescent="0.55000000000000004">
      <c r="A2851" t="s">
        <v>93</v>
      </c>
      <c r="B2851" t="s">
        <v>1663</v>
      </c>
      <c r="C2851" t="s">
        <v>6144</v>
      </c>
      <c r="E2851" t="s">
        <v>6202</v>
      </c>
      <c r="F2851" t="str">
        <f t="shared" si="47"/>
        <v>"C:\Program Files\VideoLAN\VLC\vlc.exe" "http://a.files.bbci.co.uk/media/live/manifesto/audio/simulcast/hls/uk/sbr_med/ak/bbc_radio_coventry_warwickshire.m3u8"</v>
      </c>
    </row>
    <row r="2852" spans="1:6" hidden="1" x14ac:dyDescent="0.55000000000000004">
      <c r="A2852" t="s">
        <v>2847</v>
      </c>
      <c r="B2852" t="s">
        <v>1663</v>
      </c>
      <c r="C2852" t="s">
        <v>6145</v>
      </c>
      <c r="E2852" t="s">
        <v>6202</v>
      </c>
      <c r="F2852" t="str">
        <f t="shared" si="47"/>
        <v>"C:\Program Files\VideoLAN\VLC\vlc.exe" "http://a.files.bbci.co.uk/media/live/manifesto/audio/simulcast/hls/uk/sbr_med/ak/bbc_radio_cumbria.m3u8"</v>
      </c>
    </row>
    <row r="2853" spans="1:6" hidden="1" x14ac:dyDescent="0.55000000000000004">
      <c r="A2853" t="s">
        <v>2848</v>
      </c>
      <c r="B2853" t="s">
        <v>1663</v>
      </c>
      <c r="C2853" t="s">
        <v>6146</v>
      </c>
      <c r="E2853" t="s">
        <v>6202</v>
      </c>
      <c r="F2853" t="str">
        <f t="shared" si="47"/>
        <v>"C:\Program Files\VideoLAN\VLC\vlc.exe" "http://a.files.bbci.co.uk/media/live/manifesto/audio/simulcast/hls/uk/sbr_med/ak/bbc_radio_cymru.m3u8"</v>
      </c>
    </row>
    <row r="2854" spans="1:6" hidden="1" x14ac:dyDescent="0.55000000000000004">
      <c r="A2854" t="s">
        <v>132</v>
      </c>
      <c r="B2854" t="s">
        <v>1663</v>
      </c>
      <c r="C2854" t="s">
        <v>6147</v>
      </c>
      <c r="E2854" t="s">
        <v>6202</v>
      </c>
      <c r="F2854" t="str">
        <f t="shared" si="47"/>
        <v>"C:\Program Files\VideoLAN\VLC\vlc.exe" "http://a.files.bbci.co.uk/media/live/manifesto/audio/simulcast/hls/uk/sbr_med/ak/bbc_radio_cymru_2.m3u8"</v>
      </c>
    </row>
    <row r="2855" spans="1:6" hidden="1" x14ac:dyDescent="0.55000000000000004">
      <c r="A2855" t="s">
        <v>2849</v>
      </c>
      <c r="B2855" t="s">
        <v>1663</v>
      </c>
      <c r="C2855" t="s">
        <v>6148</v>
      </c>
      <c r="E2855" t="s">
        <v>6202</v>
      </c>
      <c r="F2855" t="str">
        <f t="shared" si="47"/>
        <v>"C:\Program Files\VideoLAN\VLC\vlc.exe" "http://a.files.bbci.co.uk/media/live/manifesto/audio/simulcast/hls/uk/sbr_med/ak/bbc_radio_derby.m3u8"</v>
      </c>
    </row>
    <row r="2856" spans="1:6" hidden="1" x14ac:dyDescent="0.55000000000000004">
      <c r="A2856" t="s">
        <v>2850</v>
      </c>
      <c r="B2856" t="s">
        <v>1663</v>
      </c>
      <c r="C2856" t="s">
        <v>6149</v>
      </c>
      <c r="E2856" t="s">
        <v>6202</v>
      </c>
      <c r="F2856" t="str">
        <f t="shared" si="47"/>
        <v>"C:\Program Files\VideoLAN\VLC\vlc.exe" "http://a.files.bbci.co.uk/media/live/manifesto/audio/simulcast/hls/uk/sbr_med/ak/bbc_radio_devon.m3u8"</v>
      </c>
    </row>
    <row r="2857" spans="1:6" hidden="1" x14ac:dyDescent="0.55000000000000004">
      <c r="A2857" t="s">
        <v>95</v>
      </c>
      <c r="B2857" t="s">
        <v>1663</v>
      </c>
      <c r="C2857" t="s">
        <v>6150</v>
      </c>
      <c r="E2857" t="s">
        <v>6202</v>
      </c>
      <c r="F2857" t="str">
        <f t="shared" si="47"/>
        <v>"C:\Program Files\VideoLAN\VLC\vlc.exe" "http://a.files.bbci.co.uk/media/live/manifesto/audio/simulcast/hls/uk/sbr_med/ak/bbc_radio_essex.m3u8"</v>
      </c>
    </row>
    <row r="2858" spans="1:6" hidden="1" x14ac:dyDescent="0.55000000000000004">
      <c r="A2858" t="s">
        <v>138</v>
      </c>
      <c r="B2858" t="s">
        <v>1663</v>
      </c>
      <c r="C2858" t="s">
        <v>6156</v>
      </c>
      <c r="E2858" t="s">
        <v>6202</v>
      </c>
      <c r="F2858" t="str">
        <f t="shared" si="47"/>
        <v>"C:\Program Files\VideoLAN\VLC\vlc.exe" "http://a.files.bbci.co.uk/media/live/manifesto/audio/simulcast/hls/uk/sbr_med/ak/bbc_radio_foyle.m3u8"</v>
      </c>
    </row>
    <row r="2859" spans="1:6" hidden="1" x14ac:dyDescent="0.55000000000000004">
      <c r="A2859" t="s">
        <v>140</v>
      </c>
      <c r="B2859" t="s">
        <v>1663</v>
      </c>
      <c r="C2859" t="s">
        <v>6157</v>
      </c>
      <c r="E2859" t="s">
        <v>6202</v>
      </c>
      <c r="F2859" t="str">
        <f t="shared" si="47"/>
        <v>"C:\Program Files\VideoLAN\VLC\vlc.exe" "http://a.files.bbci.co.uk/media/live/manifesto/audio/simulcast/hls/uk/sbr_med/ak/bbc_radio_gloucestershire.m3u8"</v>
      </c>
    </row>
    <row r="2860" spans="1:6" hidden="1" x14ac:dyDescent="0.55000000000000004">
      <c r="A2860" t="s">
        <v>2851</v>
      </c>
      <c r="B2860" t="s">
        <v>1663</v>
      </c>
      <c r="C2860" t="s">
        <v>6158</v>
      </c>
      <c r="E2860" t="s">
        <v>6202</v>
      </c>
      <c r="F2860" t="str">
        <f t="shared" si="47"/>
        <v>"C:\Program Files\VideoLAN\VLC\vlc.exe" "http://a.files.bbci.co.uk/media/live/manifesto/audio/simulcast/hls/uk/sbr_med/ak/bbc_radio_guernsey.m3u8"</v>
      </c>
    </row>
    <row r="2861" spans="1:6" hidden="1" x14ac:dyDescent="0.55000000000000004">
      <c r="A2861" t="s">
        <v>97</v>
      </c>
      <c r="B2861" t="s">
        <v>1663</v>
      </c>
      <c r="C2861" t="s">
        <v>6159</v>
      </c>
      <c r="E2861" t="s">
        <v>6202</v>
      </c>
      <c r="F2861" t="str">
        <f t="shared" si="47"/>
        <v>"C:\Program Files\VideoLAN\VLC\vlc.exe" "http://a.files.bbci.co.uk/media/live/manifesto/audio/simulcast/hls/uk/sbr_med/ak/bbc_radio_hereford_worcester.m3u8"</v>
      </c>
    </row>
    <row r="2862" spans="1:6" hidden="1" x14ac:dyDescent="0.55000000000000004">
      <c r="A2862" t="s">
        <v>2852</v>
      </c>
      <c r="B2862" t="s">
        <v>1663</v>
      </c>
      <c r="C2862" t="s">
        <v>6160</v>
      </c>
      <c r="E2862" t="s">
        <v>6202</v>
      </c>
      <c r="F2862" t="str">
        <f t="shared" si="47"/>
        <v>"C:\Program Files\VideoLAN\VLC\vlc.exe" "http://a.files.bbci.co.uk/media/live/manifesto/audio/simulcast/hls/uk/sbr_med/ak/bbc_radio_humberside.m3u8"</v>
      </c>
    </row>
    <row r="2863" spans="1:6" hidden="1" x14ac:dyDescent="0.55000000000000004">
      <c r="A2863" t="s">
        <v>2853</v>
      </c>
      <c r="B2863" t="s">
        <v>1663</v>
      </c>
      <c r="C2863" t="s">
        <v>6161</v>
      </c>
      <c r="E2863" t="s">
        <v>6202</v>
      </c>
      <c r="F2863" t="str">
        <f t="shared" si="47"/>
        <v>"C:\Program Files\VideoLAN\VLC\vlc.exe" "http://a.files.bbci.co.uk/media/live/manifesto/audio/simulcast/hls/uk/sbr_med/ak/bbc_radio_jersey.m3u8"</v>
      </c>
    </row>
    <row r="2864" spans="1:6" hidden="1" x14ac:dyDescent="0.55000000000000004">
      <c r="A2864" t="s">
        <v>148</v>
      </c>
      <c r="B2864" t="s">
        <v>1663</v>
      </c>
      <c r="C2864" t="s">
        <v>6162</v>
      </c>
      <c r="E2864" t="s">
        <v>6202</v>
      </c>
      <c r="F2864" t="str">
        <f t="shared" ref="F2864:F2897" si="48">"""C:\Program Files\VideoLAN\VLC\vlc.exe"" """&amp;C2864&amp;""""</f>
        <v>"C:\Program Files\VideoLAN\VLC\vlc.exe" "http://a.files.bbci.co.uk/media/live/manifesto/audio/simulcast/hls/uk/sbr_med/ak/bbc_radio_kent.m3u8"</v>
      </c>
    </row>
    <row r="2865" spans="1:6" hidden="1" x14ac:dyDescent="0.55000000000000004">
      <c r="A2865" t="s">
        <v>150</v>
      </c>
      <c r="B2865" t="s">
        <v>1663</v>
      </c>
      <c r="C2865" t="s">
        <v>6163</v>
      </c>
      <c r="E2865" t="s">
        <v>6202</v>
      </c>
      <c r="F2865" t="str">
        <f t="shared" si="48"/>
        <v>"C:\Program Files\VideoLAN\VLC\vlc.exe" "http://a.files.bbci.co.uk/media/live/manifesto/audio/simulcast/hls/uk/sbr_med/ak/bbc_radio_lancashire.m3u8"</v>
      </c>
    </row>
    <row r="2866" spans="1:6" hidden="1" x14ac:dyDescent="0.55000000000000004">
      <c r="A2866" t="s">
        <v>152</v>
      </c>
      <c r="B2866" t="s">
        <v>1663</v>
      </c>
      <c r="C2866" t="s">
        <v>6164</v>
      </c>
      <c r="E2866" t="s">
        <v>6202</v>
      </c>
      <c r="F2866" t="str">
        <f t="shared" si="48"/>
        <v>"C:\Program Files\VideoLAN\VLC\vlc.exe" "http://a.files.bbci.co.uk/media/live/manifesto/audio/simulcast/hls/uk/sbr_med/ak/bbc_radio_leeds.m3u8"</v>
      </c>
    </row>
    <row r="2867" spans="1:6" hidden="1" x14ac:dyDescent="0.55000000000000004">
      <c r="A2867" t="s">
        <v>154</v>
      </c>
      <c r="B2867" t="s">
        <v>1663</v>
      </c>
      <c r="C2867" t="s">
        <v>6165</v>
      </c>
      <c r="E2867" t="s">
        <v>6202</v>
      </c>
      <c r="F2867" t="str">
        <f t="shared" si="48"/>
        <v>"C:\Program Files\VideoLAN\VLC\vlc.exe" "http://a.files.bbci.co.uk/media/live/manifesto/audio/simulcast/hls/uk/sbr_med/ak/bbc_radio_leicester.m3u8"</v>
      </c>
    </row>
    <row r="2868" spans="1:6" hidden="1" x14ac:dyDescent="0.55000000000000004">
      <c r="A2868" t="s">
        <v>156</v>
      </c>
      <c r="B2868" t="s">
        <v>1663</v>
      </c>
      <c r="C2868" t="s">
        <v>6166</v>
      </c>
      <c r="E2868" t="s">
        <v>6202</v>
      </c>
      <c r="F2868" t="str">
        <f t="shared" si="48"/>
        <v>"C:\Program Files\VideoLAN\VLC\vlc.exe" "http://a.files.bbci.co.uk/media/live/manifesto/audio/simulcast/hls/uk/sbr_med/ak/bbc_radio_lincolnshire.m3u8"</v>
      </c>
    </row>
    <row r="2869" spans="1:6" hidden="1" x14ac:dyDescent="0.55000000000000004">
      <c r="A2869" t="s">
        <v>2855</v>
      </c>
      <c r="B2869" t="s">
        <v>1663</v>
      </c>
      <c r="C2869" t="s">
        <v>6167</v>
      </c>
      <c r="E2869" t="s">
        <v>6202</v>
      </c>
      <c r="F2869" t="str">
        <f t="shared" si="48"/>
        <v>"C:\Program Files\VideoLAN\VLC\vlc.exe" "http://a.files.bbci.co.uk/media/live/manifesto/audio/simulcast/hls/uk/sbr_med/ak/bbc_radio_manchester.m3u8"</v>
      </c>
    </row>
    <row r="2870" spans="1:6" hidden="1" x14ac:dyDescent="0.55000000000000004">
      <c r="A2870" t="s">
        <v>162</v>
      </c>
      <c r="B2870" t="s">
        <v>1663</v>
      </c>
      <c r="C2870" t="s">
        <v>6168</v>
      </c>
      <c r="E2870" t="s">
        <v>6202</v>
      </c>
      <c r="F2870" t="str">
        <f t="shared" si="48"/>
        <v>"C:\Program Files\VideoLAN\VLC\vlc.exe" "http://a.files.bbci.co.uk/media/live/manifesto/audio/simulcast/hls/uk/sbr_med/ak/bbc_radio_merseyside.m3u8"</v>
      </c>
    </row>
    <row r="2871" spans="1:6" hidden="1" x14ac:dyDescent="0.55000000000000004">
      <c r="A2871" t="s">
        <v>1694</v>
      </c>
      <c r="B2871" t="s">
        <v>1663</v>
      </c>
      <c r="C2871" t="s">
        <v>6169</v>
      </c>
      <c r="E2871" t="s">
        <v>6202</v>
      </c>
      <c r="F2871" t="str">
        <f t="shared" si="48"/>
        <v>"C:\Program Files\VideoLAN\VLC\vlc.exe" "http://a.files.bbci.co.uk/media/live/manifesto/audio/simulcast/hls/uk/sbr_med/ak/bbc_radio_nan_gaidheal.m3u8"</v>
      </c>
    </row>
    <row r="2872" spans="1:6" hidden="1" x14ac:dyDescent="0.55000000000000004">
      <c r="A2872" t="s">
        <v>166</v>
      </c>
      <c r="B2872" t="s">
        <v>1663</v>
      </c>
      <c r="C2872" t="s">
        <v>6170</v>
      </c>
      <c r="E2872" t="s">
        <v>6202</v>
      </c>
      <c r="F2872" t="str">
        <f t="shared" si="48"/>
        <v>"C:\Program Files\VideoLAN\VLC\vlc.exe" "http://a.files.bbci.co.uk/media/live/manifesto/audio/simulcast/hls/uk/sbr_med/ak/bbc_radio_newcastle.m3u8"</v>
      </c>
    </row>
    <row r="2873" spans="1:6" hidden="1" x14ac:dyDescent="0.55000000000000004">
      <c r="A2873" t="s">
        <v>168</v>
      </c>
      <c r="B2873" t="s">
        <v>1663</v>
      </c>
      <c r="C2873" t="s">
        <v>6171</v>
      </c>
      <c r="E2873" t="s">
        <v>6202</v>
      </c>
      <c r="F2873" t="str">
        <f t="shared" si="48"/>
        <v>"C:\Program Files\VideoLAN\VLC\vlc.exe" "http://a.files.bbci.co.uk/media/live/manifesto/audio/simulcast/hls/uk/sbr_med/ak/bbc_radio_norfolk.m3u8"</v>
      </c>
    </row>
    <row r="2874" spans="1:6" hidden="1" x14ac:dyDescent="0.55000000000000004">
      <c r="A2874" t="s">
        <v>170</v>
      </c>
      <c r="B2874" t="s">
        <v>1663</v>
      </c>
      <c r="C2874" t="s">
        <v>6172</v>
      </c>
      <c r="E2874" t="s">
        <v>6202</v>
      </c>
      <c r="F2874" t="str">
        <f t="shared" si="48"/>
        <v>"C:\Program Files\VideoLAN\VLC\vlc.exe" "http://a.files.bbci.co.uk/media/live/manifesto/audio/simulcast/hls/uk/sbr_med/ak/bbc_radio_northampton.m3u8"</v>
      </c>
    </row>
    <row r="2875" spans="1:6" hidden="1" x14ac:dyDescent="0.55000000000000004">
      <c r="A2875" t="s">
        <v>172</v>
      </c>
      <c r="B2875" t="s">
        <v>1663</v>
      </c>
      <c r="C2875" t="s">
        <v>6173</v>
      </c>
      <c r="E2875" t="s">
        <v>6202</v>
      </c>
      <c r="F2875" t="str">
        <f t="shared" si="48"/>
        <v>"C:\Program Files\VideoLAN\VLC\vlc.exe" "http://a.files.bbci.co.uk/media/live/manifesto/audio/simulcast/hls/uk/sbr_med/ak/bbc_radio_nottingham.m3u8"</v>
      </c>
    </row>
    <row r="2876" spans="1:6" hidden="1" x14ac:dyDescent="0.55000000000000004">
      <c r="A2876" t="s">
        <v>174</v>
      </c>
      <c r="B2876" t="s">
        <v>1663</v>
      </c>
      <c r="C2876" t="s">
        <v>6177</v>
      </c>
      <c r="E2876" t="s">
        <v>6202</v>
      </c>
      <c r="F2876" t="str">
        <f t="shared" si="48"/>
        <v>"C:\Program Files\VideoLAN\VLC\vlc.exe" "http://a.files.bbci.co.uk/media/live/manifesto/audio/simulcast/hls/uk/sbr_med/ak/bbc_radio_orkney.m3u8"</v>
      </c>
    </row>
    <row r="2877" spans="1:6" hidden="1" x14ac:dyDescent="0.55000000000000004">
      <c r="A2877" t="s">
        <v>176</v>
      </c>
      <c r="B2877" t="s">
        <v>1663</v>
      </c>
      <c r="C2877" t="s">
        <v>6178</v>
      </c>
      <c r="E2877" t="s">
        <v>6202</v>
      </c>
      <c r="F2877" t="str">
        <f t="shared" si="48"/>
        <v>"C:\Program Files\VideoLAN\VLC\vlc.exe" "http://a.files.bbci.co.uk/media/live/manifesto/audio/simulcast/hls/uk/sbr_med/ak/bbc_radio_oxford.m3u8"</v>
      </c>
    </row>
    <row r="2878" spans="1:6" hidden="1" x14ac:dyDescent="0.55000000000000004">
      <c r="A2878" t="s">
        <v>2856</v>
      </c>
      <c r="B2878" t="s">
        <v>1663</v>
      </c>
      <c r="C2878" t="s">
        <v>6179</v>
      </c>
      <c r="E2878" t="s">
        <v>6202</v>
      </c>
      <c r="F2878" t="str">
        <f t="shared" si="48"/>
        <v>"C:\Program Files\VideoLAN\VLC\vlc.exe" "http://a.files.bbci.co.uk/media/live/manifesto/audio/simulcast/hls/uk/sbr_med/ak/bbc_radio_scotland_fm.m3u8"</v>
      </c>
    </row>
    <row r="2879" spans="1:6" hidden="1" x14ac:dyDescent="0.55000000000000004">
      <c r="A2879" t="s">
        <v>2857</v>
      </c>
      <c r="B2879" t="s">
        <v>1663</v>
      </c>
      <c r="C2879" t="s">
        <v>6180</v>
      </c>
      <c r="E2879" t="s">
        <v>6202</v>
      </c>
      <c r="F2879" t="str">
        <f t="shared" si="48"/>
        <v>"C:\Program Files\VideoLAN\VLC\vlc.exe" "http://a.files.bbci.co.uk/media/live/manifesto/audio/simulcast/hls/uk/sbr_med/ak/bbc_radio_scotland_mw.m3u8"</v>
      </c>
    </row>
    <row r="2880" spans="1:6" hidden="1" x14ac:dyDescent="0.55000000000000004">
      <c r="A2880" t="s">
        <v>182</v>
      </c>
      <c r="B2880" t="s">
        <v>1663</v>
      </c>
      <c r="C2880" t="s">
        <v>6181</v>
      </c>
      <c r="E2880" t="s">
        <v>6202</v>
      </c>
      <c r="F2880" t="str">
        <f t="shared" si="48"/>
        <v>"C:\Program Files\VideoLAN\VLC\vlc.exe" "http://a.files.bbci.co.uk/media/live/manifesto/audio/simulcast/hls/uk/sbr_med/ak/bbc_radio_sheffield.m3u8"</v>
      </c>
    </row>
    <row r="2881" spans="1:13" hidden="1" x14ac:dyDescent="0.55000000000000004">
      <c r="A2881" t="s">
        <v>186</v>
      </c>
      <c r="B2881" t="s">
        <v>1663</v>
      </c>
      <c r="C2881" t="s">
        <v>6182</v>
      </c>
      <c r="E2881" t="s">
        <v>6202</v>
      </c>
      <c r="F2881" t="str">
        <f t="shared" si="48"/>
        <v>"C:\Program Files\VideoLAN\VLC\vlc.exe" "http://a.files.bbci.co.uk/media/live/manifesto/audio/simulcast/hls/uk/sbr_med/ak/bbc_radio_shropshire.m3u8"</v>
      </c>
    </row>
    <row r="2882" spans="1:13" hidden="1" x14ac:dyDescent="0.55000000000000004">
      <c r="A2882" t="s">
        <v>2858</v>
      </c>
      <c r="B2882" t="s">
        <v>1663</v>
      </c>
      <c r="C2882" t="s">
        <v>6183</v>
      </c>
      <c r="E2882" t="s">
        <v>6202</v>
      </c>
      <c r="F2882" t="str">
        <f t="shared" si="48"/>
        <v>"C:\Program Files\VideoLAN\VLC\vlc.exe" "http://a.files.bbci.co.uk/media/live/manifesto/audio/simulcast/hls/uk/sbr_med/ak/bbc_radio_solent.m3u8"</v>
      </c>
    </row>
    <row r="2883" spans="1:13" hidden="1" x14ac:dyDescent="0.55000000000000004">
      <c r="A2883" t="s">
        <v>2859</v>
      </c>
      <c r="B2883" t="s">
        <v>1663</v>
      </c>
      <c r="C2883" t="s">
        <v>6184</v>
      </c>
      <c r="E2883" t="s">
        <v>6202</v>
      </c>
      <c r="F2883" t="str">
        <f t="shared" si="48"/>
        <v>"C:\Program Files\VideoLAN\VLC\vlc.exe" "http://a.files.bbci.co.uk/media/live/manifesto/audio/simulcast/hls/uk/sbr_med/ak/bbc_radio_solent_west_dorset.m3u8"</v>
      </c>
    </row>
    <row r="2884" spans="1:13" hidden="1" x14ac:dyDescent="0.55000000000000004">
      <c r="A2884" t="s">
        <v>192</v>
      </c>
      <c r="B2884" t="s">
        <v>1663</v>
      </c>
      <c r="C2884" t="s">
        <v>6185</v>
      </c>
      <c r="E2884" t="s">
        <v>6202</v>
      </c>
      <c r="F2884" t="str">
        <f t="shared" si="48"/>
        <v>"C:\Program Files\VideoLAN\VLC\vlc.exe" "http://a.files.bbci.co.uk/media/live/manifesto/audio/simulcast/hls/uk/sbr_med/ak/bbc_radio_somerset_sound.m3u8"</v>
      </c>
    </row>
    <row r="2885" spans="1:13" hidden="1" x14ac:dyDescent="0.55000000000000004">
      <c r="A2885" t="s">
        <v>194</v>
      </c>
      <c r="B2885" t="s">
        <v>1663</v>
      </c>
      <c r="C2885" t="s">
        <v>6186</v>
      </c>
      <c r="E2885" t="s">
        <v>6202</v>
      </c>
      <c r="F2885" t="str">
        <f t="shared" si="48"/>
        <v>"C:\Program Files\VideoLAN\VLC\vlc.exe" "http://a.files.bbci.co.uk/media/live/manifesto/audio/simulcast/hls/uk/sbr_med/ak/bbc_radio_stoke.m3u8"</v>
      </c>
    </row>
    <row r="2886" spans="1:13" hidden="1" x14ac:dyDescent="0.55000000000000004">
      <c r="A2886" t="s">
        <v>196</v>
      </c>
      <c r="B2886" t="s">
        <v>1663</v>
      </c>
      <c r="C2886" t="s">
        <v>6187</v>
      </c>
      <c r="E2886" t="s">
        <v>6202</v>
      </c>
      <c r="F2886" t="str">
        <f t="shared" si="48"/>
        <v>"C:\Program Files\VideoLAN\VLC\vlc.exe" "http://a.files.bbci.co.uk/media/live/manifesto/audio/simulcast/hls/uk/sbr_med/ak/bbc_radio_suffolk.m3u8"</v>
      </c>
    </row>
    <row r="2887" spans="1:13" hidden="1" x14ac:dyDescent="0.55000000000000004">
      <c r="A2887" t="s">
        <v>198</v>
      </c>
      <c r="B2887" t="s">
        <v>1663</v>
      </c>
      <c r="C2887" t="s">
        <v>6188</v>
      </c>
      <c r="E2887" t="s">
        <v>6202</v>
      </c>
      <c r="F2887" t="str">
        <f t="shared" si="48"/>
        <v>"C:\Program Files\VideoLAN\VLC\vlc.exe" "http://a.files.bbci.co.uk/media/live/manifesto/audio/simulcast/hls/uk/sbr_med/ak/bbc_radio_surrey.m3u8"</v>
      </c>
    </row>
    <row r="2888" spans="1:13" hidden="1" x14ac:dyDescent="0.55000000000000004">
      <c r="A2888" t="s">
        <v>200</v>
      </c>
      <c r="B2888" t="s">
        <v>1663</v>
      </c>
      <c r="C2888" t="s">
        <v>6189</v>
      </c>
      <c r="E2888" t="s">
        <v>6202</v>
      </c>
      <c r="F2888" t="str">
        <f t="shared" si="48"/>
        <v>"C:\Program Files\VideoLAN\VLC\vlc.exe" "http://a.files.bbci.co.uk/media/live/manifesto/audio/simulcast/hls/uk/sbr_med/ak/bbc_radio_sussex.m3u8"</v>
      </c>
    </row>
    <row r="2889" spans="1:13" hidden="1" x14ac:dyDescent="0.55000000000000004">
      <c r="A2889" t="s">
        <v>204</v>
      </c>
      <c r="B2889" t="s">
        <v>1663</v>
      </c>
      <c r="C2889" t="s">
        <v>6192</v>
      </c>
      <c r="E2889" t="s">
        <v>6202</v>
      </c>
      <c r="F2889" t="str">
        <f t="shared" si="48"/>
        <v>"C:\Program Files\VideoLAN\VLC\vlc.exe" "http://a.files.bbci.co.uk/media/live/manifesto/audio/simulcast/hls/uk/sbr_med/ak/bbc_radio_ulster.m3u8"</v>
      </c>
    </row>
    <row r="2890" spans="1:13" hidden="1" x14ac:dyDescent="0.55000000000000004">
      <c r="A2890" t="s">
        <v>2860</v>
      </c>
      <c r="B2890" t="s">
        <v>1663</v>
      </c>
      <c r="C2890" t="s">
        <v>6193</v>
      </c>
      <c r="E2890" t="s">
        <v>6202</v>
      </c>
      <c r="F2890" t="str">
        <f t="shared" si="48"/>
        <v>"C:\Program Files\VideoLAN\VLC\vlc.exe" "http://a.files.bbci.co.uk/media/live/manifesto/audio/simulcast/hls/uk/sbr_med/ak/bbc_radio_wales_fm.m3u8"</v>
      </c>
    </row>
    <row r="2891" spans="1:13" hidden="1" x14ac:dyDescent="0.55000000000000004">
      <c r="A2891" t="s">
        <v>2861</v>
      </c>
      <c r="B2891" t="s">
        <v>1663</v>
      </c>
      <c r="C2891" t="s">
        <v>6194</v>
      </c>
      <c r="E2891" t="s">
        <v>6202</v>
      </c>
      <c r="F2891" t="str">
        <f t="shared" si="48"/>
        <v>"C:\Program Files\VideoLAN\VLC\vlc.exe" "http://a.files.bbci.co.uk/media/live/manifesto/audio/simulcast/hls/uk/sbr_med/ak/bbc_radio_wiltshire.m3u8"</v>
      </c>
    </row>
    <row r="2892" spans="1:13" hidden="1" x14ac:dyDescent="0.55000000000000004">
      <c r="A2892" t="s">
        <v>2862</v>
      </c>
      <c r="B2892" t="s">
        <v>1663</v>
      </c>
      <c r="C2892" t="s">
        <v>6195</v>
      </c>
      <c r="E2892" t="s">
        <v>6202</v>
      </c>
      <c r="F2892" t="str">
        <f t="shared" si="48"/>
        <v>"C:\Program Files\VideoLAN\VLC\vlc.exe" "http://a.files.bbci.co.uk/media/live/manifesto/audio/simulcast/hls/uk/sbr_med/ak/bbc_radio_york.m3u8"</v>
      </c>
    </row>
    <row r="2893" spans="1:13" hidden="1" x14ac:dyDescent="0.55000000000000004">
      <c r="A2893" t="s">
        <v>202</v>
      </c>
      <c r="B2893" t="s">
        <v>1663</v>
      </c>
      <c r="C2893" t="s">
        <v>6196</v>
      </c>
      <c r="E2893" t="s">
        <v>6202</v>
      </c>
      <c r="F2893" t="str">
        <f t="shared" si="48"/>
        <v>"C:\Program Files\VideoLAN\VLC\vlc.exe" "http://a.files.bbci.co.uk/media/live/manifesto/audio/simulcast/hls/uk/sbr_med/ak/bbc_tees.m3u8"</v>
      </c>
    </row>
    <row r="2894" spans="1:13" hidden="1" x14ac:dyDescent="0.55000000000000004">
      <c r="A2894" t="s">
        <v>214</v>
      </c>
      <c r="B2894" t="s">
        <v>1663</v>
      </c>
      <c r="C2894" t="s">
        <v>6197</v>
      </c>
      <c r="E2894" t="s">
        <v>6202</v>
      </c>
      <c r="F2894" t="str">
        <f t="shared" si="48"/>
        <v>"C:\Program Files\VideoLAN\VLC\vlc.exe" "http://a.files.bbci.co.uk/media/live/manifesto/audio/simulcast/hls/uk/sbr_med/ak/bbc_three_counties_radio.m3u8"</v>
      </c>
    </row>
    <row r="2895" spans="1:13" hidden="1" x14ac:dyDescent="0.55000000000000004">
      <c r="A2895" t="s">
        <v>210</v>
      </c>
      <c r="B2895" t="s">
        <v>1663</v>
      </c>
      <c r="C2895" t="s">
        <v>6198</v>
      </c>
      <c r="E2895" t="s">
        <v>6202</v>
      </c>
      <c r="F2895" t="str">
        <f t="shared" si="48"/>
        <v>"C:\Program Files\VideoLAN\VLC\vlc.exe" "http://a.files.bbci.co.uk/media/live/manifesto/audio/simulcast/hls/uk/sbr_med/ak/bbc_wm.m3u8"</v>
      </c>
    </row>
    <row r="2896" spans="1:13" hidden="1" x14ac:dyDescent="0.55000000000000004">
      <c r="A2896" t="s">
        <v>6213</v>
      </c>
      <c r="B2896" t="s">
        <v>1662</v>
      </c>
      <c r="C2896" t="s">
        <v>1900</v>
      </c>
      <c r="D2896" t="s">
        <v>1657</v>
      </c>
      <c r="E2896" t="s">
        <v>2609</v>
      </c>
      <c r="F2896" t="str">
        <f t="shared" si="48"/>
        <v>"C:\Program Files\VideoLAN\VLC\vlc.exe" "http://icecast.thisisdax.com/HeartNorthLancsCumbria"</v>
      </c>
      <c r="M2896" t="str">
        <f>VLOOKUP(A2896,logos!$A$2:$A$10004,1,FALSE)</f>
        <v>The Bay</v>
      </c>
    </row>
    <row r="2897" spans="1:13" x14ac:dyDescent="0.55000000000000004">
      <c r="A2897" t="s">
        <v>6211</v>
      </c>
      <c r="B2897" t="s">
        <v>1662</v>
      </c>
      <c r="C2897" t="s">
        <v>2098</v>
      </c>
      <c r="D2897" t="s">
        <v>1657</v>
      </c>
      <c r="E2897" t="s">
        <v>2609</v>
      </c>
      <c r="F2897" t="str">
        <f t="shared" si="48"/>
        <v>"C:\Program Files\VideoLAN\VLC\vlc.exe" "http://icecast.thisisdax.com/SmoothLakeDistrict"</v>
      </c>
      <c r="M2897" t="str">
        <f>VLOOKUP(A2897,logos!$A$2:$A$10004,1,FALSE)</f>
        <v>Lakeland Radio</v>
      </c>
    </row>
  </sheetData>
  <autoFilter ref="A1:E2896" xr:uid="{00000000-0001-0000-0100-000000000000}">
    <filterColumn colId="0">
      <filters>
        <filter val="Smooth Radio (Lake District)"/>
      </filters>
    </filterColumn>
  </autoFilter>
  <sortState xmlns:xlrd2="http://schemas.microsoft.com/office/spreadsheetml/2017/richdata2" ref="D2832:F2885">
    <sortCondition ref="F2832:F2885"/>
  </sortState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388"/>
  <sheetViews>
    <sheetView workbookViewId="0">
      <pane ySplit="1" topLeftCell="A360" activePane="bottomLeft" state="frozen"/>
      <selection pane="bottomLeft" activeCell="A385" sqref="A385"/>
    </sheetView>
  </sheetViews>
  <sheetFormatPr defaultRowHeight="14.4" x14ac:dyDescent="0.55000000000000004"/>
  <cols>
    <col min="1" max="1" width="49.734375" bestFit="1" customWidth="1"/>
    <col min="2" max="2" width="52.578125" bestFit="1" customWidth="1"/>
    <col min="3" max="3" width="15.7890625" bestFit="1" customWidth="1"/>
    <col min="4" max="4" width="10.734375" bestFit="1" customWidth="1"/>
    <col min="6" max="6" width="28.83984375" customWidth="1"/>
  </cols>
  <sheetData>
    <row r="1" spans="1:8" x14ac:dyDescent="0.55000000000000004">
      <c r="A1" s="1" t="s">
        <v>1</v>
      </c>
      <c r="B1" s="1" t="s">
        <v>4</v>
      </c>
      <c r="C1" s="1" t="s">
        <v>1632</v>
      </c>
      <c r="D1" s="1" t="s">
        <v>1636</v>
      </c>
      <c r="E1" s="1" t="s">
        <v>3001</v>
      </c>
      <c r="F1" t="s">
        <v>1</v>
      </c>
      <c r="G1" t="s">
        <v>4</v>
      </c>
      <c r="H1" s="1"/>
    </row>
    <row r="2" spans="1:8" x14ac:dyDescent="0.55000000000000004">
      <c r="A2" t="s">
        <v>34</v>
      </c>
      <c r="B2" t="s">
        <v>1348</v>
      </c>
      <c r="C2" t="s">
        <v>35</v>
      </c>
      <c r="D2" t="s">
        <v>1640</v>
      </c>
      <c r="E2" t="b">
        <f t="shared" ref="E2:E65" si="0">EXACT(A2,F2)</f>
        <v>0</v>
      </c>
    </row>
    <row r="3" spans="1:8" x14ac:dyDescent="0.55000000000000004">
      <c r="A3" t="s">
        <v>38</v>
      </c>
      <c r="B3" t="s">
        <v>1356</v>
      </c>
      <c r="C3" t="s">
        <v>35</v>
      </c>
      <c r="D3" t="s">
        <v>1640</v>
      </c>
      <c r="E3" t="b">
        <f t="shared" si="0"/>
        <v>0</v>
      </c>
    </row>
    <row r="4" spans="1:8" x14ac:dyDescent="0.55000000000000004">
      <c r="A4" t="s">
        <v>48</v>
      </c>
      <c r="B4" t="s">
        <v>1349</v>
      </c>
      <c r="C4" t="s">
        <v>35</v>
      </c>
      <c r="D4" t="s">
        <v>1640</v>
      </c>
      <c r="E4" t="b">
        <f t="shared" si="0"/>
        <v>0</v>
      </c>
    </row>
    <row r="5" spans="1:8" x14ac:dyDescent="0.55000000000000004">
      <c r="A5" t="s">
        <v>50</v>
      </c>
      <c r="B5" t="s">
        <v>1350</v>
      </c>
      <c r="C5" t="s">
        <v>35</v>
      </c>
      <c r="D5" t="s">
        <v>1640</v>
      </c>
      <c r="E5" t="b">
        <f t="shared" si="0"/>
        <v>0</v>
      </c>
    </row>
    <row r="6" spans="1:8" x14ac:dyDescent="0.55000000000000004">
      <c r="A6" t="s">
        <v>1545</v>
      </c>
      <c r="B6" t="s">
        <v>1351</v>
      </c>
      <c r="C6" t="s">
        <v>35</v>
      </c>
      <c r="D6" t="s">
        <v>1640</v>
      </c>
      <c r="E6" t="b">
        <f t="shared" si="0"/>
        <v>0</v>
      </c>
    </row>
    <row r="7" spans="1:8" x14ac:dyDescent="0.55000000000000004">
      <c r="A7" t="s">
        <v>40</v>
      </c>
      <c r="B7" t="s">
        <v>1352</v>
      </c>
      <c r="C7" t="s">
        <v>35</v>
      </c>
      <c r="D7" t="s">
        <v>1640</v>
      </c>
      <c r="E7" t="b">
        <f t="shared" si="0"/>
        <v>0</v>
      </c>
    </row>
    <row r="8" spans="1:8" x14ac:dyDescent="0.55000000000000004">
      <c r="A8" t="s">
        <v>42</v>
      </c>
      <c r="B8" t="s">
        <v>1353</v>
      </c>
      <c r="C8" t="s">
        <v>35</v>
      </c>
      <c r="D8" t="s">
        <v>1640</v>
      </c>
      <c r="E8" t="b">
        <f t="shared" si="0"/>
        <v>0</v>
      </c>
    </row>
    <row r="9" spans="1:8" x14ac:dyDescent="0.55000000000000004">
      <c r="A9" t="s">
        <v>4811</v>
      </c>
      <c r="B9" t="s">
        <v>4812</v>
      </c>
      <c r="C9" t="s">
        <v>35</v>
      </c>
      <c r="D9" t="s">
        <v>1640</v>
      </c>
      <c r="E9" t="b">
        <f t="shared" si="0"/>
        <v>0</v>
      </c>
    </row>
    <row r="10" spans="1:8" x14ac:dyDescent="0.55000000000000004">
      <c r="A10" t="s">
        <v>46</v>
      </c>
      <c r="B10" t="s">
        <v>1354</v>
      </c>
      <c r="C10" t="s">
        <v>35</v>
      </c>
      <c r="D10" t="s">
        <v>1640</v>
      </c>
      <c r="E10" t="b">
        <f t="shared" si="0"/>
        <v>0</v>
      </c>
    </row>
    <row r="11" spans="1:8" x14ac:dyDescent="0.55000000000000004">
      <c r="A11" t="s">
        <v>52</v>
      </c>
      <c r="B11" t="s">
        <v>1355</v>
      </c>
      <c r="C11" t="s">
        <v>35</v>
      </c>
      <c r="D11" t="s">
        <v>1640</v>
      </c>
      <c r="E11" t="b">
        <f t="shared" si="0"/>
        <v>0</v>
      </c>
    </row>
    <row r="12" spans="1:8" x14ac:dyDescent="0.55000000000000004">
      <c r="A12" t="s">
        <v>1546</v>
      </c>
      <c r="B12" t="s">
        <v>1357</v>
      </c>
      <c r="C12" t="s">
        <v>1657</v>
      </c>
      <c r="D12" t="s">
        <v>1650</v>
      </c>
      <c r="E12" t="b">
        <f t="shared" si="0"/>
        <v>0</v>
      </c>
    </row>
    <row r="13" spans="1:8" x14ac:dyDescent="0.55000000000000004">
      <c r="A13" t="s">
        <v>1547</v>
      </c>
      <c r="B13" t="s">
        <v>1358</v>
      </c>
      <c r="C13" t="s">
        <v>1657</v>
      </c>
      <c r="D13" t="s">
        <v>1650</v>
      </c>
      <c r="E13" t="b">
        <f t="shared" si="0"/>
        <v>0</v>
      </c>
    </row>
    <row r="14" spans="1:8" x14ac:dyDescent="0.55000000000000004">
      <c r="A14" t="s">
        <v>73</v>
      </c>
      <c r="B14" t="s">
        <v>1359</v>
      </c>
      <c r="C14" t="s">
        <v>1657</v>
      </c>
      <c r="D14" t="s">
        <v>1650</v>
      </c>
      <c r="E14" t="b">
        <f t="shared" si="0"/>
        <v>0</v>
      </c>
    </row>
    <row r="15" spans="1:8" x14ac:dyDescent="0.55000000000000004">
      <c r="A15" t="s">
        <v>1548</v>
      </c>
      <c r="B15" t="s">
        <v>1360</v>
      </c>
      <c r="C15" t="s">
        <v>1652</v>
      </c>
      <c r="D15" t="s">
        <v>1650</v>
      </c>
      <c r="E15" t="b">
        <f t="shared" si="0"/>
        <v>0</v>
      </c>
    </row>
    <row r="16" spans="1:8" x14ac:dyDescent="0.55000000000000004">
      <c r="A16" t="s">
        <v>1549</v>
      </c>
      <c r="B16" t="s">
        <v>1361</v>
      </c>
      <c r="C16" t="s">
        <v>1652</v>
      </c>
      <c r="D16" t="s">
        <v>1650</v>
      </c>
      <c r="E16" t="b">
        <f t="shared" si="0"/>
        <v>0</v>
      </c>
    </row>
    <row r="17" spans="1:5" x14ac:dyDescent="0.55000000000000004">
      <c r="A17" t="s">
        <v>86</v>
      </c>
      <c r="B17" t="s">
        <v>3057</v>
      </c>
      <c r="C17" t="s">
        <v>1657</v>
      </c>
      <c r="D17" t="s">
        <v>1657</v>
      </c>
      <c r="E17" t="b">
        <f t="shared" si="0"/>
        <v>0</v>
      </c>
    </row>
    <row r="18" spans="1:5" x14ac:dyDescent="0.55000000000000004">
      <c r="A18" t="s">
        <v>90</v>
      </c>
      <c r="B18" t="s">
        <v>1362</v>
      </c>
      <c r="C18" t="s">
        <v>1635</v>
      </c>
      <c r="D18" t="s">
        <v>1637</v>
      </c>
      <c r="E18" t="b">
        <f t="shared" si="0"/>
        <v>0</v>
      </c>
    </row>
    <row r="19" spans="1:5" x14ac:dyDescent="0.55000000000000004">
      <c r="A19" t="s">
        <v>93</v>
      </c>
      <c r="B19" t="s">
        <v>1363</v>
      </c>
      <c r="C19" t="s">
        <v>1633</v>
      </c>
      <c r="D19" t="s">
        <v>1637</v>
      </c>
      <c r="E19" t="b">
        <f t="shared" si="0"/>
        <v>0</v>
      </c>
    </row>
    <row r="20" spans="1:5" x14ac:dyDescent="0.55000000000000004">
      <c r="A20" t="s">
        <v>95</v>
      </c>
      <c r="B20" t="s">
        <v>1364</v>
      </c>
      <c r="C20" t="s">
        <v>1633</v>
      </c>
      <c r="D20" t="s">
        <v>1637</v>
      </c>
      <c r="E20" t="b">
        <f t="shared" si="0"/>
        <v>0</v>
      </c>
    </row>
    <row r="21" spans="1:5" x14ac:dyDescent="0.55000000000000004">
      <c r="A21" t="s">
        <v>1550</v>
      </c>
      <c r="B21" t="s">
        <v>1365</v>
      </c>
      <c r="C21" t="s">
        <v>1633</v>
      </c>
      <c r="D21" t="s">
        <v>1637</v>
      </c>
      <c r="E21" t="b">
        <f t="shared" si="0"/>
        <v>0</v>
      </c>
    </row>
    <row r="22" spans="1:5" x14ac:dyDescent="0.55000000000000004">
      <c r="A22" t="s">
        <v>97</v>
      </c>
      <c r="B22" t="s">
        <v>1366</v>
      </c>
      <c r="C22" t="s">
        <v>1633</v>
      </c>
      <c r="D22" t="s">
        <v>1637</v>
      </c>
      <c r="E22" t="b">
        <f t="shared" si="0"/>
        <v>0</v>
      </c>
    </row>
    <row r="23" spans="1:5" x14ac:dyDescent="0.55000000000000004">
      <c r="A23" t="s">
        <v>2843</v>
      </c>
      <c r="B23" t="s">
        <v>2903</v>
      </c>
      <c r="C23" t="s">
        <v>1635</v>
      </c>
      <c r="D23" t="s">
        <v>1637</v>
      </c>
      <c r="E23" t="b">
        <f t="shared" si="0"/>
        <v>0</v>
      </c>
    </row>
    <row r="24" spans="1:5" x14ac:dyDescent="0.55000000000000004">
      <c r="A24" t="s">
        <v>101</v>
      </c>
      <c r="B24" t="s">
        <v>1367</v>
      </c>
      <c r="C24" t="s">
        <v>1635</v>
      </c>
      <c r="D24" t="s">
        <v>1637</v>
      </c>
      <c r="E24" t="b">
        <f t="shared" si="0"/>
        <v>0</v>
      </c>
    </row>
    <row r="25" spans="1:5" x14ac:dyDescent="0.55000000000000004">
      <c r="A25" t="s">
        <v>103</v>
      </c>
      <c r="B25" t="s">
        <v>1368</v>
      </c>
      <c r="C25" t="s">
        <v>1635</v>
      </c>
      <c r="D25" t="s">
        <v>1637</v>
      </c>
      <c r="E25" t="b">
        <f t="shared" si="0"/>
        <v>0</v>
      </c>
    </row>
    <row r="26" spans="1:5" x14ac:dyDescent="0.55000000000000004">
      <c r="A26" t="s">
        <v>105</v>
      </c>
      <c r="B26" t="s">
        <v>1369</v>
      </c>
      <c r="C26" t="s">
        <v>1635</v>
      </c>
      <c r="D26" t="s">
        <v>1637</v>
      </c>
      <c r="E26" t="b">
        <f t="shared" si="0"/>
        <v>0</v>
      </c>
    </row>
    <row r="27" spans="1:5" x14ac:dyDescent="0.55000000000000004">
      <c r="A27" t="s">
        <v>2844</v>
      </c>
      <c r="B27" t="s">
        <v>2909</v>
      </c>
      <c r="C27" t="s">
        <v>1635</v>
      </c>
      <c r="D27" t="s">
        <v>1637</v>
      </c>
      <c r="E27" t="b">
        <f t="shared" si="0"/>
        <v>0</v>
      </c>
    </row>
    <row r="28" spans="1:5" x14ac:dyDescent="0.55000000000000004">
      <c r="A28" t="s">
        <v>2845</v>
      </c>
      <c r="B28" t="s">
        <v>2908</v>
      </c>
      <c r="C28" t="s">
        <v>1635</v>
      </c>
      <c r="D28" t="s">
        <v>1637</v>
      </c>
      <c r="E28" t="b">
        <f t="shared" si="0"/>
        <v>0</v>
      </c>
    </row>
    <row r="29" spans="1:5" x14ac:dyDescent="0.55000000000000004">
      <c r="A29" t="s">
        <v>111</v>
      </c>
      <c r="B29" t="s">
        <v>1370</v>
      </c>
      <c r="C29" t="s">
        <v>1635</v>
      </c>
      <c r="D29" t="s">
        <v>1637</v>
      </c>
      <c r="E29" t="b">
        <f t="shared" si="0"/>
        <v>0</v>
      </c>
    </row>
    <row r="30" spans="1:5" x14ac:dyDescent="0.55000000000000004">
      <c r="A30" t="s">
        <v>113</v>
      </c>
      <c r="B30" t="s">
        <v>1371</v>
      </c>
      <c r="C30" t="s">
        <v>1635</v>
      </c>
      <c r="D30" t="s">
        <v>1637</v>
      </c>
      <c r="E30" t="b">
        <f t="shared" si="0"/>
        <v>0</v>
      </c>
    </row>
    <row r="31" spans="1:5" x14ac:dyDescent="0.55000000000000004">
      <c r="A31" t="s">
        <v>116</v>
      </c>
      <c r="B31" t="s">
        <v>1372</v>
      </c>
      <c r="C31" t="s">
        <v>1635</v>
      </c>
      <c r="D31" t="s">
        <v>1637</v>
      </c>
      <c r="E31" t="b">
        <f t="shared" si="0"/>
        <v>0</v>
      </c>
    </row>
    <row r="32" spans="1:5" x14ac:dyDescent="0.55000000000000004">
      <c r="A32" t="s">
        <v>118</v>
      </c>
      <c r="B32" t="s">
        <v>1373</v>
      </c>
      <c r="C32" t="s">
        <v>1635</v>
      </c>
      <c r="D32" t="s">
        <v>1637</v>
      </c>
      <c r="E32" t="b">
        <f t="shared" si="0"/>
        <v>0</v>
      </c>
    </row>
    <row r="33" spans="1:5" x14ac:dyDescent="0.55000000000000004">
      <c r="A33" t="s">
        <v>120</v>
      </c>
      <c r="B33" t="s">
        <v>1374</v>
      </c>
      <c r="C33" t="s">
        <v>1633</v>
      </c>
      <c r="D33" t="s">
        <v>1637</v>
      </c>
      <c r="E33" t="b">
        <f t="shared" si="0"/>
        <v>0</v>
      </c>
    </row>
    <row r="34" spans="1:5" x14ac:dyDescent="0.55000000000000004">
      <c r="A34" t="s">
        <v>122</v>
      </c>
      <c r="B34" t="s">
        <v>1375</v>
      </c>
      <c r="C34" t="s">
        <v>1633</v>
      </c>
      <c r="D34" t="s">
        <v>1637</v>
      </c>
      <c r="E34" t="b">
        <f t="shared" si="0"/>
        <v>0</v>
      </c>
    </row>
    <row r="35" spans="1:5" x14ac:dyDescent="0.55000000000000004">
      <c r="A35" t="s">
        <v>1551</v>
      </c>
      <c r="B35" t="s">
        <v>1376</v>
      </c>
      <c r="C35" t="s">
        <v>1633</v>
      </c>
      <c r="D35" t="s">
        <v>1637</v>
      </c>
      <c r="E35" t="b">
        <f t="shared" si="0"/>
        <v>0</v>
      </c>
    </row>
    <row r="36" spans="1:5" x14ac:dyDescent="0.55000000000000004">
      <c r="A36" t="s">
        <v>126</v>
      </c>
      <c r="B36" t="s">
        <v>1377</v>
      </c>
      <c r="C36" t="s">
        <v>1633</v>
      </c>
      <c r="D36" t="s">
        <v>1637</v>
      </c>
      <c r="E36" t="b">
        <f t="shared" si="0"/>
        <v>0</v>
      </c>
    </row>
    <row r="37" spans="1:5" x14ac:dyDescent="0.55000000000000004">
      <c r="A37" t="s">
        <v>2847</v>
      </c>
      <c r="B37" t="s">
        <v>2915</v>
      </c>
      <c r="C37" t="s">
        <v>1633</v>
      </c>
      <c r="D37" t="s">
        <v>1637</v>
      </c>
      <c r="E37" t="b">
        <f t="shared" si="0"/>
        <v>0</v>
      </c>
    </row>
    <row r="38" spans="1:5" x14ac:dyDescent="0.55000000000000004">
      <c r="A38" t="s">
        <v>1552</v>
      </c>
      <c r="B38" t="s">
        <v>1379</v>
      </c>
      <c r="C38" t="s">
        <v>1633</v>
      </c>
      <c r="D38" t="s">
        <v>1637</v>
      </c>
      <c r="E38" t="b">
        <f t="shared" si="0"/>
        <v>0</v>
      </c>
    </row>
    <row r="39" spans="1:5" x14ac:dyDescent="0.55000000000000004">
      <c r="A39" t="s">
        <v>132</v>
      </c>
      <c r="B39" t="s">
        <v>1378</v>
      </c>
      <c r="C39" t="s">
        <v>1633</v>
      </c>
      <c r="D39" t="s">
        <v>1637</v>
      </c>
      <c r="E39" t="b">
        <f t="shared" si="0"/>
        <v>0</v>
      </c>
    </row>
    <row r="40" spans="1:5" x14ac:dyDescent="0.55000000000000004">
      <c r="A40" t="s">
        <v>1553</v>
      </c>
      <c r="B40" t="s">
        <v>1380</v>
      </c>
      <c r="C40" t="s">
        <v>1633</v>
      </c>
      <c r="D40" t="s">
        <v>1637</v>
      </c>
      <c r="E40" t="b">
        <f t="shared" si="0"/>
        <v>0</v>
      </c>
    </row>
    <row r="41" spans="1:5" x14ac:dyDescent="0.55000000000000004">
      <c r="A41" t="s">
        <v>1554</v>
      </c>
      <c r="B41" t="s">
        <v>1381</v>
      </c>
      <c r="C41" t="s">
        <v>1633</v>
      </c>
      <c r="D41" t="s">
        <v>1637</v>
      </c>
      <c r="E41" t="b">
        <f t="shared" si="0"/>
        <v>0</v>
      </c>
    </row>
    <row r="42" spans="1:5" x14ac:dyDescent="0.55000000000000004">
      <c r="A42" t="s">
        <v>138</v>
      </c>
      <c r="B42" t="s">
        <v>1382</v>
      </c>
      <c r="C42" t="s">
        <v>1633</v>
      </c>
      <c r="D42" t="s">
        <v>1637</v>
      </c>
      <c r="E42" t="b">
        <f t="shared" si="0"/>
        <v>0</v>
      </c>
    </row>
    <row r="43" spans="1:5" x14ac:dyDescent="0.55000000000000004">
      <c r="A43" t="s">
        <v>140</v>
      </c>
      <c r="B43" t="s">
        <v>1383</v>
      </c>
      <c r="C43" t="s">
        <v>1633</v>
      </c>
      <c r="D43" t="s">
        <v>1637</v>
      </c>
      <c r="E43" t="b">
        <f t="shared" si="0"/>
        <v>0</v>
      </c>
    </row>
    <row r="44" spans="1:5" x14ac:dyDescent="0.55000000000000004">
      <c r="A44" t="s">
        <v>1555</v>
      </c>
      <c r="B44" t="s">
        <v>1384</v>
      </c>
      <c r="C44" t="s">
        <v>1633</v>
      </c>
      <c r="D44" t="s">
        <v>1637</v>
      </c>
      <c r="E44" t="b">
        <f t="shared" si="0"/>
        <v>0</v>
      </c>
    </row>
    <row r="45" spans="1:5" x14ac:dyDescent="0.55000000000000004">
      <c r="A45" t="s">
        <v>1556</v>
      </c>
      <c r="B45" t="s">
        <v>1385</v>
      </c>
      <c r="C45" t="s">
        <v>1633</v>
      </c>
      <c r="D45" t="s">
        <v>1637</v>
      </c>
      <c r="E45" t="b">
        <f t="shared" si="0"/>
        <v>0</v>
      </c>
    </row>
    <row r="46" spans="1:5" x14ac:dyDescent="0.55000000000000004">
      <c r="A46" t="s">
        <v>1558</v>
      </c>
      <c r="B46" t="s">
        <v>1387</v>
      </c>
      <c r="C46" t="s">
        <v>1633</v>
      </c>
      <c r="D46" t="s">
        <v>1637</v>
      </c>
      <c r="E46" t="b">
        <f t="shared" si="0"/>
        <v>0</v>
      </c>
    </row>
    <row r="47" spans="1:5" x14ac:dyDescent="0.55000000000000004">
      <c r="A47" t="s">
        <v>1557</v>
      </c>
      <c r="B47" t="s">
        <v>1386</v>
      </c>
      <c r="C47" t="s">
        <v>1633</v>
      </c>
      <c r="D47" t="s">
        <v>1637</v>
      </c>
      <c r="E47" t="b">
        <f t="shared" si="0"/>
        <v>0</v>
      </c>
    </row>
    <row r="48" spans="1:5" x14ac:dyDescent="0.55000000000000004">
      <c r="A48" t="s">
        <v>148</v>
      </c>
      <c r="B48" t="s">
        <v>1388</v>
      </c>
      <c r="C48" t="s">
        <v>1633</v>
      </c>
      <c r="D48" t="s">
        <v>1637</v>
      </c>
      <c r="E48" t="b">
        <f t="shared" si="0"/>
        <v>0</v>
      </c>
    </row>
    <row r="49" spans="1:5" x14ac:dyDescent="0.55000000000000004">
      <c r="A49" t="s">
        <v>150</v>
      </c>
      <c r="B49" t="s">
        <v>1389</v>
      </c>
      <c r="C49" t="s">
        <v>1633</v>
      </c>
      <c r="D49" t="s">
        <v>1637</v>
      </c>
      <c r="E49" t="b">
        <f t="shared" si="0"/>
        <v>0</v>
      </c>
    </row>
    <row r="50" spans="1:5" x14ac:dyDescent="0.55000000000000004">
      <c r="A50" t="s">
        <v>152</v>
      </c>
      <c r="B50" t="s">
        <v>1390</v>
      </c>
      <c r="C50" t="s">
        <v>1633</v>
      </c>
      <c r="D50" t="s">
        <v>1637</v>
      </c>
      <c r="E50" t="b">
        <f t="shared" si="0"/>
        <v>0</v>
      </c>
    </row>
    <row r="51" spans="1:5" x14ac:dyDescent="0.55000000000000004">
      <c r="A51" t="s">
        <v>154</v>
      </c>
      <c r="B51" t="s">
        <v>1391</v>
      </c>
      <c r="C51" t="s">
        <v>1633</v>
      </c>
      <c r="D51" t="s">
        <v>1637</v>
      </c>
      <c r="E51" t="b">
        <f t="shared" si="0"/>
        <v>0</v>
      </c>
    </row>
    <row r="52" spans="1:5" x14ac:dyDescent="0.55000000000000004">
      <c r="A52" t="s">
        <v>156</v>
      </c>
      <c r="B52" t="s">
        <v>1392</v>
      </c>
      <c r="C52" t="s">
        <v>1633</v>
      </c>
      <c r="D52" t="s">
        <v>1637</v>
      </c>
      <c r="E52" t="b">
        <f t="shared" si="0"/>
        <v>0</v>
      </c>
    </row>
    <row r="53" spans="1:5" x14ac:dyDescent="0.55000000000000004">
      <c r="A53" t="s">
        <v>2854</v>
      </c>
      <c r="B53" t="s">
        <v>2916</v>
      </c>
      <c r="C53" t="s">
        <v>1633</v>
      </c>
      <c r="D53" t="s">
        <v>1637</v>
      </c>
      <c r="E53" t="b">
        <f t="shared" si="0"/>
        <v>0</v>
      </c>
    </row>
    <row r="54" spans="1:5" x14ac:dyDescent="0.55000000000000004">
      <c r="A54" t="s">
        <v>2855</v>
      </c>
      <c r="B54" t="s">
        <v>2917</v>
      </c>
      <c r="C54" t="s">
        <v>1633</v>
      </c>
      <c r="D54" t="s">
        <v>1637</v>
      </c>
      <c r="E54" t="b">
        <f t="shared" si="0"/>
        <v>0</v>
      </c>
    </row>
    <row r="55" spans="1:5" x14ac:dyDescent="0.55000000000000004">
      <c r="A55" t="s">
        <v>162</v>
      </c>
      <c r="B55" t="s">
        <v>1393</v>
      </c>
      <c r="C55" t="s">
        <v>1633</v>
      </c>
      <c r="D55" t="s">
        <v>1637</v>
      </c>
      <c r="E55" t="b">
        <f t="shared" si="0"/>
        <v>0</v>
      </c>
    </row>
    <row r="56" spans="1:5" x14ac:dyDescent="0.55000000000000004">
      <c r="A56" t="s">
        <v>1559</v>
      </c>
      <c r="B56" t="s">
        <v>1394</v>
      </c>
      <c r="C56" t="s">
        <v>1633</v>
      </c>
      <c r="D56" t="s">
        <v>1637</v>
      </c>
      <c r="E56" t="b">
        <f t="shared" si="0"/>
        <v>0</v>
      </c>
    </row>
    <row r="57" spans="1:5" x14ac:dyDescent="0.55000000000000004">
      <c r="A57" t="s">
        <v>166</v>
      </c>
      <c r="B57" t="s">
        <v>1395</v>
      </c>
      <c r="C57" t="s">
        <v>1633</v>
      </c>
      <c r="D57" t="s">
        <v>1637</v>
      </c>
      <c r="E57" t="b">
        <f t="shared" si="0"/>
        <v>0</v>
      </c>
    </row>
    <row r="58" spans="1:5" x14ac:dyDescent="0.55000000000000004">
      <c r="A58" t="s">
        <v>168</v>
      </c>
      <c r="B58" t="s">
        <v>1396</v>
      </c>
      <c r="C58" t="s">
        <v>1633</v>
      </c>
      <c r="D58" t="s">
        <v>1637</v>
      </c>
      <c r="E58" t="b">
        <f t="shared" si="0"/>
        <v>0</v>
      </c>
    </row>
    <row r="59" spans="1:5" x14ac:dyDescent="0.55000000000000004">
      <c r="A59" t="s">
        <v>170</v>
      </c>
      <c r="B59" t="s">
        <v>1397</v>
      </c>
      <c r="C59" t="s">
        <v>1633</v>
      </c>
      <c r="D59" t="s">
        <v>1637</v>
      </c>
      <c r="E59" t="b">
        <f t="shared" si="0"/>
        <v>0</v>
      </c>
    </row>
    <row r="60" spans="1:5" x14ac:dyDescent="0.55000000000000004">
      <c r="A60" t="s">
        <v>172</v>
      </c>
      <c r="B60" t="s">
        <v>1398</v>
      </c>
      <c r="C60" t="s">
        <v>1633</v>
      </c>
      <c r="D60" t="s">
        <v>1637</v>
      </c>
      <c r="E60" t="b">
        <f t="shared" si="0"/>
        <v>0</v>
      </c>
    </row>
    <row r="61" spans="1:5" x14ac:dyDescent="0.55000000000000004">
      <c r="A61" t="s">
        <v>174</v>
      </c>
      <c r="B61" t="s">
        <v>1399</v>
      </c>
      <c r="C61" t="s">
        <v>1633</v>
      </c>
      <c r="D61" t="s">
        <v>1637</v>
      </c>
      <c r="E61" t="b">
        <f t="shared" si="0"/>
        <v>0</v>
      </c>
    </row>
    <row r="62" spans="1:5" x14ac:dyDescent="0.55000000000000004">
      <c r="A62" t="s">
        <v>176</v>
      </c>
      <c r="B62" t="s">
        <v>1400</v>
      </c>
      <c r="C62" t="s">
        <v>1633</v>
      </c>
      <c r="D62" t="s">
        <v>1637</v>
      </c>
      <c r="E62" t="b">
        <f t="shared" si="0"/>
        <v>0</v>
      </c>
    </row>
    <row r="63" spans="1:5" x14ac:dyDescent="0.55000000000000004">
      <c r="A63" t="s">
        <v>1560</v>
      </c>
      <c r="B63" t="s">
        <v>1401</v>
      </c>
      <c r="C63" t="s">
        <v>1633</v>
      </c>
      <c r="D63" t="s">
        <v>1637</v>
      </c>
      <c r="E63" t="b">
        <f t="shared" si="0"/>
        <v>0</v>
      </c>
    </row>
    <row r="64" spans="1:5" x14ac:dyDescent="0.55000000000000004">
      <c r="A64" t="s">
        <v>182</v>
      </c>
      <c r="B64" t="s">
        <v>1402</v>
      </c>
      <c r="C64" t="s">
        <v>1633</v>
      </c>
      <c r="D64" t="s">
        <v>1637</v>
      </c>
      <c r="E64" t="b">
        <f t="shared" si="0"/>
        <v>0</v>
      </c>
    </row>
    <row r="65" spans="1:5" x14ac:dyDescent="0.55000000000000004">
      <c r="A65" t="s">
        <v>184</v>
      </c>
      <c r="B65" t="s">
        <v>1403</v>
      </c>
      <c r="C65" t="s">
        <v>1633</v>
      </c>
      <c r="D65" t="s">
        <v>1637</v>
      </c>
      <c r="E65" t="b">
        <f t="shared" si="0"/>
        <v>0</v>
      </c>
    </row>
    <row r="66" spans="1:5" x14ac:dyDescent="0.55000000000000004">
      <c r="A66" t="s">
        <v>186</v>
      </c>
      <c r="B66" t="s">
        <v>1404</v>
      </c>
      <c r="C66" t="s">
        <v>1633</v>
      </c>
      <c r="D66" t="s">
        <v>1637</v>
      </c>
      <c r="E66" t="b">
        <f t="shared" ref="E66:E130" si="1">EXACT(A66,F66)</f>
        <v>0</v>
      </c>
    </row>
    <row r="67" spans="1:5" x14ac:dyDescent="0.55000000000000004">
      <c r="A67" t="s">
        <v>1562</v>
      </c>
      <c r="B67" t="s">
        <v>1406</v>
      </c>
      <c r="C67" t="s">
        <v>1633</v>
      </c>
      <c r="D67" t="s">
        <v>1637</v>
      </c>
      <c r="E67" t="b">
        <f t="shared" si="1"/>
        <v>0</v>
      </c>
    </row>
    <row r="68" spans="1:5" x14ac:dyDescent="0.55000000000000004">
      <c r="A68" t="s">
        <v>1561</v>
      </c>
      <c r="B68" t="s">
        <v>1405</v>
      </c>
      <c r="C68" t="s">
        <v>1633</v>
      </c>
      <c r="D68" t="s">
        <v>1637</v>
      </c>
      <c r="E68" t="b">
        <f t="shared" si="1"/>
        <v>0</v>
      </c>
    </row>
    <row r="69" spans="1:5" x14ac:dyDescent="0.55000000000000004">
      <c r="A69" t="s">
        <v>192</v>
      </c>
      <c r="B69" t="s">
        <v>1407</v>
      </c>
      <c r="C69" t="s">
        <v>1633</v>
      </c>
      <c r="D69" t="s">
        <v>1637</v>
      </c>
      <c r="E69" t="b">
        <f t="shared" si="1"/>
        <v>0</v>
      </c>
    </row>
    <row r="70" spans="1:5" x14ac:dyDescent="0.55000000000000004">
      <c r="A70" t="s">
        <v>194</v>
      </c>
      <c r="B70" t="s">
        <v>1408</v>
      </c>
      <c r="C70" t="s">
        <v>1633</v>
      </c>
      <c r="D70" t="s">
        <v>1637</v>
      </c>
      <c r="E70" t="b">
        <f t="shared" si="1"/>
        <v>0</v>
      </c>
    </row>
    <row r="71" spans="1:5" x14ac:dyDescent="0.55000000000000004">
      <c r="A71" t="s">
        <v>196</v>
      </c>
      <c r="B71" t="s">
        <v>1409</v>
      </c>
      <c r="C71" t="s">
        <v>1633</v>
      </c>
      <c r="D71" t="s">
        <v>1637</v>
      </c>
      <c r="E71" t="b">
        <f t="shared" si="1"/>
        <v>0</v>
      </c>
    </row>
    <row r="72" spans="1:5" x14ac:dyDescent="0.55000000000000004">
      <c r="A72" t="s">
        <v>198</v>
      </c>
      <c r="B72" t="s">
        <v>1410</v>
      </c>
      <c r="C72" t="s">
        <v>1633</v>
      </c>
      <c r="D72" t="s">
        <v>1637</v>
      </c>
      <c r="E72" t="b">
        <f t="shared" si="1"/>
        <v>0</v>
      </c>
    </row>
    <row r="73" spans="1:5" x14ac:dyDescent="0.55000000000000004">
      <c r="A73" t="s">
        <v>200</v>
      </c>
      <c r="B73" t="s">
        <v>1411</v>
      </c>
      <c r="C73" t="s">
        <v>1633</v>
      </c>
      <c r="D73" t="s">
        <v>1637</v>
      </c>
      <c r="E73" t="b">
        <f t="shared" si="1"/>
        <v>0</v>
      </c>
    </row>
    <row r="74" spans="1:5" x14ac:dyDescent="0.55000000000000004">
      <c r="A74" t="s">
        <v>202</v>
      </c>
      <c r="B74" t="s">
        <v>1412</v>
      </c>
      <c r="C74" t="s">
        <v>1633</v>
      </c>
      <c r="D74" t="s">
        <v>1637</v>
      </c>
      <c r="E74" t="b">
        <f t="shared" si="1"/>
        <v>0</v>
      </c>
    </row>
    <row r="75" spans="1:5" x14ac:dyDescent="0.55000000000000004">
      <c r="A75" t="s">
        <v>204</v>
      </c>
      <c r="B75" t="s">
        <v>1413</v>
      </c>
      <c r="C75" t="s">
        <v>1633</v>
      </c>
      <c r="D75" t="s">
        <v>1637</v>
      </c>
      <c r="E75" t="b">
        <f t="shared" si="1"/>
        <v>0</v>
      </c>
    </row>
    <row r="76" spans="1:5" x14ac:dyDescent="0.55000000000000004">
      <c r="A76" t="s">
        <v>1563</v>
      </c>
      <c r="B76" t="s">
        <v>1414</v>
      </c>
      <c r="C76" t="s">
        <v>1633</v>
      </c>
      <c r="D76" t="s">
        <v>1637</v>
      </c>
      <c r="E76" t="b">
        <f t="shared" si="1"/>
        <v>0</v>
      </c>
    </row>
    <row r="77" spans="1:5" x14ac:dyDescent="0.55000000000000004">
      <c r="A77" t="s">
        <v>1564</v>
      </c>
      <c r="B77" t="s">
        <v>1415</v>
      </c>
      <c r="C77" t="s">
        <v>1633</v>
      </c>
      <c r="D77" t="s">
        <v>1637</v>
      </c>
      <c r="E77" t="b">
        <f t="shared" si="1"/>
        <v>0</v>
      </c>
    </row>
    <row r="78" spans="1:5" x14ac:dyDescent="0.55000000000000004">
      <c r="A78" t="s">
        <v>210</v>
      </c>
      <c r="B78" t="s">
        <v>1416</v>
      </c>
      <c r="C78" t="s">
        <v>1633</v>
      </c>
      <c r="D78" t="s">
        <v>1637</v>
      </c>
      <c r="E78" t="b">
        <f t="shared" si="1"/>
        <v>0</v>
      </c>
    </row>
    <row r="79" spans="1:5" x14ac:dyDescent="0.55000000000000004">
      <c r="A79" t="s">
        <v>1565</v>
      </c>
      <c r="B79" t="s">
        <v>1417</v>
      </c>
      <c r="C79" t="s">
        <v>1633</v>
      </c>
      <c r="D79" t="s">
        <v>1637</v>
      </c>
      <c r="E79" t="b">
        <f t="shared" si="1"/>
        <v>0</v>
      </c>
    </row>
    <row r="80" spans="1:5" x14ac:dyDescent="0.55000000000000004">
      <c r="A80" t="s">
        <v>214</v>
      </c>
      <c r="B80" t="s">
        <v>1418</v>
      </c>
      <c r="C80" t="s">
        <v>1633</v>
      </c>
      <c r="D80" t="s">
        <v>1637</v>
      </c>
      <c r="E80" t="b">
        <f t="shared" si="1"/>
        <v>0</v>
      </c>
    </row>
    <row r="81" spans="1:5" x14ac:dyDescent="0.55000000000000004">
      <c r="A81" t="s">
        <v>216</v>
      </c>
      <c r="B81" t="s">
        <v>1419</v>
      </c>
      <c r="C81" t="s">
        <v>1634</v>
      </c>
      <c r="D81" t="s">
        <v>1637</v>
      </c>
      <c r="E81" t="b">
        <f t="shared" si="1"/>
        <v>0</v>
      </c>
    </row>
    <row r="82" spans="1:5" x14ac:dyDescent="0.55000000000000004">
      <c r="A82" t="s">
        <v>1566</v>
      </c>
      <c r="B82" t="s">
        <v>1420</v>
      </c>
      <c r="C82" t="s">
        <v>1657</v>
      </c>
      <c r="D82" t="s">
        <v>1657</v>
      </c>
      <c r="E82" t="b">
        <f t="shared" si="1"/>
        <v>0</v>
      </c>
    </row>
    <row r="83" spans="1:5" x14ac:dyDescent="0.55000000000000004">
      <c r="A83" t="s">
        <v>226</v>
      </c>
      <c r="B83" t="s">
        <v>1421</v>
      </c>
      <c r="C83" t="s">
        <v>1657</v>
      </c>
      <c r="D83" t="s">
        <v>1650</v>
      </c>
      <c r="E83" t="b">
        <f t="shared" si="1"/>
        <v>0</v>
      </c>
    </row>
    <row r="84" spans="1:5" x14ac:dyDescent="0.55000000000000004">
      <c r="A84" t="s">
        <v>1567</v>
      </c>
      <c r="B84" t="s">
        <v>1422</v>
      </c>
      <c r="C84" t="s">
        <v>1657</v>
      </c>
      <c r="D84" t="s">
        <v>1657</v>
      </c>
      <c r="E84" t="b">
        <f t="shared" si="1"/>
        <v>0</v>
      </c>
    </row>
    <row r="85" spans="1:5" x14ac:dyDescent="0.55000000000000004">
      <c r="A85" t="s">
        <v>1568</v>
      </c>
      <c r="B85" t="s">
        <v>1423</v>
      </c>
      <c r="C85" t="s">
        <v>1657</v>
      </c>
      <c r="D85" t="s">
        <v>1650</v>
      </c>
      <c r="E85" t="b">
        <f t="shared" si="1"/>
        <v>0</v>
      </c>
    </row>
    <row r="86" spans="1:5" x14ac:dyDescent="0.55000000000000004">
      <c r="A86" t="s">
        <v>243</v>
      </c>
      <c r="B86" t="s">
        <v>6207</v>
      </c>
      <c r="C86" t="s">
        <v>1653</v>
      </c>
      <c r="D86" t="s">
        <v>1650</v>
      </c>
      <c r="E86" t="b">
        <f t="shared" si="1"/>
        <v>0</v>
      </c>
    </row>
    <row r="87" spans="1:5" x14ac:dyDescent="0.55000000000000004">
      <c r="A87" t="s">
        <v>245</v>
      </c>
      <c r="B87" t="s">
        <v>6206</v>
      </c>
      <c r="C87" t="s">
        <v>1653</v>
      </c>
      <c r="D87" t="s">
        <v>1650</v>
      </c>
      <c r="E87" t="b">
        <f t="shared" si="1"/>
        <v>0</v>
      </c>
    </row>
    <row r="88" spans="1:5" x14ac:dyDescent="0.55000000000000004">
      <c r="A88" t="s">
        <v>1570</v>
      </c>
      <c r="B88" t="s">
        <v>1424</v>
      </c>
      <c r="C88" t="s">
        <v>1657</v>
      </c>
      <c r="D88" t="s">
        <v>1657</v>
      </c>
      <c r="E88" t="b">
        <f t="shared" si="1"/>
        <v>0</v>
      </c>
    </row>
    <row r="89" spans="1:5" x14ac:dyDescent="0.55000000000000004">
      <c r="A89" t="s">
        <v>1571</v>
      </c>
      <c r="B89" t="s">
        <v>1425</v>
      </c>
      <c r="C89" t="s">
        <v>1657</v>
      </c>
      <c r="D89" t="s">
        <v>1657</v>
      </c>
      <c r="E89" t="b">
        <f t="shared" si="1"/>
        <v>0</v>
      </c>
    </row>
    <row r="90" spans="1:5" x14ac:dyDescent="0.55000000000000004">
      <c r="A90" t="s">
        <v>1673</v>
      </c>
      <c r="B90" t="s">
        <v>2932</v>
      </c>
      <c r="C90" t="s">
        <v>1657</v>
      </c>
      <c r="D90" t="s">
        <v>1657</v>
      </c>
      <c r="E90" t="b">
        <f t="shared" si="1"/>
        <v>0</v>
      </c>
    </row>
    <row r="91" spans="1:5" x14ac:dyDescent="0.55000000000000004">
      <c r="A91" t="s">
        <v>2619</v>
      </c>
      <c r="B91" t="s">
        <v>2933</v>
      </c>
      <c r="C91" t="s">
        <v>256</v>
      </c>
      <c r="D91" t="s">
        <v>1638</v>
      </c>
      <c r="E91" t="b">
        <f t="shared" si="1"/>
        <v>0</v>
      </c>
    </row>
    <row r="92" spans="1:5" x14ac:dyDescent="0.55000000000000004">
      <c r="A92" t="s">
        <v>2620</v>
      </c>
      <c r="B92" t="s">
        <v>2934</v>
      </c>
      <c r="C92" t="s">
        <v>256</v>
      </c>
      <c r="D92" t="s">
        <v>1638</v>
      </c>
      <c r="E92" t="b">
        <f t="shared" si="1"/>
        <v>0</v>
      </c>
    </row>
    <row r="93" spans="1:5" x14ac:dyDescent="0.55000000000000004">
      <c r="A93" t="s">
        <v>2621</v>
      </c>
      <c r="B93" t="s">
        <v>2935</v>
      </c>
      <c r="C93" t="s">
        <v>256</v>
      </c>
      <c r="D93" t="s">
        <v>1638</v>
      </c>
      <c r="E93" t="b">
        <f t="shared" si="1"/>
        <v>0</v>
      </c>
    </row>
    <row r="94" spans="1:5" x14ac:dyDescent="0.55000000000000004">
      <c r="A94" t="s">
        <v>2622</v>
      </c>
      <c r="B94" t="s">
        <v>2936</v>
      </c>
      <c r="C94" t="s">
        <v>256</v>
      </c>
      <c r="D94" t="s">
        <v>1638</v>
      </c>
      <c r="E94" t="b">
        <f t="shared" si="1"/>
        <v>0</v>
      </c>
    </row>
    <row r="95" spans="1:5" x14ac:dyDescent="0.55000000000000004">
      <c r="A95" t="s">
        <v>2623</v>
      </c>
      <c r="B95" t="s">
        <v>3026</v>
      </c>
      <c r="C95" t="s">
        <v>256</v>
      </c>
      <c r="D95" t="s">
        <v>1638</v>
      </c>
      <c r="E95" t="b">
        <f t="shared" si="1"/>
        <v>0</v>
      </c>
    </row>
    <row r="96" spans="1:5" x14ac:dyDescent="0.55000000000000004">
      <c r="A96" t="s">
        <v>2624</v>
      </c>
      <c r="B96" t="s">
        <v>3027</v>
      </c>
      <c r="C96" t="s">
        <v>256</v>
      </c>
      <c r="D96" t="s">
        <v>1638</v>
      </c>
      <c r="E96" t="b">
        <f t="shared" si="1"/>
        <v>0</v>
      </c>
    </row>
    <row r="97" spans="1:5" x14ac:dyDescent="0.55000000000000004">
      <c r="A97" t="s">
        <v>2625</v>
      </c>
      <c r="B97" t="s">
        <v>3028</v>
      </c>
      <c r="C97" t="s">
        <v>256</v>
      </c>
      <c r="D97" t="s">
        <v>1638</v>
      </c>
      <c r="E97" t="b">
        <f t="shared" si="1"/>
        <v>0</v>
      </c>
    </row>
    <row r="98" spans="1:5" x14ac:dyDescent="0.55000000000000004">
      <c r="A98" t="s">
        <v>2626</v>
      </c>
      <c r="B98" t="s">
        <v>2937</v>
      </c>
      <c r="C98" t="s">
        <v>256</v>
      </c>
      <c r="D98" t="s">
        <v>1638</v>
      </c>
      <c r="E98" t="b">
        <f t="shared" si="1"/>
        <v>0</v>
      </c>
    </row>
    <row r="99" spans="1:5" x14ac:dyDescent="0.55000000000000004">
      <c r="A99" t="s">
        <v>2627</v>
      </c>
      <c r="B99" t="s">
        <v>3002</v>
      </c>
      <c r="C99" t="s">
        <v>256</v>
      </c>
      <c r="D99" t="s">
        <v>1638</v>
      </c>
      <c r="E99" t="b">
        <f t="shared" si="1"/>
        <v>0</v>
      </c>
    </row>
    <row r="100" spans="1:5" x14ac:dyDescent="0.55000000000000004">
      <c r="A100" t="s">
        <v>2628</v>
      </c>
      <c r="B100" t="s">
        <v>3003</v>
      </c>
      <c r="C100" t="s">
        <v>256</v>
      </c>
      <c r="D100" t="s">
        <v>1638</v>
      </c>
      <c r="E100" t="b">
        <f t="shared" si="1"/>
        <v>0</v>
      </c>
    </row>
    <row r="101" spans="1:5" x14ac:dyDescent="0.55000000000000004">
      <c r="A101" t="s">
        <v>2629</v>
      </c>
      <c r="B101" t="s">
        <v>2938</v>
      </c>
      <c r="C101" t="s">
        <v>256</v>
      </c>
      <c r="D101" t="s">
        <v>1638</v>
      </c>
      <c r="E101" t="b">
        <f t="shared" si="1"/>
        <v>0</v>
      </c>
    </row>
    <row r="102" spans="1:5" x14ac:dyDescent="0.55000000000000004">
      <c r="A102" t="s">
        <v>2630</v>
      </c>
      <c r="B102" t="s">
        <v>3029</v>
      </c>
      <c r="C102" t="s">
        <v>256</v>
      </c>
      <c r="D102" t="s">
        <v>1638</v>
      </c>
      <c r="E102" t="b">
        <f t="shared" si="1"/>
        <v>0</v>
      </c>
    </row>
    <row r="103" spans="1:5" x14ac:dyDescent="0.55000000000000004">
      <c r="A103" t="s">
        <v>2631</v>
      </c>
      <c r="B103" t="s">
        <v>3030</v>
      </c>
      <c r="C103" t="s">
        <v>256</v>
      </c>
      <c r="D103" t="s">
        <v>1638</v>
      </c>
      <c r="E103" t="b">
        <f t="shared" si="1"/>
        <v>0</v>
      </c>
    </row>
    <row r="104" spans="1:5" x14ac:dyDescent="0.55000000000000004">
      <c r="A104" t="s">
        <v>2632</v>
      </c>
      <c r="B104" t="s">
        <v>3031</v>
      </c>
      <c r="C104" t="s">
        <v>256</v>
      </c>
      <c r="D104" t="s">
        <v>1638</v>
      </c>
      <c r="E104" t="b">
        <f t="shared" si="1"/>
        <v>0</v>
      </c>
    </row>
    <row r="105" spans="1:5" x14ac:dyDescent="0.55000000000000004">
      <c r="A105" t="s">
        <v>2633</v>
      </c>
      <c r="B105" t="s">
        <v>3032</v>
      </c>
      <c r="C105" t="s">
        <v>256</v>
      </c>
      <c r="D105" t="s">
        <v>1638</v>
      </c>
      <c r="E105" t="b">
        <f t="shared" si="1"/>
        <v>0</v>
      </c>
    </row>
    <row r="106" spans="1:5" x14ac:dyDescent="0.55000000000000004">
      <c r="A106" t="s">
        <v>2634</v>
      </c>
      <c r="B106" t="s">
        <v>2939</v>
      </c>
      <c r="C106" t="s">
        <v>256</v>
      </c>
      <c r="D106" t="s">
        <v>1638</v>
      </c>
      <c r="E106" t="b">
        <f t="shared" si="1"/>
        <v>0</v>
      </c>
    </row>
    <row r="107" spans="1:5" x14ac:dyDescent="0.55000000000000004">
      <c r="A107" t="s">
        <v>2635</v>
      </c>
      <c r="B107" t="s">
        <v>3033</v>
      </c>
      <c r="C107" t="s">
        <v>256</v>
      </c>
      <c r="D107" t="s">
        <v>1638</v>
      </c>
      <c r="E107" t="b">
        <f t="shared" si="1"/>
        <v>0</v>
      </c>
    </row>
    <row r="108" spans="1:5" x14ac:dyDescent="0.55000000000000004">
      <c r="A108" t="s">
        <v>2636</v>
      </c>
      <c r="B108" t="s">
        <v>3034</v>
      </c>
      <c r="C108" t="s">
        <v>256</v>
      </c>
      <c r="D108" t="s">
        <v>1638</v>
      </c>
      <c r="E108" t="b">
        <f t="shared" si="1"/>
        <v>0</v>
      </c>
    </row>
    <row r="109" spans="1:5" x14ac:dyDescent="0.55000000000000004">
      <c r="A109" t="s">
        <v>2637</v>
      </c>
      <c r="B109" t="s">
        <v>3035</v>
      </c>
      <c r="C109" t="s">
        <v>256</v>
      </c>
      <c r="D109" t="s">
        <v>1638</v>
      </c>
      <c r="E109" t="b">
        <f t="shared" si="1"/>
        <v>0</v>
      </c>
    </row>
    <row r="110" spans="1:5" x14ac:dyDescent="0.55000000000000004">
      <c r="A110" t="s">
        <v>2638</v>
      </c>
      <c r="B110" t="s">
        <v>3036</v>
      </c>
      <c r="C110" t="s">
        <v>256</v>
      </c>
      <c r="D110" t="s">
        <v>1638</v>
      </c>
      <c r="E110" t="b">
        <f t="shared" si="1"/>
        <v>0</v>
      </c>
    </row>
    <row r="111" spans="1:5" x14ac:dyDescent="0.55000000000000004">
      <c r="A111" t="s">
        <v>2639</v>
      </c>
      <c r="B111" t="s">
        <v>3037</v>
      </c>
      <c r="C111" t="s">
        <v>256</v>
      </c>
      <c r="D111" t="s">
        <v>1638</v>
      </c>
      <c r="E111" t="b">
        <f t="shared" si="1"/>
        <v>0</v>
      </c>
    </row>
    <row r="112" spans="1:5" x14ac:dyDescent="0.55000000000000004">
      <c r="A112" t="s">
        <v>2640</v>
      </c>
      <c r="B112" t="s">
        <v>3038</v>
      </c>
      <c r="C112" t="s">
        <v>256</v>
      </c>
      <c r="D112" t="s">
        <v>1638</v>
      </c>
      <c r="E112" t="b">
        <f t="shared" si="1"/>
        <v>0</v>
      </c>
    </row>
    <row r="113" spans="1:5" x14ac:dyDescent="0.55000000000000004">
      <c r="A113" t="s">
        <v>2641</v>
      </c>
      <c r="B113" t="s">
        <v>3039</v>
      </c>
      <c r="C113" t="s">
        <v>256</v>
      </c>
      <c r="D113" t="s">
        <v>1638</v>
      </c>
      <c r="E113" t="b">
        <f t="shared" si="1"/>
        <v>0</v>
      </c>
    </row>
    <row r="114" spans="1:5" x14ac:dyDescent="0.55000000000000004">
      <c r="A114" t="s">
        <v>2644</v>
      </c>
      <c r="B114" t="s">
        <v>2940</v>
      </c>
      <c r="C114" t="s">
        <v>256</v>
      </c>
      <c r="D114" t="s">
        <v>1638</v>
      </c>
      <c r="E114" t="b">
        <f t="shared" si="1"/>
        <v>0</v>
      </c>
    </row>
    <row r="115" spans="1:5" x14ac:dyDescent="0.55000000000000004">
      <c r="A115" t="s">
        <v>2642</v>
      </c>
      <c r="B115" t="s">
        <v>2941</v>
      </c>
      <c r="C115" t="s">
        <v>256</v>
      </c>
      <c r="D115" t="s">
        <v>1638</v>
      </c>
      <c r="E115" t="b">
        <f t="shared" si="1"/>
        <v>0</v>
      </c>
    </row>
    <row r="116" spans="1:5" x14ac:dyDescent="0.55000000000000004">
      <c r="A116" t="s">
        <v>2643</v>
      </c>
      <c r="B116" t="s">
        <v>2942</v>
      </c>
      <c r="C116" t="s">
        <v>256</v>
      </c>
      <c r="D116" t="s">
        <v>1638</v>
      </c>
      <c r="E116" t="b">
        <f t="shared" si="1"/>
        <v>0</v>
      </c>
    </row>
    <row r="117" spans="1:5" x14ac:dyDescent="0.55000000000000004">
      <c r="A117" t="s">
        <v>2645</v>
      </c>
      <c r="B117" t="s">
        <v>2914</v>
      </c>
      <c r="C117" t="s">
        <v>256</v>
      </c>
      <c r="D117" t="s">
        <v>1638</v>
      </c>
      <c r="E117" t="b">
        <f t="shared" si="1"/>
        <v>0</v>
      </c>
    </row>
    <row r="118" spans="1:5" x14ac:dyDescent="0.55000000000000004">
      <c r="A118" t="s">
        <v>2646</v>
      </c>
      <c r="B118" t="s">
        <v>2943</v>
      </c>
      <c r="C118" t="s">
        <v>256</v>
      </c>
      <c r="D118" t="s">
        <v>1638</v>
      </c>
      <c r="E118" t="b">
        <f t="shared" si="1"/>
        <v>0</v>
      </c>
    </row>
    <row r="119" spans="1:5" x14ac:dyDescent="0.55000000000000004">
      <c r="A119" t="s">
        <v>2647</v>
      </c>
      <c r="B119" t="s">
        <v>2944</v>
      </c>
      <c r="C119" t="s">
        <v>256</v>
      </c>
      <c r="D119" t="s">
        <v>1638</v>
      </c>
      <c r="E119" t="b">
        <f t="shared" si="1"/>
        <v>0</v>
      </c>
    </row>
    <row r="120" spans="1:5" x14ac:dyDescent="0.55000000000000004">
      <c r="A120" t="s">
        <v>314</v>
      </c>
      <c r="B120" t="s">
        <v>3004</v>
      </c>
      <c r="C120" t="s">
        <v>256</v>
      </c>
      <c r="D120" t="s">
        <v>1638</v>
      </c>
      <c r="E120" t="b">
        <f t="shared" si="1"/>
        <v>0</v>
      </c>
    </row>
    <row r="121" spans="1:5" x14ac:dyDescent="0.55000000000000004">
      <c r="A121" t="s">
        <v>2648</v>
      </c>
      <c r="B121" t="s">
        <v>2945</v>
      </c>
      <c r="C121" t="s">
        <v>256</v>
      </c>
      <c r="D121" t="s">
        <v>1638</v>
      </c>
      <c r="E121" t="b">
        <f t="shared" si="1"/>
        <v>0</v>
      </c>
    </row>
    <row r="122" spans="1:5" x14ac:dyDescent="0.55000000000000004">
      <c r="A122" t="s">
        <v>2649</v>
      </c>
      <c r="B122" t="s">
        <v>2918</v>
      </c>
      <c r="C122" t="s">
        <v>256</v>
      </c>
      <c r="D122" t="s">
        <v>1638</v>
      </c>
      <c r="E122" t="b">
        <f t="shared" si="1"/>
        <v>0</v>
      </c>
    </row>
    <row r="123" spans="1:5" x14ac:dyDescent="0.55000000000000004">
      <c r="A123" t="s">
        <v>320</v>
      </c>
      <c r="B123" t="s">
        <v>1426</v>
      </c>
      <c r="C123" t="s">
        <v>256</v>
      </c>
      <c r="D123" t="s">
        <v>1638</v>
      </c>
      <c r="E123" t="b">
        <f t="shared" si="1"/>
        <v>0</v>
      </c>
    </row>
    <row r="124" spans="1:5" x14ac:dyDescent="0.55000000000000004">
      <c r="A124" t="s">
        <v>1572</v>
      </c>
      <c r="B124" t="s">
        <v>1427</v>
      </c>
      <c r="C124" t="s">
        <v>1657</v>
      </c>
      <c r="D124" t="s">
        <v>1640</v>
      </c>
      <c r="E124" t="b">
        <f t="shared" si="1"/>
        <v>0</v>
      </c>
    </row>
    <row r="125" spans="1:5" x14ac:dyDescent="0.55000000000000004">
      <c r="A125" t="s">
        <v>2651</v>
      </c>
      <c r="B125" t="s">
        <v>6209</v>
      </c>
      <c r="D125" t="s">
        <v>1640</v>
      </c>
      <c r="E125" t="b">
        <f t="shared" si="1"/>
        <v>0</v>
      </c>
    </row>
    <row r="126" spans="1:5" x14ac:dyDescent="0.55000000000000004">
      <c r="A126" t="s">
        <v>336</v>
      </c>
      <c r="B126" t="s">
        <v>1428</v>
      </c>
      <c r="C126" t="s">
        <v>1657</v>
      </c>
      <c r="D126" t="s">
        <v>1650</v>
      </c>
      <c r="E126" t="b">
        <f t="shared" si="1"/>
        <v>0</v>
      </c>
    </row>
    <row r="127" spans="1:5" x14ac:dyDescent="0.55000000000000004">
      <c r="A127" t="s">
        <v>2652</v>
      </c>
      <c r="B127" t="s">
        <v>2927</v>
      </c>
      <c r="C127" t="s">
        <v>1657</v>
      </c>
      <c r="D127" t="s">
        <v>1638</v>
      </c>
      <c r="E127" t="b">
        <f t="shared" si="1"/>
        <v>0</v>
      </c>
    </row>
    <row r="128" spans="1:5" x14ac:dyDescent="0.55000000000000004">
      <c r="A128" t="s">
        <v>347</v>
      </c>
      <c r="B128" t="s">
        <v>1429</v>
      </c>
      <c r="C128" t="s">
        <v>1648</v>
      </c>
      <c r="D128" t="s">
        <v>1640</v>
      </c>
      <c r="E128" t="b">
        <f t="shared" si="1"/>
        <v>0</v>
      </c>
    </row>
    <row r="129" spans="1:5" x14ac:dyDescent="0.55000000000000004">
      <c r="A129" t="s">
        <v>349</v>
      </c>
      <c r="B129" t="s">
        <v>1430</v>
      </c>
      <c r="C129" t="s">
        <v>1648</v>
      </c>
      <c r="D129" t="s">
        <v>1640</v>
      </c>
      <c r="E129" t="b">
        <f t="shared" si="1"/>
        <v>0</v>
      </c>
    </row>
    <row r="130" spans="1:5" x14ac:dyDescent="0.55000000000000004">
      <c r="A130" t="s">
        <v>355</v>
      </c>
      <c r="B130" t="s">
        <v>1431</v>
      </c>
      <c r="C130" t="s">
        <v>1657</v>
      </c>
      <c r="D130" t="s">
        <v>1640</v>
      </c>
      <c r="E130" t="b">
        <f t="shared" si="1"/>
        <v>0</v>
      </c>
    </row>
    <row r="131" spans="1:5" x14ac:dyDescent="0.55000000000000004">
      <c r="A131" t="s">
        <v>359</v>
      </c>
      <c r="B131" t="s">
        <v>1432</v>
      </c>
      <c r="C131" t="s">
        <v>1657</v>
      </c>
      <c r="D131" t="s">
        <v>1650</v>
      </c>
      <c r="E131" t="b">
        <f t="shared" ref="E131:E194" si="2">EXACT(A131,F131)</f>
        <v>0</v>
      </c>
    </row>
    <row r="132" spans="1:5" x14ac:dyDescent="0.55000000000000004">
      <c r="A132" t="s">
        <v>1573</v>
      </c>
      <c r="B132" t="s">
        <v>1433</v>
      </c>
      <c r="C132" t="s">
        <v>1657</v>
      </c>
      <c r="D132" t="s">
        <v>1650</v>
      </c>
      <c r="E132" t="b">
        <f t="shared" si="2"/>
        <v>0</v>
      </c>
    </row>
    <row r="133" spans="1:5" x14ac:dyDescent="0.55000000000000004">
      <c r="A133" t="s">
        <v>1574</v>
      </c>
      <c r="B133" t="s">
        <v>1434</v>
      </c>
      <c r="C133" t="s">
        <v>1657</v>
      </c>
      <c r="D133" t="s">
        <v>1657</v>
      </c>
      <c r="E133" t="b">
        <f t="shared" si="2"/>
        <v>0</v>
      </c>
    </row>
    <row r="134" spans="1:5" x14ac:dyDescent="0.55000000000000004">
      <c r="A134" t="s">
        <v>377</v>
      </c>
      <c r="B134" t="s">
        <v>1435</v>
      </c>
      <c r="C134" t="s">
        <v>1647</v>
      </c>
      <c r="D134" t="s">
        <v>1640</v>
      </c>
      <c r="E134" t="b">
        <f t="shared" si="2"/>
        <v>0</v>
      </c>
    </row>
    <row r="135" spans="1:5" x14ac:dyDescent="0.55000000000000004">
      <c r="A135" t="s">
        <v>379</v>
      </c>
      <c r="B135" t="s">
        <v>1436</v>
      </c>
      <c r="C135" t="s">
        <v>1647</v>
      </c>
      <c r="D135" t="s">
        <v>1640</v>
      </c>
      <c r="E135" t="b">
        <f t="shared" si="2"/>
        <v>0</v>
      </c>
    </row>
    <row r="136" spans="1:5" x14ac:dyDescent="0.55000000000000004">
      <c r="A136" t="s">
        <v>1575</v>
      </c>
      <c r="B136" t="s">
        <v>1437</v>
      </c>
      <c r="C136" t="s">
        <v>1657</v>
      </c>
      <c r="D136" t="s">
        <v>1650</v>
      </c>
      <c r="E136" t="b">
        <f t="shared" si="2"/>
        <v>0</v>
      </c>
    </row>
    <row r="137" spans="1:5" x14ac:dyDescent="0.55000000000000004">
      <c r="A137" t="s">
        <v>414</v>
      </c>
      <c r="B137" t="s">
        <v>1438</v>
      </c>
      <c r="C137" t="s">
        <v>1646</v>
      </c>
      <c r="D137" t="s">
        <v>1640</v>
      </c>
      <c r="E137" t="b">
        <f t="shared" si="2"/>
        <v>0</v>
      </c>
    </row>
    <row r="138" spans="1:5" x14ac:dyDescent="0.55000000000000004">
      <c r="A138" t="s">
        <v>416</v>
      </c>
      <c r="B138" t="s">
        <v>1439</v>
      </c>
      <c r="C138" t="s">
        <v>1646</v>
      </c>
      <c r="D138" t="s">
        <v>1640</v>
      </c>
      <c r="E138" t="b">
        <f t="shared" si="2"/>
        <v>0</v>
      </c>
    </row>
    <row r="139" spans="1:5" x14ac:dyDescent="0.55000000000000004">
      <c r="A139" t="s">
        <v>1576</v>
      </c>
      <c r="B139" t="s">
        <v>1440</v>
      </c>
      <c r="C139" t="s">
        <v>1641</v>
      </c>
      <c r="D139" t="s">
        <v>1640</v>
      </c>
      <c r="E139" t="b">
        <f t="shared" si="2"/>
        <v>0</v>
      </c>
    </row>
    <row r="140" spans="1:5" x14ac:dyDescent="0.55000000000000004">
      <c r="A140" t="s">
        <v>1577</v>
      </c>
      <c r="B140" t="s">
        <v>1441</v>
      </c>
      <c r="C140" t="s">
        <v>1641</v>
      </c>
      <c r="D140" t="s">
        <v>1640</v>
      </c>
      <c r="E140" t="b">
        <f t="shared" si="2"/>
        <v>0</v>
      </c>
    </row>
    <row r="141" spans="1:5" x14ac:dyDescent="0.55000000000000004">
      <c r="A141" t="s">
        <v>1578</v>
      </c>
      <c r="B141" t="s">
        <v>1442</v>
      </c>
      <c r="C141" t="s">
        <v>1641</v>
      </c>
      <c r="D141" t="s">
        <v>1640</v>
      </c>
      <c r="E141" t="b">
        <f t="shared" si="2"/>
        <v>0</v>
      </c>
    </row>
    <row r="142" spans="1:5" x14ac:dyDescent="0.55000000000000004">
      <c r="A142" t="s">
        <v>1579</v>
      </c>
      <c r="B142" t="s">
        <v>1443</v>
      </c>
      <c r="C142" t="s">
        <v>1641</v>
      </c>
      <c r="D142" t="s">
        <v>1640</v>
      </c>
      <c r="E142" t="b">
        <f t="shared" si="2"/>
        <v>0</v>
      </c>
    </row>
    <row r="143" spans="1:5" x14ac:dyDescent="0.55000000000000004">
      <c r="A143" t="s">
        <v>1580</v>
      </c>
      <c r="B143" t="s">
        <v>1444</v>
      </c>
      <c r="C143" t="s">
        <v>1641</v>
      </c>
      <c r="D143" t="s">
        <v>1640</v>
      </c>
      <c r="E143" t="b">
        <f t="shared" si="2"/>
        <v>0</v>
      </c>
    </row>
    <row r="144" spans="1:5" x14ac:dyDescent="0.55000000000000004">
      <c r="A144" t="s">
        <v>432</v>
      </c>
      <c r="B144" t="s">
        <v>1445</v>
      </c>
      <c r="C144" t="s">
        <v>1657</v>
      </c>
      <c r="D144" t="s">
        <v>1657</v>
      </c>
      <c r="E144" t="b">
        <f t="shared" si="2"/>
        <v>0</v>
      </c>
    </row>
    <row r="145" spans="1:5" x14ac:dyDescent="0.55000000000000004">
      <c r="A145" t="s">
        <v>1581</v>
      </c>
      <c r="B145" t="s">
        <v>1446</v>
      </c>
      <c r="C145" t="s">
        <v>437</v>
      </c>
      <c r="D145" t="s">
        <v>1650</v>
      </c>
      <c r="E145" t="b">
        <f t="shared" si="2"/>
        <v>0</v>
      </c>
    </row>
    <row r="146" spans="1:5" x14ac:dyDescent="0.55000000000000004">
      <c r="A146" t="s">
        <v>1582</v>
      </c>
      <c r="B146" t="s">
        <v>1447</v>
      </c>
      <c r="C146" t="s">
        <v>437</v>
      </c>
      <c r="D146" t="s">
        <v>1650</v>
      </c>
      <c r="E146" t="b">
        <f t="shared" si="2"/>
        <v>0</v>
      </c>
    </row>
    <row r="147" spans="1:5" x14ac:dyDescent="0.55000000000000004">
      <c r="A147" t="s">
        <v>446</v>
      </c>
      <c r="B147" t="s">
        <v>1448</v>
      </c>
      <c r="C147" t="s">
        <v>437</v>
      </c>
      <c r="D147" t="s">
        <v>1650</v>
      </c>
      <c r="E147" t="b">
        <f t="shared" si="2"/>
        <v>0</v>
      </c>
    </row>
    <row r="148" spans="1:5" x14ac:dyDescent="0.55000000000000004">
      <c r="A148" t="s">
        <v>451</v>
      </c>
      <c r="B148" t="s">
        <v>1449</v>
      </c>
      <c r="C148" t="s">
        <v>1657</v>
      </c>
      <c r="D148" t="s">
        <v>1640</v>
      </c>
      <c r="E148" t="b">
        <f t="shared" si="2"/>
        <v>0</v>
      </c>
    </row>
    <row r="149" spans="1:5" x14ac:dyDescent="0.55000000000000004">
      <c r="A149" t="s">
        <v>459</v>
      </c>
      <c r="B149" t="s">
        <v>2931</v>
      </c>
      <c r="C149" t="s">
        <v>459</v>
      </c>
      <c r="D149" t="s">
        <v>1638</v>
      </c>
      <c r="E149" t="b">
        <f t="shared" si="2"/>
        <v>0</v>
      </c>
    </row>
    <row r="150" spans="1:5" x14ac:dyDescent="0.55000000000000004">
      <c r="A150" t="s">
        <v>1583</v>
      </c>
      <c r="B150" t="s">
        <v>1450</v>
      </c>
      <c r="C150" t="s">
        <v>459</v>
      </c>
      <c r="D150" t="s">
        <v>1638</v>
      </c>
      <c r="E150" t="b">
        <f t="shared" si="2"/>
        <v>0</v>
      </c>
    </row>
    <row r="151" spans="1:5" x14ac:dyDescent="0.55000000000000004">
      <c r="A151" t="s">
        <v>1584</v>
      </c>
      <c r="B151" t="s">
        <v>1451</v>
      </c>
      <c r="C151" t="s">
        <v>459</v>
      </c>
      <c r="D151" t="s">
        <v>1638</v>
      </c>
      <c r="E151" t="b">
        <f t="shared" si="2"/>
        <v>0</v>
      </c>
    </row>
    <row r="152" spans="1:5" x14ac:dyDescent="0.55000000000000004">
      <c r="A152" t="s">
        <v>1585</v>
      </c>
      <c r="B152" t="s">
        <v>1452</v>
      </c>
      <c r="C152" t="s">
        <v>459</v>
      </c>
      <c r="D152" t="s">
        <v>1638</v>
      </c>
      <c r="E152" t="b">
        <f t="shared" si="2"/>
        <v>0</v>
      </c>
    </row>
    <row r="153" spans="1:5" x14ac:dyDescent="0.55000000000000004">
      <c r="A153" t="s">
        <v>1586</v>
      </c>
      <c r="B153" t="s">
        <v>1453</v>
      </c>
      <c r="C153" t="s">
        <v>459</v>
      </c>
      <c r="D153" t="s">
        <v>1638</v>
      </c>
      <c r="E153" t="b">
        <f t="shared" si="2"/>
        <v>0</v>
      </c>
    </row>
    <row r="154" spans="1:5" x14ac:dyDescent="0.55000000000000004">
      <c r="A154" t="s">
        <v>461</v>
      </c>
      <c r="B154" t="s">
        <v>1454</v>
      </c>
      <c r="C154" t="s">
        <v>1657</v>
      </c>
      <c r="D154" t="s">
        <v>1650</v>
      </c>
      <c r="E154" t="b">
        <f t="shared" si="2"/>
        <v>0</v>
      </c>
    </row>
    <row r="155" spans="1:5" x14ac:dyDescent="0.55000000000000004">
      <c r="A155" t="s">
        <v>1587</v>
      </c>
      <c r="B155" t="s">
        <v>1455</v>
      </c>
      <c r="C155" t="s">
        <v>1598</v>
      </c>
      <c r="D155" t="s">
        <v>1640</v>
      </c>
      <c r="E155" t="b">
        <f t="shared" si="2"/>
        <v>0</v>
      </c>
    </row>
    <row r="156" spans="1:5" x14ac:dyDescent="0.55000000000000004">
      <c r="A156" t="s">
        <v>1588</v>
      </c>
      <c r="B156" t="s">
        <v>1456</v>
      </c>
      <c r="C156" t="s">
        <v>1598</v>
      </c>
      <c r="D156" t="s">
        <v>1640</v>
      </c>
      <c r="E156" t="b">
        <f t="shared" si="2"/>
        <v>0</v>
      </c>
    </row>
    <row r="157" spans="1:5" x14ac:dyDescent="0.55000000000000004">
      <c r="A157" t="s">
        <v>1589</v>
      </c>
      <c r="B157" t="s">
        <v>1457</v>
      </c>
      <c r="C157" t="s">
        <v>1598</v>
      </c>
      <c r="D157" t="s">
        <v>1640</v>
      </c>
      <c r="E157" t="b">
        <f t="shared" si="2"/>
        <v>0</v>
      </c>
    </row>
    <row r="158" spans="1:5" x14ac:dyDescent="0.55000000000000004">
      <c r="A158" t="s">
        <v>2666</v>
      </c>
      <c r="B158" t="s">
        <v>2946</v>
      </c>
      <c r="C158" t="s">
        <v>1598</v>
      </c>
      <c r="D158" t="s">
        <v>1640</v>
      </c>
      <c r="E158" t="b">
        <f t="shared" si="2"/>
        <v>0</v>
      </c>
    </row>
    <row r="159" spans="1:5" x14ac:dyDescent="0.55000000000000004">
      <c r="A159" t="s">
        <v>2667</v>
      </c>
      <c r="B159" t="s">
        <v>2947</v>
      </c>
      <c r="C159" t="s">
        <v>1598</v>
      </c>
      <c r="D159" t="s">
        <v>1640</v>
      </c>
      <c r="E159" t="b">
        <f t="shared" si="2"/>
        <v>0</v>
      </c>
    </row>
    <row r="160" spans="1:5" x14ac:dyDescent="0.55000000000000004">
      <c r="A160" t="s">
        <v>2668</v>
      </c>
      <c r="B160" t="s">
        <v>3062</v>
      </c>
      <c r="C160" t="s">
        <v>1598</v>
      </c>
      <c r="D160" t="s">
        <v>1640</v>
      </c>
      <c r="E160" t="b">
        <f t="shared" si="2"/>
        <v>0</v>
      </c>
    </row>
    <row r="161" spans="1:5" x14ac:dyDescent="0.55000000000000004">
      <c r="A161" t="s">
        <v>2669</v>
      </c>
      <c r="B161" t="s">
        <v>2948</v>
      </c>
      <c r="C161" t="s">
        <v>1598</v>
      </c>
      <c r="D161" t="s">
        <v>1640</v>
      </c>
      <c r="E161" t="b">
        <f t="shared" si="2"/>
        <v>0</v>
      </c>
    </row>
    <row r="162" spans="1:5" x14ac:dyDescent="0.55000000000000004">
      <c r="A162" t="s">
        <v>1590</v>
      </c>
      <c r="B162" t="s">
        <v>1458</v>
      </c>
      <c r="C162" t="s">
        <v>1598</v>
      </c>
      <c r="D162" t="s">
        <v>1640</v>
      </c>
      <c r="E162" t="b">
        <f t="shared" si="2"/>
        <v>0</v>
      </c>
    </row>
    <row r="163" spans="1:5" x14ac:dyDescent="0.55000000000000004">
      <c r="A163" t="s">
        <v>2670</v>
      </c>
      <c r="B163" t="s">
        <v>2949</v>
      </c>
      <c r="C163" t="s">
        <v>1598</v>
      </c>
      <c r="D163" t="s">
        <v>1640</v>
      </c>
      <c r="E163" t="b">
        <f t="shared" si="2"/>
        <v>0</v>
      </c>
    </row>
    <row r="164" spans="1:5" x14ac:dyDescent="0.55000000000000004">
      <c r="A164" t="s">
        <v>2671</v>
      </c>
      <c r="B164" t="s">
        <v>2950</v>
      </c>
      <c r="C164" t="s">
        <v>1598</v>
      </c>
      <c r="D164" t="s">
        <v>1640</v>
      </c>
      <c r="E164" t="b">
        <f t="shared" si="2"/>
        <v>0</v>
      </c>
    </row>
    <row r="165" spans="1:5" x14ac:dyDescent="0.55000000000000004">
      <c r="A165" t="s">
        <v>2672</v>
      </c>
      <c r="B165" t="s">
        <v>2951</v>
      </c>
      <c r="C165" t="s">
        <v>1598</v>
      </c>
      <c r="D165" t="s">
        <v>1640</v>
      </c>
      <c r="E165" t="b">
        <f t="shared" si="2"/>
        <v>0</v>
      </c>
    </row>
    <row r="166" spans="1:5" x14ac:dyDescent="0.55000000000000004">
      <c r="A166" t="s">
        <v>2673</v>
      </c>
      <c r="B166" t="s">
        <v>2952</v>
      </c>
      <c r="C166" t="s">
        <v>1598</v>
      </c>
      <c r="D166" t="s">
        <v>1640</v>
      </c>
      <c r="E166" t="b">
        <f t="shared" si="2"/>
        <v>0</v>
      </c>
    </row>
    <row r="167" spans="1:5" x14ac:dyDescent="0.55000000000000004">
      <c r="A167" t="s">
        <v>2674</v>
      </c>
      <c r="B167" t="s">
        <v>2953</v>
      </c>
      <c r="C167" t="s">
        <v>1598</v>
      </c>
      <c r="D167" t="s">
        <v>1640</v>
      </c>
      <c r="E167" t="b">
        <f t="shared" si="2"/>
        <v>0</v>
      </c>
    </row>
    <row r="168" spans="1:5" x14ac:dyDescent="0.55000000000000004">
      <c r="A168" t="s">
        <v>2675</v>
      </c>
      <c r="B168" t="s">
        <v>3063</v>
      </c>
      <c r="C168" t="s">
        <v>1598</v>
      </c>
      <c r="D168" t="s">
        <v>1640</v>
      </c>
      <c r="E168" t="b">
        <f t="shared" si="2"/>
        <v>0</v>
      </c>
    </row>
    <row r="169" spans="1:5" x14ac:dyDescent="0.55000000000000004">
      <c r="A169" t="s">
        <v>2676</v>
      </c>
      <c r="B169" t="s">
        <v>2954</v>
      </c>
      <c r="C169" t="s">
        <v>1598</v>
      </c>
      <c r="D169" t="s">
        <v>1640</v>
      </c>
      <c r="E169" t="b">
        <f t="shared" si="2"/>
        <v>0</v>
      </c>
    </row>
    <row r="170" spans="1:5" x14ac:dyDescent="0.55000000000000004">
      <c r="A170" t="s">
        <v>2677</v>
      </c>
      <c r="B170" t="s">
        <v>2955</v>
      </c>
      <c r="C170" t="s">
        <v>1598</v>
      </c>
      <c r="D170" t="s">
        <v>1640</v>
      </c>
      <c r="E170" t="b">
        <f t="shared" si="2"/>
        <v>0</v>
      </c>
    </row>
    <row r="171" spans="1:5" x14ac:dyDescent="0.55000000000000004">
      <c r="A171" t="s">
        <v>2678</v>
      </c>
      <c r="B171" t="s">
        <v>3005</v>
      </c>
      <c r="C171" t="s">
        <v>1598</v>
      </c>
      <c r="D171" t="s">
        <v>1640</v>
      </c>
      <c r="E171" t="b">
        <f t="shared" si="2"/>
        <v>0</v>
      </c>
    </row>
    <row r="172" spans="1:5" x14ac:dyDescent="0.55000000000000004">
      <c r="A172" t="s">
        <v>2679</v>
      </c>
      <c r="B172" t="s">
        <v>3064</v>
      </c>
      <c r="C172" t="s">
        <v>1598</v>
      </c>
      <c r="D172" t="s">
        <v>1640</v>
      </c>
      <c r="E172" t="b">
        <f t="shared" si="2"/>
        <v>0</v>
      </c>
    </row>
    <row r="173" spans="1:5" x14ac:dyDescent="0.55000000000000004">
      <c r="A173" t="s">
        <v>2680</v>
      </c>
      <c r="B173" t="s">
        <v>3065</v>
      </c>
      <c r="C173" t="s">
        <v>1598</v>
      </c>
      <c r="D173" t="s">
        <v>1640</v>
      </c>
      <c r="E173" t="b">
        <f t="shared" si="2"/>
        <v>0</v>
      </c>
    </row>
    <row r="174" spans="1:5" x14ac:dyDescent="0.55000000000000004">
      <c r="A174" t="s">
        <v>2681</v>
      </c>
      <c r="B174" t="s">
        <v>2956</v>
      </c>
      <c r="C174" t="s">
        <v>1598</v>
      </c>
      <c r="D174" t="s">
        <v>1640</v>
      </c>
      <c r="E174" t="b">
        <f t="shared" si="2"/>
        <v>0</v>
      </c>
    </row>
    <row r="175" spans="1:5" x14ac:dyDescent="0.55000000000000004">
      <c r="A175" t="s">
        <v>2682</v>
      </c>
      <c r="B175" t="s">
        <v>2957</v>
      </c>
      <c r="C175" t="s">
        <v>1598</v>
      </c>
      <c r="D175" t="s">
        <v>1640</v>
      </c>
      <c r="E175" t="b">
        <f t="shared" si="2"/>
        <v>0</v>
      </c>
    </row>
    <row r="176" spans="1:5" x14ac:dyDescent="0.55000000000000004">
      <c r="A176" t="s">
        <v>2683</v>
      </c>
      <c r="B176" t="s">
        <v>3006</v>
      </c>
      <c r="C176" t="s">
        <v>1598</v>
      </c>
      <c r="D176" t="s">
        <v>1640</v>
      </c>
      <c r="E176" t="b">
        <f t="shared" si="2"/>
        <v>0</v>
      </c>
    </row>
    <row r="177" spans="1:5" x14ac:dyDescent="0.55000000000000004">
      <c r="A177" t="s">
        <v>2684</v>
      </c>
      <c r="B177" t="s">
        <v>3066</v>
      </c>
      <c r="C177" t="s">
        <v>1598</v>
      </c>
      <c r="D177" t="s">
        <v>1640</v>
      </c>
      <c r="E177" t="b">
        <f t="shared" si="2"/>
        <v>0</v>
      </c>
    </row>
    <row r="178" spans="1:5" x14ac:dyDescent="0.55000000000000004">
      <c r="A178" t="s">
        <v>2685</v>
      </c>
      <c r="B178" t="s">
        <v>2958</v>
      </c>
      <c r="C178" t="s">
        <v>1598</v>
      </c>
      <c r="D178" t="s">
        <v>1640</v>
      </c>
      <c r="E178" t="b">
        <f t="shared" si="2"/>
        <v>0</v>
      </c>
    </row>
    <row r="179" spans="1:5" x14ac:dyDescent="0.55000000000000004">
      <c r="A179" t="s">
        <v>1591</v>
      </c>
      <c r="B179" t="s">
        <v>1459</v>
      </c>
      <c r="C179" t="s">
        <v>1598</v>
      </c>
      <c r="D179" t="s">
        <v>1640</v>
      </c>
      <c r="E179" t="b">
        <f t="shared" si="2"/>
        <v>0</v>
      </c>
    </row>
    <row r="180" spans="1:5" x14ac:dyDescent="0.55000000000000004">
      <c r="A180" t="s">
        <v>1592</v>
      </c>
      <c r="B180" t="s">
        <v>1460</v>
      </c>
      <c r="C180" t="s">
        <v>1598</v>
      </c>
      <c r="D180" t="s">
        <v>1640</v>
      </c>
      <c r="E180" t="b">
        <f t="shared" si="2"/>
        <v>0</v>
      </c>
    </row>
    <row r="181" spans="1:5" x14ac:dyDescent="0.55000000000000004">
      <c r="A181" t="s">
        <v>2694</v>
      </c>
      <c r="B181" t="s">
        <v>3067</v>
      </c>
      <c r="C181" t="s">
        <v>1598</v>
      </c>
      <c r="D181" t="s">
        <v>1640</v>
      </c>
      <c r="E181" t="b">
        <f t="shared" si="2"/>
        <v>0</v>
      </c>
    </row>
    <row r="182" spans="1:5" x14ac:dyDescent="0.55000000000000004">
      <c r="A182" t="s">
        <v>2695</v>
      </c>
      <c r="B182" t="s">
        <v>2959</v>
      </c>
      <c r="C182" t="s">
        <v>1598</v>
      </c>
      <c r="D182" t="s">
        <v>1640</v>
      </c>
      <c r="E182" t="b">
        <f t="shared" si="2"/>
        <v>0</v>
      </c>
    </row>
    <row r="183" spans="1:5" x14ac:dyDescent="0.55000000000000004">
      <c r="A183" t="s">
        <v>2696</v>
      </c>
      <c r="B183" t="s">
        <v>2960</v>
      </c>
      <c r="C183" t="s">
        <v>1598</v>
      </c>
      <c r="D183" t="s">
        <v>1640</v>
      </c>
      <c r="E183" t="b">
        <f t="shared" si="2"/>
        <v>0</v>
      </c>
    </row>
    <row r="184" spans="1:5" x14ac:dyDescent="0.55000000000000004">
      <c r="A184" t="s">
        <v>2697</v>
      </c>
      <c r="B184" t="s">
        <v>3068</v>
      </c>
      <c r="C184" t="s">
        <v>1598</v>
      </c>
      <c r="D184" t="s">
        <v>1640</v>
      </c>
      <c r="E184" t="b">
        <f t="shared" si="2"/>
        <v>0</v>
      </c>
    </row>
    <row r="185" spans="1:5" x14ac:dyDescent="0.55000000000000004">
      <c r="A185" t="s">
        <v>2698</v>
      </c>
      <c r="B185" t="s">
        <v>2961</v>
      </c>
      <c r="C185" t="s">
        <v>1598</v>
      </c>
      <c r="D185" t="s">
        <v>1640</v>
      </c>
      <c r="E185" t="b">
        <f t="shared" si="2"/>
        <v>0</v>
      </c>
    </row>
    <row r="186" spans="1:5" x14ac:dyDescent="0.55000000000000004">
      <c r="A186" t="s">
        <v>2699</v>
      </c>
      <c r="B186" t="s">
        <v>3007</v>
      </c>
      <c r="C186" t="s">
        <v>1598</v>
      </c>
      <c r="D186" t="s">
        <v>1640</v>
      </c>
      <c r="E186" t="b">
        <f t="shared" si="2"/>
        <v>0</v>
      </c>
    </row>
    <row r="187" spans="1:5" x14ac:dyDescent="0.55000000000000004">
      <c r="A187" t="s">
        <v>2700</v>
      </c>
      <c r="B187" t="s">
        <v>3008</v>
      </c>
      <c r="C187" t="s">
        <v>1598</v>
      </c>
      <c r="D187" t="s">
        <v>1640</v>
      </c>
      <c r="E187" t="b">
        <f t="shared" si="2"/>
        <v>0</v>
      </c>
    </row>
    <row r="188" spans="1:5" x14ac:dyDescent="0.55000000000000004">
      <c r="A188" t="s">
        <v>2701</v>
      </c>
      <c r="B188" t="s">
        <v>3069</v>
      </c>
      <c r="C188" t="s">
        <v>1598</v>
      </c>
      <c r="D188" t="s">
        <v>1640</v>
      </c>
      <c r="E188" t="b">
        <f t="shared" si="2"/>
        <v>0</v>
      </c>
    </row>
    <row r="189" spans="1:5" x14ac:dyDescent="0.55000000000000004">
      <c r="A189" t="s">
        <v>2686</v>
      </c>
      <c r="B189" t="s">
        <v>3070</v>
      </c>
      <c r="C189" t="s">
        <v>1598</v>
      </c>
      <c r="D189" t="s">
        <v>1640</v>
      </c>
      <c r="E189" t="b">
        <f t="shared" si="2"/>
        <v>0</v>
      </c>
    </row>
    <row r="190" spans="1:5" x14ac:dyDescent="0.55000000000000004">
      <c r="A190" t="s">
        <v>2687</v>
      </c>
      <c r="B190" t="s">
        <v>3071</v>
      </c>
      <c r="C190" t="s">
        <v>1598</v>
      </c>
      <c r="D190" t="s">
        <v>1640</v>
      </c>
      <c r="E190" t="b">
        <f t="shared" si="2"/>
        <v>0</v>
      </c>
    </row>
    <row r="191" spans="1:5" x14ac:dyDescent="0.55000000000000004">
      <c r="A191" t="s">
        <v>2688</v>
      </c>
      <c r="B191" t="s">
        <v>3072</v>
      </c>
      <c r="C191" t="s">
        <v>1598</v>
      </c>
      <c r="D191" t="s">
        <v>1640</v>
      </c>
      <c r="E191" t="b">
        <f t="shared" si="2"/>
        <v>0</v>
      </c>
    </row>
    <row r="192" spans="1:5" x14ac:dyDescent="0.55000000000000004">
      <c r="A192" t="s">
        <v>2689</v>
      </c>
      <c r="B192" t="s">
        <v>3009</v>
      </c>
      <c r="C192" t="s">
        <v>1598</v>
      </c>
      <c r="D192" t="s">
        <v>1640</v>
      </c>
      <c r="E192" t="b">
        <f t="shared" si="2"/>
        <v>0</v>
      </c>
    </row>
    <row r="193" spans="1:5" x14ac:dyDescent="0.55000000000000004">
      <c r="A193" t="s">
        <v>2690</v>
      </c>
      <c r="B193" t="s">
        <v>2962</v>
      </c>
      <c r="C193" t="s">
        <v>1598</v>
      </c>
      <c r="D193" t="s">
        <v>1640</v>
      </c>
      <c r="E193" t="b">
        <f t="shared" si="2"/>
        <v>0</v>
      </c>
    </row>
    <row r="194" spans="1:5" x14ac:dyDescent="0.55000000000000004">
      <c r="A194" t="s">
        <v>2691</v>
      </c>
      <c r="B194" t="s">
        <v>3073</v>
      </c>
      <c r="C194" t="s">
        <v>1598</v>
      </c>
      <c r="D194" t="s">
        <v>1640</v>
      </c>
      <c r="E194" t="b">
        <f t="shared" si="2"/>
        <v>0</v>
      </c>
    </row>
    <row r="195" spans="1:5" x14ac:dyDescent="0.55000000000000004">
      <c r="A195" t="s">
        <v>2692</v>
      </c>
      <c r="B195" t="s">
        <v>2963</v>
      </c>
      <c r="C195" t="s">
        <v>1598</v>
      </c>
      <c r="D195" t="s">
        <v>1640</v>
      </c>
      <c r="E195" t="b">
        <f t="shared" ref="E195:E258" si="3">EXACT(A195,F195)</f>
        <v>0</v>
      </c>
    </row>
    <row r="196" spans="1:5" x14ac:dyDescent="0.55000000000000004">
      <c r="A196" t="s">
        <v>2693</v>
      </c>
      <c r="B196" t="s">
        <v>3074</v>
      </c>
      <c r="C196" t="s">
        <v>1598</v>
      </c>
      <c r="D196" t="s">
        <v>1640</v>
      </c>
      <c r="E196" t="b">
        <f t="shared" si="3"/>
        <v>0</v>
      </c>
    </row>
    <row r="197" spans="1:5" x14ac:dyDescent="0.55000000000000004">
      <c r="A197" t="s">
        <v>1593</v>
      </c>
      <c r="B197" t="s">
        <v>1461</v>
      </c>
      <c r="C197" t="s">
        <v>1598</v>
      </c>
      <c r="D197" t="s">
        <v>1640</v>
      </c>
      <c r="E197" t="b">
        <f t="shared" si="3"/>
        <v>0</v>
      </c>
    </row>
    <row r="198" spans="1:5" x14ac:dyDescent="0.55000000000000004">
      <c r="A198" t="s">
        <v>1594</v>
      </c>
      <c r="B198" t="s">
        <v>1462</v>
      </c>
      <c r="C198" t="s">
        <v>1598</v>
      </c>
      <c r="D198" t="s">
        <v>1640</v>
      </c>
      <c r="E198" t="b">
        <f t="shared" si="3"/>
        <v>0</v>
      </c>
    </row>
    <row r="199" spans="1:5" x14ac:dyDescent="0.55000000000000004">
      <c r="A199" t="s">
        <v>2702</v>
      </c>
      <c r="B199" t="s">
        <v>2923</v>
      </c>
      <c r="C199" t="s">
        <v>1598</v>
      </c>
      <c r="D199" t="s">
        <v>1640</v>
      </c>
      <c r="E199" t="b">
        <f t="shared" si="3"/>
        <v>0</v>
      </c>
    </row>
    <row r="200" spans="1:5" x14ac:dyDescent="0.55000000000000004">
      <c r="A200" t="s">
        <v>1595</v>
      </c>
      <c r="B200" t="s">
        <v>1463</v>
      </c>
      <c r="C200" t="s">
        <v>1598</v>
      </c>
      <c r="D200" t="s">
        <v>1640</v>
      </c>
      <c r="E200" t="b">
        <f t="shared" si="3"/>
        <v>0</v>
      </c>
    </row>
    <row r="201" spans="1:5" x14ac:dyDescent="0.55000000000000004">
      <c r="A201" t="s">
        <v>1596</v>
      </c>
      <c r="B201" t="s">
        <v>1464</v>
      </c>
      <c r="C201" t="s">
        <v>1598</v>
      </c>
      <c r="D201" t="s">
        <v>1640</v>
      </c>
      <c r="E201" t="b">
        <f t="shared" si="3"/>
        <v>0</v>
      </c>
    </row>
    <row r="202" spans="1:5" x14ac:dyDescent="0.55000000000000004">
      <c r="A202" t="s">
        <v>1597</v>
      </c>
      <c r="B202" t="s">
        <v>1465</v>
      </c>
      <c r="C202" t="s">
        <v>1598</v>
      </c>
      <c r="D202" t="s">
        <v>1640</v>
      </c>
      <c r="E202" t="b">
        <f t="shared" si="3"/>
        <v>0</v>
      </c>
    </row>
    <row r="203" spans="1:5" x14ac:dyDescent="0.55000000000000004">
      <c r="A203" t="s">
        <v>2703</v>
      </c>
      <c r="B203" t="s">
        <v>2964</v>
      </c>
      <c r="C203" t="s">
        <v>1598</v>
      </c>
      <c r="D203" t="s">
        <v>1640</v>
      </c>
      <c r="E203" t="b">
        <f t="shared" si="3"/>
        <v>0</v>
      </c>
    </row>
    <row r="204" spans="1:5" x14ac:dyDescent="0.55000000000000004">
      <c r="A204" t="s">
        <v>2704</v>
      </c>
      <c r="B204" t="s">
        <v>3010</v>
      </c>
      <c r="C204" t="s">
        <v>1598</v>
      </c>
      <c r="D204" t="s">
        <v>1640</v>
      </c>
      <c r="E204" t="b">
        <f t="shared" si="3"/>
        <v>0</v>
      </c>
    </row>
    <row r="205" spans="1:5" x14ac:dyDescent="0.55000000000000004">
      <c r="A205" t="s">
        <v>2705</v>
      </c>
      <c r="B205" t="s">
        <v>2965</v>
      </c>
      <c r="C205" t="s">
        <v>1598</v>
      </c>
      <c r="D205" t="s">
        <v>1640</v>
      </c>
      <c r="E205" t="b">
        <f t="shared" si="3"/>
        <v>0</v>
      </c>
    </row>
    <row r="206" spans="1:5" x14ac:dyDescent="0.55000000000000004">
      <c r="A206" t="s">
        <v>2706</v>
      </c>
      <c r="B206" t="s">
        <v>2966</v>
      </c>
      <c r="C206" t="s">
        <v>1598</v>
      </c>
      <c r="D206" t="s">
        <v>1640</v>
      </c>
      <c r="E206" t="b">
        <f t="shared" si="3"/>
        <v>0</v>
      </c>
    </row>
    <row r="207" spans="1:5" x14ac:dyDescent="0.55000000000000004">
      <c r="A207" t="s">
        <v>2707</v>
      </c>
      <c r="B207" t="s">
        <v>3075</v>
      </c>
      <c r="C207" t="s">
        <v>1598</v>
      </c>
      <c r="D207" t="s">
        <v>1640</v>
      </c>
      <c r="E207" t="b">
        <f t="shared" si="3"/>
        <v>0</v>
      </c>
    </row>
    <row r="208" spans="1:5" x14ac:dyDescent="0.55000000000000004">
      <c r="A208" t="s">
        <v>2708</v>
      </c>
      <c r="B208" t="s">
        <v>2967</v>
      </c>
      <c r="C208" t="s">
        <v>1598</v>
      </c>
      <c r="D208" t="s">
        <v>1640</v>
      </c>
      <c r="E208" t="b">
        <f t="shared" si="3"/>
        <v>0</v>
      </c>
    </row>
    <row r="209" spans="1:5" x14ac:dyDescent="0.55000000000000004">
      <c r="A209" t="s">
        <v>2709</v>
      </c>
      <c r="B209" t="s">
        <v>3076</v>
      </c>
      <c r="C209" t="s">
        <v>1598</v>
      </c>
      <c r="D209" t="s">
        <v>1640</v>
      </c>
      <c r="E209" t="b">
        <f t="shared" si="3"/>
        <v>0</v>
      </c>
    </row>
    <row r="210" spans="1:5" x14ac:dyDescent="0.55000000000000004">
      <c r="A210" t="s">
        <v>2710</v>
      </c>
      <c r="B210" t="s">
        <v>3077</v>
      </c>
      <c r="C210" t="s">
        <v>1598</v>
      </c>
      <c r="D210" t="s">
        <v>1640</v>
      </c>
      <c r="E210" t="b">
        <f t="shared" si="3"/>
        <v>0</v>
      </c>
    </row>
    <row r="211" spans="1:5" x14ac:dyDescent="0.55000000000000004">
      <c r="A211" t="s">
        <v>2711</v>
      </c>
      <c r="B211" t="s">
        <v>3078</v>
      </c>
      <c r="C211" t="s">
        <v>1598</v>
      </c>
      <c r="D211" t="s">
        <v>1640</v>
      </c>
      <c r="E211" t="b">
        <f t="shared" si="3"/>
        <v>0</v>
      </c>
    </row>
    <row r="212" spans="1:5" x14ac:dyDescent="0.55000000000000004">
      <c r="A212" t="s">
        <v>566</v>
      </c>
      <c r="B212" t="s">
        <v>1466</v>
      </c>
      <c r="C212" t="s">
        <v>1657</v>
      </c>
      <c r="D212" t="s">
        <v>1640</v>
      </c>
      <c r="E212" t="b">
        <f t="shared" si="3"/>
        <v>0</v>
      </c>
    </row>
    <row r="213" spans="1:5" x14ac:dyDescent="0.55000000000000004">
      <c r="A213" t="s">
        <v>2712</v>
      </c>
      <c r="B213" t="s">
        <v>3011</v>
      </c>
      <c r="C213" t="s">
        <v>577</v>
      </c>
      <c r="D213" t="s">
        <v>1638</v>
      </c>
      <c r="E213" t="b">
        <f t="shared" si="3"/>
        <v>0</v>
      </c>
    </row>
    <row r="214" spans="1:5" x14ac:dyDescent="0.55000000000000004">
      <c r="A214" t="s">
        <v>2713</v>
      </c>
      <c r="B214" t="s">
        <v>2968</v>
      </c>
      <c r="C214" t="s">
        <v>577</v>
      </c>
      <c r="D214" t="s">
        <v>1638</v>
      </c>
      <c r="E214" t="b">
        <f t="shared" si="3"/>
        <v>0</v>
      </c>
    </row>
    <row r="215" spans="1:5" x14ac:dyDescent="0.55000000000000004">
      <c r="A215" t="s">
        <v>2714</v>
      </c>
      <c r="B215" t="s">
        <v>3012</v>
      </c>
      <c r="C215" t="s">
        <v>577</v>
      </c>
      <c r="D215" t="s">
        <v>1638</v>
      </c>
      <c r="E215" t="b">
        <f t="shared" si="3"/>
        <v>0</v>
      </c>
    </row>
    <row r="216" spans="1:5" x14ac:dyDescent="0.55000000000000004">
      <c r="A216" t="s">
        <v>2715</v>
      </c>
      <c r="B216" t="s">
        <v>2969</v>
      </c>
      <c r="C216" t="s">
        <v>577</v>
      </c>
      <c r="D216" t="s">
        <v>1638</v>
      </c>
      <c r="E216" t="b">
        <f t="shared" si="3"/>
        <v>0</v>
      </c>
    </row>
    <row r="217" spans="1:5" x14ac:dyDescent="0.55000000000000004">
      <c r="A217" t="s">
        <v>2716</v>
      </c>
      <c r="B217" t="s">
        <v>2970</v>
      </c>
      <c r="C217" t="s">
        <v>577</v>
      </c>
      <c r="D217" t="s">
        <v>1638</v>
      </c>
      <c r="E217" t="b">
        <f t="shared" si="3"/>
        <v>0</v>
      </c>
    </row>
    <row r="218" spans="1:5" x14ac:dyDescent="0.55000000000000004">
      <c r="A218" t="s">
        <v>2717</v>
      </c>
      <c r="B218" t="s">
        <v>2971</v>
      </c>
      <c r="C218" t="s">
        <v>577</v>
      </c>
      <c r="D218" t="s">
        <v>1638</v>
      </c>
      <c r="E218" t="b">
        <f t="shared" si="3"/>
        <v>0</v>
      </c>
    </row>
    <row r="219" spans="1:5" x14ac:dyDescent="0.55000000000000004">
      <c r="A219" t="s">
        <v>2718</v>
      </c>
      <c r="B219" t="s">
        <v>2972</v>
      </c>
      <c r="C219" t="s">
        <v>577</v>
      </c>
      <c r="D219" t="s">
        <v>1638</v>
      </c>
      <c r="E219" t="b">
        <f t="shared" si="3"/>
        <v>0</v>
      </c>
    </row>
    <row r="220" spans="1:5" x14ac:dyDescent="0.55000000000000004">
      <c r="A220" t="s">
        <v>2719</v>
      </c>
      <c r="B220" t="s">
        <v>2973</v>
      </c>
      <c r="C220" t="s">
        <v>577</v>
      </c>
      <c r="D220" t="s">
        <v>1638</v>
      </c>
      <c r="E220" t="b">
        <f t="shared" si="3"/>
        <v>0</v>
      </c>
    </row>
    <row r="221" spans="1:5" x14ac:dyDescent="0.55000000000000004">
      <c r="A221" t="s">
        <v>2720</v>
      </c>
      <c r="B221" t="s">
        <v>2974</v>
      </c>
      <c r="C221" t="s">
        <v>577</v>
      </c>
      <c r="D221" t="s">
        <v>1638</v>
      </c>
      <c r="E221" t="b">
        <f t="shared" si="3"/>
        <v>0</v>
      </c>
    </row>
    <row r="222" spans="1:5" x14ac:dyDescent="0.55000000000000004">
      <c r="A222" t="s">
        <v>2721</v>
      </c>
      <c r="B222" t="s">
        <v>2975</v>
      </c>
      <c r="C222" t="s">
        <v>577</v>
      </c>
      <c r="D222" t="s">
        <v>1638</v>
      </c>
      <c r="E222" t="b">
        <f t="shared" si="3"/>
        <v>0</v>
      </c>
    </row>
    <row r="223" spans="1:5" x14ac:dyDescent="0.55000000000000004">
      <c r="A223" t="s">
        <v>2722</v>
      </c>
      <c r="B223" t="s">
        <v>3013</v>
      </c>
      <c r="C223" t="s">
        <v>577</v>
      </c>
      <c r="D223" t="s">
        <v>1638</v>
      </c>
      <c r="E223" t="b">
        <f t="shared" si="3"/>
        <v>0</v>
      </c>
    </row>
    <row r="224" spans="1:5" x14ac:dyDescent="0.55000000000000004">
      <c r="A224" t="s">
        <v>2723</v>
      </c>
      <c r="B224" t="s">
        <v>2976</v>
      </c>
      <c r="C224" t="s">
        <v>577</v>
      </c>
      <c r="D224" t="s">
        <v>1638</v>
      </c>
      <c r="E224" t="b">
        <f t="shared" si="3"/>
        <v>0</v>
      </c>
    </row>
    <row r="225" spans="1:5" x14ac:dyDescent="0.55000000000000004">
      <c r="A225" t="s">
        <v>2724</v>
      </c>
      <c r="B225" t="s">
        <v>3040</v>
      </c>
      <c r="C225" t="s">
        <v>577</v>
      </c>
      <c r="D225" t="s">
        <v>1638</v>
      </c>
      <c r="E225" t="b">
        <f t="shared" si="3"/>
        <v>0</v>
      </c>
    </row>
    <row r="226" spans="1:5" x14ac:dyDescent="0.55000000000000004">
      <c r="A226" t="s">
        <v>2725</v>
      </c>
      <c r="B226" t="s">
        <v>2977</v>
      </c>
      <c r="C226" t="s">
        <v>577</v>
      </c>
      <c r="D226" t="s">
        <v>1638</v>
      </c>
      <c r="E226" t="b">
        <f t="shared" si="3"/>
        <v>0</v>
      </c>
    </row>
    <row r="227" spans="1:5" x14ac:dyDescent="0.55000000000000004">
      <c r="A227" t="s">
        <v>2726</v>
      </c>
      <c r="B227" t="s">
        <v>3014</v>
      </c>
      <c r="C227" t="s">
        <v>577</v>
      </c>
      <c r="D227" t="s">
        <v>1638</v>
      </c>
      <c r="E227" t="b">
        <f t="shared" si="3"/>
        <v>0</v>
      </c>
    </row>
    <row r="228" spans="1:5" x14ac:dyDescent="0.55000000000000004">
      <c r="A228" t="s">
        <v>2727</v>
      </c>
      <c r="B228" t="s">
        <v>2978</v>
      </c>
      <c r="C228" t="s">
        <v>577</v>
      </c>
      <c r="D228" t="s">
        <v>1638</v>
      </c>
      <c r="E228" t="b">
        <f t="shared" si="3"/>
        <v>0</v>
      </c>
    </row>
    <row r="229" spans="1:5" x14ac:dyDescent="0.55000000000000004">
      <c r="A229" t="s">
        <v>2728</v>
      </c>
      <c r="B229" t="s">
        <v>3015</v>
      </c>
      <c r="C229" t="s">
        <v>577</v>
      </c>
      <c r="D229" t="s">
        <v>1638</v>
      </c>
      <c r="E229" t="b">
        <f t="shared" si="3"/>
        <v>0</v>
      </c>
    </row>
    <row r="230" spans="1:5" x14ac:dyDescent="0.55000000000000004">
      <c r="A230" t="s">
        <v>2729</v>
      </c>
      <c r="B230" t="s">
        <v>2929</v>
      </c>
      <c r="C230" t="s">
        <v>577</v>
      </c>
      <c r="D230" t="s">
        <v>1638</v>
      </c>
      <c r="E230" t="b">
        <f t="shared" si="3"/>
        <v>0</v>
      </c>
    </row>
    <row r="231" spans="1:5" x14ac:dyDescent="0.55000000000000004">
      <c r="A231" t="s">
        <v>2730</v>
      </c>
      <c r="B231" t="s">
        <v>3041</v>
      </c>
      <c r="C231" t="s">
        <v>577</v>
      </c>
      <c r="D231" t="s">
        <v>1638</v>
      </c>
      <c r="E231" t="b">
        <f t="shared" si="3"/>
        <v>0</v>
      </c>
    </row>
    <row r="232" spans="1:5" x14ac:dyDescent="0.55000000000000004">
      <c r="A232" t="s">
        <v>2731</v>
      </c>
      <c r="B232" t="s">
        <v>2979</v>
      </c>
      <c r="C232" t="s">
        <v>577</v>
      </c>
      <c r="D232" t="s">
        <v>1638</v>
      </c>
      <c r="E232" t="b">
        <f t="shared" si="3"/>
        <v>0</v>
      </c>
    </row>
    <row r="233" spans="1:5" x14ac:dyDescent="0.55000000000000004">
      <c r="A233" t="s">
        <v>2732</v>
      </c>
      <c r="B233" t="s">
        <v>3016</v>
      </c>
      <c r="C233" t="s">
        <v>577</v>
      </c>
      <c r="D233" t="s">
        <v>1638</v>
      </c>
      <c r="E233" t="b">
        <f t="shared" si="3"/>
        <v>0</v>
      </c>
    </row>
    <row r="234" spans="1:5" x14ac:dyDescent="0.55000000000000004">
      <c r="A234" t="s">
        <v>2740</v>
      </c>
      <c r="B234" t="s">
        <v>3017</v>
      </c>
      <c r="C234" t="s">
        <v>577</v>
      </c>
      <c r="D234" t="s">
        <v>1638</v>
      </c>
      <c r="E234" t="b">
        <f t="shared" si="3"/>
        <v>0</v>
      </c>
    </row>
    <row r="235" spans="1:5" x14ac:dyDescent="0.55000000000000004">
      <c r="A235" t="s">
        <v>2741</v>
      </c>
      <c r="B235" t="s">
        <v>2980</v>
      </c>
      <c r="C235" t="s">
        <v>577</v>
      </c>
      <c r="D235" t="s">
        <v>1638</v>
      </c>
      <c r="E235" t="b">
        <f t="shared" si="3"/>
        <v>0</v>
      </c>
    </row>
    <row r="236" spans="1:5" x14ac:dyDescent="0.55000000000000004">
      <c r="A236" t="s">
        <v>2733</v>
      </c>
      <c r="B236" t="s">
        <v>2981</v>
      </c>
      <c r="C236" t="s">
        <v>577</v>
      </c>
      <c r="D236" t="s">
        <v>1638</v>
      </c>
      <c r="E236" t="b">
        <f t="shared" si="3"/>
        <v>0</v>
      </c>
    </row>
    <row r="237" spans="1:5" x14ac:dyDescent="0.55000000000000004">
      <c r="A237" t="s">
        <v>2734</v>
      </c>
      <c r="B237" t="s">
        <v>3018</v>
      </c>
      <c r="C237" t="s">
        <v>577</v>
      </c>
      <c r="D237" t="s">
        <v>1638</v>
      </c>
      <c r="E237" t="b">
        <f t="shared" si="3"/>
        <v>0</v>
      </c>
    </row>
    <row r="238" spans="1:5" x14ac:dyDescent="0.55000000000000004">
      <c r="A238" t="s">
        <v>2735</v>
      </c>
      <c r="B238" t="s">
        <v>3042</v>
      </c>
      <c r="C238" t="s">
        <v>577</v>
      </c>
      <c r="D238" t="s">
        <v>1638</v>
      </c>
      <c r="E238" t="b">
        <f t="shared" si="3"/>
        <v>0</v>
      </c>
    </row>
    <row r="239" spans="1:5" x14ac:dyDescent="0.55000000000000004">
      <c r="A239" t="s">
        <v>2736</v>
      </c>
      <c r="B239" t="s">
        <v>3043</v>
      </c>
      <c r="C239" t="s">
        <v>577</v>
      </c>
      <c r="D239" t="s">
        <v>1638</v>
      </c>
      <c r="E239" t="b">
        <f t="shared" si="3"/>
        <v>0</v>
      </c>
    </row>
    <row r="240" spans="1:5" x14ac:dyDescent="0.55000000000000004">
      <c r="A240" t="s">
        <v>2737</v>
      </c>
      <c r="B240" t="s">
        <v>3019</v>
      </c>
      <c r="C240" t="s">
        <v>577</v>
      </c>
      <c r="D240" t="s">
        <v>1638</v>
      </c>
      <c r="E240" t="b">
        <f t="shared" si="3"/>
        <v>0</v>
      </c>
    </row>
    <row r="241" spans="1:5" x14ac:dyDescent="0.55000000000000004">
      <c r="A241" t="s">
        <v>2738</v>
      </c>
      <c r="B241" t="s">
        <v>3044</v>
      </c>
      <c r="C241" t="s">
        <v>577</v>
      </c>
      <c r="D241" t="s">
        <v>1638</v>
      </c>
      <c r="E241" t="b">
        <f t="shared" si="3"/>
        <v>0</v>
      </c>
    </row>
    <row r="242" spans="1:5" x14ac:dyDescent="0.55000000000000004">
      <c r="A242" t="s">
        <v>2739</v>
      </c>
      <c r="B242" t="s">
        <v>3020</v>
      </c>
      <c r="C242" t="s">
        <v>577</v>
      </c>
      <c r="D242" t="s">
        <v>1638</v>
      </c>
      <c r="E242" t="b">
        <f t="shared" si="3"/>
        <v>0</v>
      </c>
    </row>
    <row r="243" spans="1:5" x14ac:dyDescent="0.55000000000000004">
      <c r="A243" t="s">
        <v>2742</v>
      </c>
      <c r="B243" t="s">
        <v>2921</v>
      </c>
      <c r="C243" t="s">
        <v>577</v>
      </c>
      <c r="D243" t="s">
        <v>1638</v>
      </c>
      <c r="E243" t="b">
        <f t="shared" si="3"/>
        <v>0</v>
      </c>
    </row>
    <row r="244" spans="1:5" x14ac:dyDescent="0.55000000000000004">
      <c r="A244" t="s">
        <v>2754</v>
      </c>
      <c r="B244" t="s">
        <v>2982</v>
      </c>
      <c r="C244" t="s">
        <v>577</v>
      </c>
      <c r="D244" t="s">
        <v>1638</v>
      </c>
      <c r="E244" t="b">
        <f t="shared" si="3"/>
        <v>0</v>
      </c>
    </row>
    <row r="245" spans="1:5" x14ac:dyDescent="0.55000000000000004">
      <c r="A245" t="s">
        <v>2743</v>
      </c>
      <c r="B245" t="s">
        <v>3021</v>
      </c>
      <c r="C245" t="s">
        <v>577</v>
      </c>
      <c r="D245" t="s">
        <v>1638</v>
      </c>
      <c r="E245" t="b">
        <f t="shared" si="3"/>
        <v>0</v>
      </c>
    </row>
    <row r="246" spans="1:5" x14ac:dyDescent="0.55000000000000004">
      <c r="A246" t="s">
        <v>2744</v>
      </c>
      <c r="B246" t="s">
        <v>2983</v>
      </c>
      <c r="C246" t="s">
        <v>577</v>
      </c>
      <c r="D246" t="s">
        <v>1638</v>
      </c>
      <c r="E246" t="b">
        <f t="shared" si="3"/>
        <v>0</v>
      </c>
    </row>
    <row r="247" spans="1:5" x14ac:dyDescent="0.55000000000000004">
      <c r="A247" t="s">
        <v>2745</v>
      </c>
      <c r="B247" t="s">
        <v>3022</v>
      </c>
      <c r="C247" t="s">
        <v>577</v>
      </c>
      <c r="D247" t="s">
        <v>1638</v>
      </c>
      <c r="E247" t="b">
        <f t="shared" si="3"/>
        <v>0</v>
      </c>
    </row>
    <row r="248" spans="1:5" x14ac:dyDescent="0.55000000000000004">
      <c r="A248" t="s">
        <v>2746</v>
      </c>
      <c r="B248" t="s">
        <v>3045</v>
      </c>
      <c r="C248" t="s">
        <v>577</v>
      </c>
      <c r="D248" t="s">
        <v>1638</v>
      </c>
      <c r="E248" t="b">
        <f t="shared" si="3"/>
        <v>0</v>
      </c>
    </row>
    <row r="249" spans="1:5" x14ac:dyDescent="0.55000000000000004">
      <c r="A249" t="s">
        <v>2747</v>
      </c>
      <c r="B249" t="s">
        <v>2984</v>
      </c>
      <c r="C249" t="s">
        <v>577</v>
      </c>
      <c r="D249" t="s">
        <v>1638</v>
      </c>
      <c r="E249" t="b">
        <f t="shared" si="3"/>
        <v>0</v>
      </c>
    </row>
    <row r="250" spans="1:5" x14ac:dyDescent="0.55000000000000004">
      <c r="A250" t="s">
        <v>2748</v>
      </c>
      <c r="B250" t="s">
        <v>3046</v>
      </c>
      <c r="C250" t="s">
        <v>577</v>
      </c>
      <c r="D250" t="s">
        <v>1638</v>
      </c>
      <c r="E250" t="b">
        <f t="shared" si="3"/>
        <v>0</v>
      </c>
    </row>
    <row r="251" spans="1:5" x14ac:dyDescent="0.55000000000000004">
      <c r="A251" t="s">
        <v>2749</v>
      </c>
      <c r="B251" t="s">
        <v>3023</v>
      </c>
      <c r="C251" t="s">
        <v>577</v>
      </c>
      <c r="D251" t="s">
        <v>1638</v>
      </c>
      <c r="E251" t="b">
        <f t="shared" si="3"/>
        <v>0</v>
      </c>
    </row>
    <row r="252" spans="1:5" x14ac:dyDescent="0.55000000000000004">
      <c r="A252" t="s">
        <v>2750</v>
      </c>
      <c r="B252" t="s">
        <v>3024</v>
      </c>
      <c r="C252" t="s">
        <v>577</v>
      </c>
      <c r="D252" t="s">
        <v>1638</v>
      </c>
      <c r="E252" t="b">
        <f t="shared" si="3"/>
        <v>0</v>
      </c>
    </row>
    <row r="253" spans="1:5" x14ac:dyDescent="0.55000000000000004">
      <c r="A253" t="s">
        <v>2751</v>
      </c>
      <c r="B253" t="s">
        <v>2985</v>
      </c>
      <c r="C253" t="s">
        <v>577</v>
      </c>
      <c r="D253" t="s">
        <v>1638</v>
      </c>
      <c r="E253" t="b">
        <f t="shared" si="3"/>
        <v>0</v>
      </c>
    </row>
    <row r="254" spans="1:5" x14ac:dyDescent="0.55000000000000004">
      <c r="A254" t="s">
        <v>2752</v>
      </c>
      <c r="B254" t="s">
        <v>3058</v>
      </c>
      <c r="C254" t="s">
        <v>577</v>
      </c>
      <c r="D254" t="s">
        <v>1638</v>
      </c>
      <c r="E254" t="b">
        <f t="shared" si="3"/>
        <v>0</v>
      </c>
    </row>
    <row r="255" spans="1:5" x14ac:dyDescent="0.55000000000000004">
      <c r="A255" t="s">
        <v>2753</v>
      </c>
      <c r="B255" t="s">
        <v>2986</v>
      </c>
      <c r="C255" t="s">
        <v>577</v>
      </c>
      <c r="D255" t="s">
        <v>1638</v>
      </c>
      <c r="E255" t="b">
        <f t="shared" si="3"/>
        <v>0</v>
      </c>
    </row>
    <row r="256" spans="1:5" x14ac:dyDescent="0.55000000000000004">
      <c r="A256" t="s">
        <v>2755</v>
      </c>
      <c r="B256" t="s">
        <v>2987</v>
      </c>
      <c r="C256" t="s">
        <v>577</v>
      </c>
      <c r="D256" t="s">
        <v>1638</v>
      </c>
      <c r="E256" t="b">
        <f t="shared" si="3"/>
        <v>0</v>
      </c>
    </row>
    <row r="257" spans="1:5" x14ac:dyDescent="0.55000000000000004">
      <c r="A257" t="s">
        <v>671</v>
      </c>
      <c r="B257" t="s">
        <v>1467</v>
      </c>
      <c r="C257" t="s">
        <v>577</v>
      </c>
      <c r="D257" t="s">
        <v>1638</v>
      </c>
      <c r="E257" t="b">
        <f t="shared" si="3"/>
        <v>0</v>
      </c>
    </row>
    <row r="258" spans="1:5" x14ac:dyDescent="0.55000000000000004">
      <c r="A258" t="s">
        <v>665</v>
      </c>
      <c r="B258" t="s">
        <v>1468</v>
      </c>
      <c r="C258" t="s">
        <v>577</v>
      </c>
      <c r="D258" t="s">
        <v>1638</v>
      </c>
      <c r="E258" t="b">
        <f t="shared" si="3"/>
        <v>0</v>
      </c>
    </row>
    <row r="259" spans="1:5" x14ac:dyDescent="0.55000000000000004">
      <c r="A259" t="s">
        <v>667</v>
      </c>
      <c r="B259" t="s">
        <v>1469</v>
      </c>
      <c r="C259" t="s">
        <v>577</v>
      </c>
      <c r="D259" t="s">
        <v>1638</v>
      </c>
      <c r="E259" t="b">
        <f t="shared" ref="E259:E324" si="4">EXACT(A259,F259)</f>
        <v>0</v>
      </c>
    </row>
    <row r="260" spans="1:5" x14ac:dyDescent="0.55000000000000004">
      <c r="A260" t="s">
        <v>669</v>
      </c>
      <c r="B260" t="s">
        <v>1470</v>
      </c>
      <c r="C260" t="s">
        <v>577</v>
      </c>
      <c r="D260" t="s">
        <v>1638</v>
      </c>
      <c r="E260" t="b">
        <f t="shared" si="4"/>
        <v>0</v>
      </c>
    </row>
    <row r="261" spans="1:5" x14ac:dyDescent="0.55000000000000004">
      <c r="A261" t="s">
        <v>1599</v>
      </c>
      <c r="B261" t="s">
        <v>1471</v>
      </c>
      <c r="C261" t="s">
        <v>577</v>
      </c>
      <c r="D261" t="s">
        <v>1638</v>
      </c>
      <c r="E261" t="b">
        <f t="shared" si="4"/>
        <v>0</v>
      </c>
    </row>
    <row r="262" spans="1:5" x14ac:dyDescent="0.55000000000000004">
      <c r="A262" t="s">
        <v>1600</v>
      </c>
      <c r="B262" t="s">
        <v>1472</v>
      </c>
      <c r="C262" t="s">
        <v>577</v>
      </c>
      <c r="D262" t="s">
        <v>1638</v>
      </c>
      <c r="E262" t="b">
        <f t="shared" si="4"/>
        <v>0</v>
      </c>
    </row>
    <row r="263" spans="1:5" x14ac:dyDescent="0.55000000000000004">
      <c r="A263" t="s">
        <v>673</v>
      </c>
      <c r="B263" t="s">
        <v>1473</v>
      </c>
      <c r="C263" t="s">
        <v>577</v>
      </c>
      <c r="D263" t="s">
        <v>1638</v>
      </c>
      <c r="E263" t="b">
        <f t="shared" si="4"/>
        <v>0</v>
      </c>
    </row>
    <row r="264" spans="1:5" x14ac:dyDescent="0.55000000000000004">
      <c r="A264" t="s">
        <v>1601</v>
      </c>
      <c r="B264" t="s">
        <v>1474</v>
      </c>
      <c r="C264" t="s">
        <v>577</v>
      </c>
      <c r="D264" t="s">
        <v>1638</v>
      </c>
      <c r="E264" t="b">
        <f t="shared" si="4"/>
        <v>0</v>
      </c>
    </row>
    <row r="265" spans="1:5" x14ac:dyDescent="0.55000000000000004">
      <c r="A265" t="s">
        <v>1602</v>
      </c>
      <c r="B265" t="s">
        <v>1475</v>
      </c>
      <c r="C265" t="s">
        <v>577</v>
      </c>
      <c r="D265" t="s">
        <v>1638</v>
      </c>
      <c r="E265" t="b">
        <f t="shared" si="4"/>
        <v>0</v>
      </c>
    </row>
    <row r="266" spans="1:5" x14ac:dyDescent="0.55000000000000004">
      <c r="A266" t="s">
        <v>1603</v>
      </c>
      <c r="B266" t="s">
        <v>1476</v>
      </c>
      <c r="C266" t="s">
        <v>577</v>
      </c>
      <c r="D266" t="s">
        <v>1638</v>
      </c>
      <c r="E266" t="b">
        <f t="shared" si="4"/>
        <v>0</v>
      </c>
    </row>
    <row r="267" spans="1:5" x14ac:dyDescent="0.55000000000000004">
      <c r="A267" t="s">
        <v>675</v>
      </c>
      <c r="B267" t="s">
        <v>3059</v>
      </c>
      <c r="C267" t="s">
        <v>577</v>
      </c>
      <c r="D267" t="s">
        <v>1638</v>
      </c>
      <c r="E267" t="b">
        <f t="shared" si="4"/>
        <v>0</v>
      </c>
    </row>
    <row r="268" spans="1:5" x14ac:dyDescent="0.55000000000000004">
      <c r="A268" t="s">
        <v>681</v>
      </c>
      <c r="B268" t="s">
        <v>1477</v>
      </c>
      <c r="C268" t="s">
        <v>1657</v>
      </c>
      <c r="D268" t="s">
        <v>1640</v>
      </c>
      <c r="E268" t="b">
        <f t="shared" si="4"/>
        <v>0</v>
      </c>
    </row>
    <row r="269" spans="1:5" x14ac:dyDescent="0.55000000000000004">
      <c r="A269" t="s">
        <v>2756</v>
      </c>
      <c r="B269" t="s">
        <v>2988</v>
      </c>
      <c r="C269" t="s">
        <v>1608</v>
      </c>
      <c r="D269" t="s">
        <v>1640</v>
      </c>
      <c r="E269" t="b">
        <f t="shared" si="4"/>
        <v>0</v>
      </c>
    </row>
    <row r="270" spans="1:5" x14ac:dyDescent="0.55000000000000004">
      <c r="A270" t="s">
        <v>3989</v>
      </c>
      <c r="B270" t="s">
        <v>4835</v>
      </c>
      <c r="C270" t="s">
        <v>1608</v>
      </c>
      <c r="D270" t="s">
        <v>1640</v>
      </c>
      <c r="E270" t="b">
        <f t="shared" si="4"/>
        <v>0</v>
      </c>
    </row>
    <row r="271" spans="1:5" x14ac:dyDescent="0.55000000000000004">
      <c r="A271" t="s">
        <v>1604</v>
      </c>
      <c r="B271" t="s">
        <v>1478</v>
      </c>
      <c r="C271" t="s">
        <v>1608</v>
      </c>
      <c r="D271" t="s">
        <v>1640</v>
      </c>
      <c r="E271" t="b">
        <f t="shared" si="4"/>
        <v>0</v>
      </c>
    </row>
    <row r="272" spans="1:5" x14ac:dyDescent="0.55000000000000004">
      <c r="A272" t="s">
        <v>1605</v>
      </c>
      <c r="B272" t="s">
        <v>1479</v>
      </c>
      <c r="C272" t="s">
        <v>1608</v>
      </c>
      <c r="D272" t="s">
        <v>1640</v>
      </c>
      <c r="E272" t="b">
        <f t="shared" si="4"/>
        <v>0</v>
      </c>
    </row>
    <row r="273" spans="1:5" x14ac:dyDescent="0.55000000000000004">
      <c r="A273" t="s">
        <v>1606</v>
      </c>
      <c r="B273" t="s">
        <v>1480</v>
      </c>
      <c r="C273" t="s">
        <v>1608</v>
      </c>
      <c r="D273" t="s">
        <v>1640</v>
      </c>
      <c r="E273" t="b">
        <f t="shared" si="4"/>
        <v>0</v>
      </c>
    </row>
    <row r="274" spans="1:5" x14ac:dyDescent="0.55000000000000004">
      <c r="A274" t="s">
        <v>1607</v>
      </c>
      <c r="B274" t="s">
        <v>1481</v>
      </c>
      <c r="C274" t="s">
        <v>1608</v>
      </c>
      <c r="D274" t="s">
        <v>1640</v>
      </c>
      <c r="E274" t="b">
        <f t="shared" si="4"/>
        <v>0</v>
      </c>
    </row>
    <row r="275" spans="1:5" x14ac:dyDescent="0.55000000000000004">
      <c r="A275" t="s">
        <v>4831</v>
      </c>
      <c r="B275" t="s">
        <v>4834</v>
      </c>
      <c r="C275" t="s">
        <v>1608</v>
      </c>
      <c r="D275" t="s">
        <v>1640</v>
      </c>
      <c r="E275" t="b">
        <f t="shared" si="4"/>
        <v>0</v>
      </c>
    </row>
    <row r="276" spans="1:5" x14ac:dyDescent="0.55000000000000004">
      <c r="A276" t="s">
        <v>2760</v>
      </c>
      <c r="B276" t="s">
        <v>2919</v>
      </c>
      <c r="C276" t="s">
        <v>1608</v>
      </c>
      <c r="D276" t="s">
        <v>1640</v>
      </c>
      <c r="E276" t="b">
        <f t="shared" si="4"/>
        <v>0</v>
      </c>
    </row>
    <row r="277" spans="1:5" x14ac:dyDescent="0.55000000000000004">
      <c r="A277" t="s">
        <v>702</v>
      </c>
      <c r="B277" t="s">
        <v>1482</v>
      </c>
      <c r="C277" t="s">
        <v>1608</v>
      </c>
      <c r="D277" t="s">
        <v>1640</v>
      </c>
      <c r="E277" t="b">
        <f t="shared" si="4"/>
        <v>0</v>
      </c>
    </row>
    <row r="278" spans="1:5" x14ac:dyDescent="0.55000000000000004">
      <c r="A278" t="s">
        <v>714</v>
      </c>
      <c r="B278" t="s">
        <v>1483</v>
      </c>
      <c r="C278" t="s">
        <v>1657</v>
      </c>
      <c r="D278" t="s">
        <v>1657</v>
      </c>
      <c r="E278" t="b">
        <f t="shared" si="4"/>
        <v>0</v>
      </c>
    </row>
    <row r="279" spans="1:5" x14ac:dyDescent="0.55000000000000004">
      <c r="A279" t="s">
        <v>718</v>
      </c>
      <c r="B279" t="s">
        <v>1484</v>
      </c>
      <c r="C279" t="s">
        <v>1657</v>
      </c>
      <c r="D279" t="s">
        <v>1650</v>
      </c>
      <c r="E279" t="b">
        <f t="shared" si="4"/>
        <v>0</v>
      </c>
    </row>
    <row r="280" spans="1:5" x14ac:dyDescent="0.55000000000000004">
      <c r="A280" t="s">
        <v>1609</v>
      </c>
      <c r="B280" t="s">
        <v>1485</v>
      </c>
      <c r="C280" t="s">
        <v>1654</v>
      </c>
      <c r="D280" t="s">
        <v>1650</v>
      </c>
      <c r="E280" t="b">
        <f t="shared" si="4"/>
        <v>0</v>
      </c>
    </row>
    <row r="281" spans="1:5" x14ac:dyDescent="0.55000000000000004">
      <c r="A281" t="s">
        <v>1610</v>
      </c>
      <c r="B281" t="s">
        <v>1486</v>
      </c>
      <c r="C281" t="s">
        <v>1654</v>
      </c>
      <c r="D281" t="s">
        <v>1650</v>
      </c>
      <c r="E281" t="b">
        <f t="shared" si="4"/>
        <v>0</v>
      </c>
    </row>
    <row r="282" spans="1:5" x14ac:dyDescent="0.55000000000000004">
      <c r="A282" t="s">
        <v>1611</v>
      </c>
      <c r="B282" t="s">
        <v>1487</v>
      </c>
      <c r="C282" t="s">
        <v>1654</v>
      </c>
      <c r="D282" t="s">
        <v>1650</v>
      </c>
      <c r="E282" t="b">
        <f t="shared" si="4"/>
        <v>0</v>
      </c>
    </row>
    <row r="283" spans="1:5" x14ac:dyDescent="0.55000000000000004">
      <c r="A283" t="s">
        <v>736</v>
      </c>
      <c r="B283" t="s">
        <v>1488</v>
      </c>
      <c r="C283" t="s">
        <v>1657</v>
      </c>
      <c r="D283" t="s">
        <v>1640</v>
      </c>
      <c r="E283" t="b">
        <f t="shared" si="4"/>
        <v>0</v>
      </c>
    </row>
    <row r="284" spans="1:5" x14ac:dyDescent="0.55000000000000004">
      <c r="A284" t="s">
        <v>1612</v>
      </c>
      <c r="B284" t="s">
        <v>1489</v>
      </c>
      <c r="C284" t="s">
        <v>1657</v>
      </c>
      <c r="D284" t="s">
        <v>1650</v>
      </c>
      <c r="E284" t="b">
        <f t="shared" si="4"/>
        <v>0</v>
      </c>
    </row>
    <row r="285" spans="1:5" x14ac:dyDescent="0.55000000000000004">
      <c r="A285" t="s">
        <v>740</v>
      </c>
      <c r="B285" t="s">
        <v>1490</v>
      </c>
      <c r="C285" t="s">
        <v>1657</v>
      </c>
      <c r="D285" t="s">
        <v>1640</v>
      </c>
      <c r="E285" t="b">
        <f t="shared" si="4"/>
        <v>0</v>
      </c>
    </row>
    <row r="286" spans="1:5" x14ac:dyDescent="0.55000000000000004">
      <c r="A286" t="s">
        <v>742</v>
      </c>
      <c r="B286" t="s">
        <v>1491</v>
      </c>
      <c r="C286" t="s">
        <v>1657</v>
      </c>
      <c r="D286" t="s">
        <v>1650</v>
      </c>
      <c r="E286" t="b">
        <f t="shared" si="4"/>
        <v>0</v>
      </c>
    </row>
    <row r="287" spans="1:5" x14ac:dyDescent="0.55000000000000004">
      <c r="A287" t="s">
        <v>2763</v>
      </c>
      <c r="B287" t="s">
        <v>2926</v>
      </c>
      <c r="C287" t="s">
        <v>1616</v>
      </c>
      <c r="D287" t="s">
        <v>1640</v>
      </c>
      <c r="E287" t="b">
        <f t="shared" si="4"/>
        <v>0</v>
      </c>
    </row>
    <row r="288" spans="1:5" x14ac:dyDescent="0.55000000000000004">
      <c r="A288" t="s">
        <v>1613</v>
      </c>
      <c r="B288" t="s">
        <v>1492</v>
      </c>
      <c r="C288" t="s">
        <v>1616</v>
      </c>
      <c r="D288" t="s">
        <v>1640</v>
      </c>
      <c r="E288" t="b">
        <f t="shared" si="4"/>
        <v>0</v>
      </c>
    </row>
    <row r="289" spans="1:5" x14ac:dyDescent="0.55000000000000004">
      <c r="A289" t="s">
        <v>1614</v>
      </c>
      <c r="B289" t="s">
        <v>1493</v>
      </c>
      <c r="C289" t="s">
        <v>1616</v>
      </c>
      <c r="D289" t="s">
        <v>1640</v>
      </c>
      <c r="E289" t="b">
        <f t="shared" si="4"/>
        <v>0</v>
      </c>
    </row>
    <row r="290" spans="1:5" x14ac:dyDescent="0.55000000000000004">
      <c r="A290" t="s">
        <v>749</v>
      </c>
      <c r="B290" t="s">
        <v>3060</v>
      </c>
      <c r="C290" t="s">
        <v>1616</v>
      </c>
      <c r="D290" t="s">
        <v>1640</v>
      </c>
      <c r="E290" t="b">
        <f t="shared" si="4"/>
        <v>0</v>
      </c>
    </row>
    <row r="291" spans="1:5" x14ac:dyDescent="0.55000000000000004">
      <c r="A291" t="s">
        <v>1615</v>
      </c>
      <c r="B291" t="s">
        <v>1494</v>
      </c>
      <c r="C291" t="s">
        <v>1616</v>
      </c>
      <c r="D291" t="s">
        <v>1640</v>
      </c>
      <c r="E291" t="b">
        <f t="shared" si="4"/>
        <v>0</v>
      </c>
    </row>
    <row r="292" spans="1:5" x14ac:dyDescent="0.55000000000000004">
      <c r="A292" t="s">
        <v>751</v>
      </c>
      <c r="B292" t="s">
        <v>1495</v>
      </c>
      <c r="C292" t="s">
        <v>1616</v>
      </c>
      <c r="D292" t="s">
        <v>1640</v>
      </c>
      <c r="E292" t="b">
        <f t="shared" si="4"/>
        <v>0</v>
      </c>
    </row>
    <row r="293" spans="1:5" x14ac:dyDescent="0.55000000000000004">
      <c r="A293" t="s">
        <v>2924</v>
      </c>
      <c r="B293" t="s">
        <v>3061</v>
      </c>
      <c r="C293" t="s">
        <v>1657</v>
      </c>
      <c r="D293" t="s">
        <v>1657</v>
      </c>
      <c r="E293" t="b">
        <f t="shared" si="4"/>
        <v>0</v>
      </c>
    </row>
    <row r="294" spans="1:5" x14ac:dyDescent="0.55000000000000004">
      <c r="A294" t="s">
        <v>2764</v>
      </c>
      <c r="B294" t="s">
        <v>2910</v>
      </c>
      <c r="C294" t="s">
        <v>1639</v>
      </c>
      <c r="D294" t="s">
        <v>1638</v>
      </c>
      <c r="E294" t="b">
        <f t="shared" si="4"/>
        <v>0</v>
      </c>
    </row>
    <row r="295" spans="1:5" x14ac:dyDescent="0.55000000000000004">
      <c r="A295" t="s">
        <v>2765</v>
      </c>
      <c r="B295" t="s">
        <v>2913</v>
      </c>
      <c r="C295" t="s">
        <v>1639</v>
      </c>
      <c r="D295" t="s">
        <v>1638</v>
      </c>
      <c r="E295" t="b">
        <f t="shared" si="4"/>
        <v>0</v>
      </c>
    </row>
    <row r="296" spans="1:5" x14ac:dyDescent="0.55000000000000004">
      <c r="A296" t="s">
        <v>2766</v>
      </c>
      <c r="B296" t="s">
        <v>2911</v>
      </c>
      <c r="C296" t="s">
        <v>1639</v>
      </c>
      <c r="D296" t="s">
        <v>1638</v>
      </c>
      <c r="E296" t="b">
        <f t="shared" si="4"/>
        <v>0</v>
      </c>
    </row>
    <row r="297" spans="1:5" x14ac:dyDescent="0.55000000000000004">
      <c r="A297" t="s">
        <v>2767</v>
      </c>
      <c r="B297" t="s">
        <v>2912</v>
      </c>
      <c r="C297" t="s">
        <v>1639</v>
      </c>
      <c r="D297" t="s">
        <v>1638</v>
      </c>
      <c r="E297" t="b">
        <f t="shared" si="4"/>
        <v>0</v>
      </c>
    </row>
    <row r="298" spans="1:5" x14ac:dyDescent="0.55000000000000004">
      <c r="A298" t="s">
        <v>787</v>
      </c>
      <c r="B298" t="s">
        <v>1496</v>
      </c>
      <c r="C298" t="s">
        <v>1657</v>
      </c>
      <c r="D298" t="s">
        <v>1640</v>
      </c>
      <c r="E298" t="b">
        <f t="shared" si="4"/>
        <v>0</v>
      </c>
    </row>
    <row r="299" spans="1:5" x14ac:dyDescent="0.55000000000000004">
      <c r="A299" t="s">
        <v>2774</v>
      </c>
      <c r="B299" t="s">
        <v>2920</v>
      </c>
      <c r="C299" t="s">
        <v>1642</v>
      </c>
      <c r="D299" t="s">
        <v>1640</v>
      </c>
      <c r="E299" t="b">
        <f t="shared" si="4"/>
        <v>0</v>
      </c>
    </row>
    <row r="300" spans="1:5" x14ac:dyDescent="0.55000000000000004">
      <c r="A300" t="s">
        <v>2773</v>
      </c>
      <c r="B300" t="s">
        <v>6132</v>
      </c>
      <c r="C300" t="s">
        <v>1642</v>
      </c>
      <c r="D300" t="s">
        <v>1640</v>
      </c>
      <c r="E300" t="b">
        <f t="shared" ref="E300" si="5">EXACT(A300,F300)</f>
        <v>0</v>
      </c>
    </row>
    <row r="301" spans="1:5" x14ac:dyDescent="0.55000000000000004">
      <c r="A301" t="s">
        <v>809</v>
      </c>
      <c r="B301" t="s">
        <v>1497</v>
      </c>
      <c r="C301" t="s">
        <v>1642</v>
      </c>
      <c r="D301" t="s">
        <v>1640</v>
      </c>
      <c r="E301" t="b">
        <f t="shared" si="4"/>
        <v>0</v>
      </c>
    </row>
    <row r="302" spans="1:5" x14ac:dyDescent="0.55000000000000004">
      <c r="A302" t="s">
        <v>811</v>
      </c>
      <c r="B302" t="s">
        <v>1498</v>
      </c>
      <c r="C302" t="s">
        <v>1642</v>
      </c>
      <c r="D302" t="s">
        <v>1640</v>
      </c>
      <c r="E302" t="b">
        <f t="shared" si="4"/>
        <v>0</v>
      </c>
    </row>
    <row r="303" spans="1:5" x14ac:dyDescent="0.55000000000000004">
      <c r="A303" t="s">
        <v>1681</v>
      </c>
      <c r="B303" t="s">
        <v>2989</v>
      </c>
      <c r="C303" t="s">
        <v>1642</v>
      </c>
      <c r="D303" t="s">
        <v>1640</v>
      </c>
      <c r="E303" t="b">
        <f t="shared" si="4"/>
        <v>0</v>
      </c>
    </row>
    <row r="304" spans="1:5" x14ac:dyDescent="0.55000000000000004">
      <c r="A304" t="s">
        <v>813</v>
      </c>
      <c r="B304" t="s">
        <v>1499</v>
      </c>
      <c r="C304" t="s">
        <v>1642</v>
      </c>
      <c r="D304" t="s">
        <v>1640</v>
      </c>
      <c r="E304" t="b">
        <f t="shared" si="4"/>
        <v>0</v>
      </c>
    </row>
    <row r="305" spans="1:5" x14ac:dyDescent="0.55000000000000004">
      <c r="A305" t="s">
        <v>1617</v>
      </c>
      <c r="B305" t="s">
        <v>1500</v>
      </c>
      <c r="C305" t="s">
        <v>1657</v>
      </c>
      <c r="D305" t="s">
        <v>1650</v>
      </c>
      <c r="E305" t="b">
        <f t="shared" si="4"/>
        <v>0</v>
      </c>
    </row>
    <row r="306" spans="1:5" x14ac:dyDescent="0.55000000000000004">
      <c r="A306" t="s">
        <v>1618</v>
      </c>
      <c r="B306" t="s">
        <v>1501</v>
      </c>
      <c r="C306" t="s">
        <v>1657</v>
      </c>
      <c r="D306" t="s">
        <v>1657</v>
      </c>
      <c r="E306" t="b">
        <f t="shared" si="4"/>
        <v>0</v>
      </c>
    </row>
    <row r="307" spans="1:5" x14ac:dyDescent="0.55000000000000004">
      <c r="A307" t="s">
        <v>821</v>
      </c>
      <c r="B307" t="s">
        <v>1502</v>
      </c>
      <c r="C307" t="s">
        <v>1642</v>
      </c>
      <c r="D307" t="s">
        <v>1640</v>
      </c>
      <c r="E307" t="b">
        <f t="shared" si="4"/>
        <v>0</v>
      </c>
    </row>
    <row r="308" spans="1:5" x14ac:dyDescent="0.55000000000000004">
      <c r="A308" t="s">
        <v>825</v>
      </c>
      <c r="B308" t="s">
        <v>1503</v>
      </c>
      <c r="C308" t="s">
        <v>1657</v>
      </c>
      <c r="D308" t="s">
        <v>1640</v>
      </c>
      <c r="E308" t="b">
        <f t="shared" si="4"/>
        <v>0</v>
      </c>
    </row>
    <row r="309" spans="1:5" x14ac:dyDescent="0.55000000000000004">
      <c r="A309" t="s">
        <v>827</v>
      </c>
      <c r="B309" t="s">
        <v>1505</v>
      </c>
      <c r="C309" t="s">
        <v>827</v>
      </c>
      <c r="D309" t="s">
        <v>1640</v>
      </c>
      <c r="E309" t="b">
        <f t="shared" si="4"/>
        <v>0</v>
      </c>
    </row>
    <row r="310" spans="1:5" x14ac:dyDescent="0.55000000000000004">
      <c r="A310" t="s">
        <v>829</v>
      </c>
      <c r="B310" t="s">
        <v>1504</v>
      </c>
      <c r="C310" t="s">
        <v>827</v>
      </c>
      <c r="D310" t="s">
        <v>1640</v>
      </c>
      <c r="E310" t="b">
        <f t="shared" si="4"/>
        <v>0</v>
      </c>
    </row>
    <row r="311" spans="1:5" x14ac:dyDescent="0.55000000000000004">
      <c r="A311" t="s">
        <v>1619</v>
      </c>
      <c r="B311" t="s">
        <v>1506</v>
      </c>
      <c r="C311" t="s">
        <v>1657</v>
      </c>
      <c r="D311" t="s">
        <v>1657</v>
      </c>
      <c r="E311" t="b">
        <f t="shared" si="4"/>
        <v>0</v>
      </c>
    </row>
    <row r="312" spans="1:5" x14ac:dyDescent="0.55000000000000004">
      <c r="A312" t="s">
        <v>923</v>
      </c>
      <c r="B312" t="s">
        <v>1507</v>
      </c>
      <c r="C312" t="s">
        <v>1645</v>
      </c>
      <c r="D312" t="s">
        <v>1640</v>
      </c>
      <c r="E312" t="b">
        <f t="shared" si="4"/>
        <v>0</v>
      </c>
    </row>
    <row r="313" spans="1:5" x14ac:dyDescent="0.55000000000000004">
      <c r="A313" t="s">
        <v>925</v>
      </c>
      <c r="B313" t="s">
        <v>1508</v>
      </c>
      <c r="C313" t="s">
        <v>1645</v>
      </c>
      <c r="D313" t="s">
        <v>1640</v>
      </c>
      <c r="E313" t="b">
        <f t="shared" si="4"/>
        <v>0</v>
      </c>
    </row>
    <row r="314" spans="1:5" x14ac:dyDescent="0.55000000000000004">
      <c r="A314" t="s">
        <v>1620</v>
      </c>
      <c r="B314" t="s">
        <v>1509</v>
      </c>
      <c r="C314" t="s">
        <v>1657</v>
      </c>
      <c r="D314" t="s">
        <v>1640</v>
      </c>
      <c r="E314" t="b">
        <f t="shared" si="4"/>
        <v>0</v>
      </c>
    </row>
    <row r="315" spans="1:5" x14ac:dyDescent="0.55000000000000004">
      <c r="A315" t="s">
        <v>2795</v>
      </c>
      <c r="B315" t="s">
        <v>6208</v>
      </c>
      <c r="D315" t="s">
        <v>1640</v>
      </c>
      <c r="E315" t="b">
        <f t="shared" si="4"/>
        <v>0</v>
      </c>
    </row>
    <row r="316" spans="1:5" x14ac:dyDescent="0.55000000000000004">
      <c r="A316" t="s">
        <v>950</v>
      </c>
      <c r="B316" t="s">
        <v>1510</v>
      </c>
      <c r="C316" t="s">
        <v>1657</v>
      </c>
      <c r="D316" t="s">
        <v>1640</v>
      </c>
      <c r="E316" t="b">
        <f t="shared" si="4"/>
        <v>0</v>
      </c>
    </row>
    <row r="317" spans="1:5" x14ac:dyDescent="0.55000000000000004">
      <c r="A317" t="s">
        <v>976</v>
      </c>
      <c r="B317" t="s">
        <v>1511</v>
      </c>
      <c r="C317" t="s">
        <v>1657</v>
      </c>
      <c r="D317" t="s">
        <v>1640</v>
      </c>
      <c r="E317" t="b">
        <f t="shared" si="4"/>
        <v>0</v>
      </c>
    </row>
    <row r="318" spans="1:5" x14ac:dyDescent="0.55000000000000004">
      <c r="A318" t="s">
        <v>1011</v>
      </c>
      <c r="B318" t="s">
        <v>1512</v>
      </c>
      <c r="C318" t="s">
        <v>1657</v>
      </c>
      <c r="D318" t="s">
        <v>1640</v>
      </c>
      <c r="E318" t="b">
        <f t="shared" si="4"/>
        <v>0</v>
      </c>
    </row>
    <row r="319" spans="1:5" x14ac:dyDescent="0.55000000000000004">
      <c r="A319" t="s">
        <v>1023</v>
      </c>
      <c r="B319" t="s">
        <v>1513</v>
      </c>
      <c r="C319" t="s">
        <v>1657</v>
      </c>
      <c r="D319" t="s">
        <v>1640</v>
      </c>
      <c r="E319" t="b">
        <f t="shared" si="4"/>
        <v>0</v>
      </c>
    </row>
    <row r="320" spans="1:5" x14ac:dyDescent="0.55000000000000004">
      <c r="A320" t="s">
        <v>1621</v>
      </c>
      <c r="B320" t="s">
        <v>1514</v>
      </c>
      <c r="C320" t="s">
        <v>1657</v>
      </c>
      <c r="D320" t="s">
        <v>1650</v>
      </c>
      <c r="E320" t="b">
        <f t="shared" si="4"/>
        <v>0</v>
      </c>
    </row>
    <row r="321" spans="1:5" x14ac:dyDescent="0.55000000000000004">
      <c r="A321" t="s">
        <v>2802</v>
      </c>
      <c r="B321" t="s">
        <v>2928</v>
      </c>
      <c r="C321" t="s">
        <v>1649</v>
      </c>
      <c r="D321" t="s">
        <v>1638</v>
      </c>
      <c r="E321" t="b">
        <f t="shared" si="4"/>
        <v>0</v>
      </c>
    </row>
    <row r="322" spans="1:5" x14ac:dyDescent="0.55000000000000004">
      <c r="A322" t="s">
        <v>1055</v>
      </c>
      <c r="B322" t="s">
        <v>1515</v>
      </c>
      <c r="C322" t="s">
        <v>1649</v>
      </c>
      <c r="D322" t="s">
        <v>1638</v>
      </c>
      <c r="E322" t="b">
        <f t="shared" si="4"/>
        <v>0</v>
      </c>
    </row>
    <row r="323" spans="1:5" x14ac:dyDescent="0.55000000000000004">
      <c r="A323" t="s">
        <v>1057</v>
      </c>
      <c r="B323" t="s">
        <v>1516</v>
      </c>
      <c r="C323" t="s">
        <v>1649</v>
      </c>
      <c r="D323" t="s">
        <v>1638</v>
      </c>
      <c r="E323" t="b">
        <f t="shared" si="4"/>
        <v>0</v>
      </c>
    </row>
    <row r="324" spans="1:5" x14ac:dyDescent="0.55000000000000004">
      <c r="A324" t="s">
        <v>1622</v>
      </c>
      <c r="B324" t="s">
        <v>1517</v>
      </c>
      <c r="C324" t="s">
        <v>1657</v>
      </c>
      <c r="D324" t="s">
        <v>1650</v>
      </c>
      <c r="E324" t="b">
        <f t="shared" si="4"/>
        <v>0</v>
      </c>
    </row>
    <row r="325" spans="1:5" x14ac:dyDescent="0.55000000000000004">
      <c r="A325" t="s">
        <v>1082</v>
      </c>
      <c r="B325" t="s">
        <v>1518</v>
      </c>
      <c r="C325" t="s">
        <v>1657</v>
      </c>
      <c r="D325" t="s">
        <v>1640</v>
      </c>
      <c r="E325" t="b">
        <f t="shared" ref="E325:E388" si="6">EXACT(A325,F325)</f>
        <v>0</v>
      </c>
    </row>
    <row r="326" spans="1:5" x14ac:dyDescent="0.55000000000000004">
      <c r="A326" t="s">
        <v>1087</v>
      </c>
      <c r="B326" t="s">
        <v>1519</v>
      </c>
      <c r="C326" t="s">
        <v>1657</v>
      </c>
      <c r="D326" t="s">
        <v>1650</v>
      </c>
      <c r="E326" t="b">
        <f t="shared" si="6"/>
        <v>0</v>
      </c>
    </row>
    <row r="327" spans="1:5" x14ac:dyDescent="0.55000000000000004">
      <c r="A327" t="s">
        <v>1104</v>
      </c>
      <c r="B327" t="s">
        <v>1520</v>
      </c>
      <c r="C327" t="s">
        <v>1657</v>
      </c>
      <c r="D327" t="s">
        <v>1640</v>
      </c>
      <c r="E327" t="b">
        <f t="shared" si="6"/>
        <v>0</v>
      </c>
    </row>
    <row r="328" spans="1:5" x14ac:dyDescent="0.55000000000000004">
      <c r="A328" t="s">
        <v>1113</v>
      </c>
      <c r="B328" t="s">
        <v>1521</v>
      </c>
      <c r="C328" t="s">
        <v>1657</v>
      </c>
      <c r="D328" t="s">
        <v>1640</v>
      </c>
      <c r="E328" t="b">
        <f t="shared" si="6"/>
        <v>0</v>
      </c>
    </row>
    <row r="329" spans="1:5" x14ac:dyDescent="0.55000000000000004">
      <c r="A329" t="s">
        <v>1122</v>
      </c>
      <c r="B329" t="s">
        <v>1522</v>
      </c>
      <c r="C329" t="s">
        <v>1123</v>
      </c>
      <c r="D329" t="s">
        <v>1638</v>
      </c>
      <c r="E329" t="b">
        <f t="shared" si="6"/>
        <v>0</v>
      </c>
    </row>
    <row r="330" spans="1:5" x14ac:dyDescent="0.55000000000000004">
      <c r="A330" t="s">
        <v>1125</v>
      </c>
      <c r="B330" t="s">
        <v>1523</v>
      </c>
      <c r="C330" t="s">
        <v>1123</v>
      </c>
      <c r="D330" t="s">
        <v>1638</v>
      </c>
      <c r="E330" t="b">
        <f t="shared" si="6"/>
        <v>0</v>
      </c>
    </row>
    <row r="331" spans="1:5" x14ac:dyDescent="0.55000000000000004">
      <c r="A331" t="s">
        <v>2803</v>
      </c>
      <c r="B331" t="s">
        <v>2990</v>
      </c>
      <c r="C331" t="s">
        <v>1123</v>
      </c>
      <c r="D331" t="s">
        <v>1638</v>
      </c>
      <c r="E331" t="b">
        <f t="shared" si="6"/>
        <v>0</v>
      </c>
    </row>
    <row r="332" spans="1:5" x14ac:dyDescent="0.55000000000000004">
      <c r="A332" t="s">
        <v>2804</v>
      </c>
      <c r="B332" t="s">
        <v>2991</v>
      </c>
      <c r="C332" t="s">
        <v>1123</v>
      </c>
      <c r="D332" t="s">
        <v>1638</v>
      </c>
      <c r="E332" t="b">
        <f t="shared" si="6"/>
        <v>0</v>
      </c>
    </row>
    <row r="333" spans="1:5" x14ac:dyDescent="0.55000000000000004">
      <c r="A333" t="s">
        <v>2805</v>
      </c>
      <c r="B333" t="s">
        <v>2992</v>
      </c>
      <c r="C333" t="s">
        <v>1123</v>
      </c>
      <c r="D333" t="s">
        <v>1638</v>
      </c>
      <c r="E333" t="b">
        <f t="shared" si="6"/>
        <v>0</v>
      </c>
    </row>
    <row r="334" spans="1:5" x14ac:dyDescent="0.55000000000000004">
      <c r="A334" t="s">
        <v>2806</v>
      </c>
      <c r="B334" t="s">
        <v>3079</v>
      </c>
      <c r="C334" t="s">
        <v>1123</v>
      </c>
      <c r="D334" t="s">
        <v>1638</v>
      </c>
      <c r="E334" t="b">
        <f t="shared" si="6"/>
        <v>0</v>
      </c>
    </row>
    <row r="335" spans="1:5" x14ac:dyDescent="0.55000000000000004">
      <c r="A335" t="s">
        <v>2807</v>
      </c>
      <c r="B335" t="s">
        <v>3080</v>
      </c>
      <c r="C335" t="s">
        <v>1123</v>
      </c>
      <c r="D335" t="s">
        <v>1638</v>
      </c>
      <c r="E335" t="b">
        <f t="shared" si="6"/>
        <v>0</v>
      </c>
    </row>
    <row r="336" spans="1:5" x14ac:dyDescent="0.55000000000000004">
      <c r="A336" t="s">
        <v>2808</v>
      </c>
      <c r="B336" t="s">
        <v>3047</v>
      </c>
      <c r="C336" t="s">
        <v>1123</v>
      </c>
      <c r="D336" t="s">
        <v>1638</v>
      </c>
      <c r="E336" t="b">
        <f t="shared" si="6"/>
        <v>0</v>
      </c>
    </row>
    <row r="337" spans="1:5" x14ac:dyDescent="0.55000000000000004">
      <c r="A337" t="s">
        <v>2809</v>
      </c>
      <c r="B337" t="s">
        <v>3048</v>
      </c>
      <c r="C337" t="s">
        <v>1123</v>
      </c>
      <c r="D337" t="s">
        <v>1638</v>
      </c>
      <c r="E337" t="b">
        <f t="shared" si="6"/>
        <v>0</v>
      </c>
    </row>
    <row r="338" spans="1:5" x14ac:dyDescent="0.55000000000000004">
      <c r="A338" t="s">
        <v>2810</v>
      </c>
      <c r="B338" t="s">
        <v>3049</v>
      </c>
      <c r="C338" t="s">
        <v>1123</v>
      </c>
      <c r="D338" t="s">
        <v>1638</v>
      </c>
      <c r="E338" t="b">
        <f t="shared" si="6"/>
        <v>0</v>
      </c>
    </row>
    <row r="339" spans="1:5" x14ac:dyDescent="0.55000000000000004">
      <c r="A339" t="s">
        <v>2811</v>
      </c>
      <c r="B339" t="s">
        <v>2993</v>
      </c>
      <c r="C339" t="s">
        <v>1123</v>
      </c>
      <c r="D339" t="s">
        <v>1638</v>
      </c>
      <c r="E339" t="b">
        <f t="shared" si="6"/>
        <v>0</v>
      </c>
    </row>
    <row r="340" spans="1:5" x14ac:dyDescent="0.55000000000000004">
      <c r="A340" t="s">
        <v>2812</v>
      </c>
      <c r="B340" t="s">
        <v>3050</v>
      </c>
      <c r="C340" t="s">
        <v>1123</v>
      </c>
      <c r="D340" t="s">
        <v>1638</v>
      </c>
      <c r="E340" t="b">
        <f t="shared" si="6"/>
        <v>0</v>
      </c>
    </row>
    <row r="341" spans="1:5" x14ac:dyDescent="0.55000000000000004">
      <c r="A341" t="s">
        <v>2813</v>
      </c>
      <c r="B341" t="s">
        <v>2930</v>
      </c>
      <c r="C341" t="s">
        <v>1123</v>
      </c>
      <c r="D341" t="s">
        <v>1638</v>
      </c>
      <c r="E341" t="b">
        <f t="shared" si="6"/>
        <v>0</v>
      </c>
    </row>
    <row r="342" spans="1:5" x14ac:dyDescent="0.55000000000000004">
      <c r="A342" t="s">
        <v>2814</v>
      </c>
      <c r="B342" t="s">
        <v>3025</v>
      </c>
      <c r="C342" t="s">
        <v>1123</v>
      </c>
      <c r="D342" t="s">
        <v>1638</v>
      </c>
      <c r="E342" t="b">
        <f t="shared" si="6"/>
        <v>0</v>
      </c>
    </row>
    <row r="343" spans="1:5" x14ac:dyDescent="0.55000000000000004">
      <c r="A343" t="s">
        <v>2815</v>
      </c>
      <c r="B343" t="s">
        <v>3051</v>
      </c>
      <c r="C343" t="s">
        <v>1123</v>
      </c>
      <c r="D343" t="s">
        <v>1638</v>
      </c>
      <c r="E343" t="b">
        <f t="shared" si="6"/>
        <v>0</v>
      </c>
    </row>
    <row r="344" spans="1:5" x14ac:dyDescent="0.55000000000000004">
      <c r="A344" t="s">
        <v>2816</v>
      </c>
      <c r="B344" t="s">
        <v>3052</v>
      </c>
      <c r="C344" t="s">
        <v>1123</v>
      </c>
      <c r="D344" t="s">
        <v>1638</v>
      </c>
      <c r="E344" t="b">
        <f t="shared" si="6"/>
        <v>0</v>
      </c>
    </row>
    <row r="345" spans="1:5" x14ac:dyDescent="0.55000000000000004">
      <c r="A345" t="s">
        <v>2817</v>
      </c>
      <c r="B345" t="s">
        <v>3053</v>
      </c>
      <c r="C345" t="s">
        <v>1123</v>
      </c>
      <c r="D345" t="s">
        <v>1638</v>
      </c>
      <c r="E345" t="b">
        <f t="shared" si="6"/>
        <v>0</v>
      </c>
    </row>
    <row r="346" spans="1:5" x14ac:dyDescent="0.55000000000000004">
      <c r="A346" t="s">
        <v>2818</v>
      </c>
      <c r="B346" t="s">
        <v>2994</v>
      </c>
      <c r="C346" t="s">
        <v>1123</v>
      </c>
      <c r="D346" t="s">
        <v>1638</v>
      </c>
      <c r="E346" t="b">
        <f t="shared" si="6"/>
        <v>0</v>
      </c>
    </row>
    <row r="347" spans="1:5" x14ac:dyDescent="0.55000000000000004">
      <c r="A347" t="s">
        <v>2819</v>
      </c>
      <c r="B347" t="s">
        <v>3054</v>
      </c>
      <c r="C347" t="s">
        <v>1123</v>
      </c>
      <c r="D347" t="s">
        <v>1638</v>
      </c>
      <c r="E347" t="b">
        <f t="shared" si="6"/>
        <v>0</v>
      </c>
    </row>
    <row r="348" spans="1:5" x14ac:dyDescent="0.55000000000000004">
      <c r="A348" t="s">
        <v>2820</v>
      </c>
      <c r="B348" t="s">
        <v>2995</v>
      </c>
      <c r="C348" t="s">
        <v>1123</v>
      </c>
      <c r="D348" t="s">
        <v>1638</v>
      </c>
      <c r="E348" t="b">
        <f t="shared" si="6"/>
        <v>0</v>
      </c>
    </row>
    <row r="349" spans="1:5" x14ac:dyDescent="0.55000000000000004">
      <c r="A349" t="s">
        <v>2821</v>
      </c>
      <c r="B349" t="s">
        <v>2996</v>
      </c>
      <c r="C349" t="s">
        <v>1123</v>
      </c>
      <c r="D349" t="s">
        <v>1638</v>
      </c>
      <c r="E349" t="b">
        <f t="shared" si="6"/>
        <v>0</v>
      </c>
    </row>
    <row r="350" spans="1:5" x14ac:dyDescent="0.55000000000000004">
      <c r="A350" t="s">
        <v>2822</v>
      </c>
      <c r="B350" t="s">
        <v>2997</v>
      </c>
      <c r="C350" t="s">
        <v>1123</v>
      </c>
      <c r="D350" t="s">
        <v>1638</v>
      </c>
      <c r="E350" t="b">
        <f t="shared" si="6"/>
        <v>0</v>
      </c>
    </row>
    <row r="351" spans="1:5" x14ac:dyDescent="0.55000000000000004">
      <c r="A351" t="s">
        <v>2823</v>
      </c>
      <c r="B351" t="s">
        <v>3055</v>
      </c>
      <c r="C351" t="s">
        <v>1123</v>
      </c>
      <c r="D351" t="s">
        <v>1638</v>
      </c>
      <c r="E351" t="b">
        <f t="shared" si="6"/>
        <v>0</v>
      </c>
    </row>
    <row r="352" spans="1:5" x14ac:dyDescent="0.55000000000000004">
      <c r="A352" t="s">
        <v>2824</v>
      </c>
      <c r="B352" t="s">
        <v>3056</v>
      </c>
      <c r="C352" t="s">
        <v>1123</v>
      </c>
      <c r="D352" t="s">
        <v>1638</v>
      </c>
      <c r="E352" t="b">
        <f t="shared" si="6"/>
        <v>0</v>
      </c>
    </row>
    <row r="353" spans="1:5" x14ac:dyDescent="0.55000000000000004">
      <c r="A353" t="s">
        <v>2825</v>
      </c>
      <c r="B353" t="s">
        <v>3081</v>
      </c>
      <c r="C353" t="s">
        <v>1123</v>
      </c>
      <c r="D353" t="s">
        <v>1638</v>
      </c>
      <c r="E353" t="b">
        <f t="shared" si="6"/>
        <v>0</v>
      </c>
    </row>
    <row r="354" spans="1:5" x14ac:dyDescent="0.55000000000000004">
      <c r="A354" t="s">
        <v>2826</v>
      </c>
      <c r="B354" t="s">
        <v>2922</v>
      </c>
      <c r="C354" t="s">
        <v>1123</v>
      </c>
      <c r="D354" t="s">
        <v>1638</v>
      </c>
      <c r="E354" t="b">
        <f t="shared" si="6"/>
        <v>0</v>
      </c>
    </row>
    <row r="355" spans="1:5" x14ac:dyDescent="0.55000000000000004">
      <c r="A355" t="s">
        <v>2827</v>
      </c>
      <c r="B355" t="s">
        <v>2998</v>
      </c>
      <c r="C355" t="s">
        <v>1123</v>
      </c>
      <c r="D355" t="s">
        <v>1638</v>
      </c>
      <c r="E355" t="b">
        <f t="shared" si="6"/>
        <v>0</v>
      </c>
    </row>
    <row r="356" spans="1:5" x14ac:dyDescent="0.55000000000000004">
      <c r="A356" t="s">
        <v>2828</v>
      </c>
      <c r="B356" t="s">
        <v>2999</v>
      </c>
      <c r="C356" t="s">
        <v>1123</v>
      </c>
      <c r="D356" t="s">
        <v>1638</v>
      </c>
      <c r="E356" t="b">
        <f t="shared" si="6"/>
        <v>0</v>
      </c>
    </row>
    <row r="357" spans="1:5" x14ac:dyDescent="0.55000000000000004">
      <c r="A357" t="s">
        <v>1185</v>
      </c>
      <c r="B357" t="s">
        <v>1524</v>
      </c>
      <c r="C357" t="s">
        <v>1657</v>
      </c>
      <c r="D357" t="s">
        <v>1650</v>
      </c>
      <c r="E357" t="b">
        <f t="shared" si="6"/>
        <v>0</v>
      </c>
    </row>
    <row r="358" spans="1:5" x14ac:dyDescent="0.55000000000000004">
      <c r="A358" t="s">
        <v>1623</v>
      </c>
      <c r="B358" t="s">
        <v>1525</v>
      </c>
      <c r="C358" t="s">
        <v>1657</v>
      </c>
      <c r="D358" t="s">
        <v>1657</v>
      </c>
      <c r="E358" t="b">
        <f t="shared" si="6"/>
        <v>0</v>
      </c>
    </row>
    <row r="359" spans="1:5" x14ac:dyDescent="0.55000000000000004">
      <c r="A359" t="s">
        <v>1624</v>
      </c>
      <c r="B359" t="s">
        <v>1526</v>
      </c>
      <c r="C359" t="s">
        <v>1657</v>
      </c>
      <c r="D359" t="s">
        <v>1650</v>
      </c>
      <c r="E359" t="b">
        <f t="shared" si="6"/>
        <v>0</v>
      </c>
    </row>
    <row r="360" spans="1:5" x14ac:dyDescent="0.55000000000000004">
      <c r="A360" t="s">
        <v>1239</v>
      </c>
      <c r="B360" t="s">
        <v>1527</v>
      </c>
      <c r="C360" t="s">
        <v>1657</v>
      </c>
      <c r="D360" t="s">
        <v>1651</v>
      </c>
      <c r="E360" t="b">
        <f t="shared" si="6"/>
        <v>0</v>
      </c>
    </row>
    <row r="361" spans="1:5" x14ac:dyDescent="0.55000000000000004">
      <c r="A361" t="s">
        <v>2830</v>
      </c>
      <c r="B361" t="s">
        <v>2907</v>
      </c>
      <c r="C361" t="s">
        <v>1625</v>
      </c>
      <c r="D361" t="s">
        <v>1651</v>
      </c>
      <c r="E361" t="b">
        <f t="shared" si="6"/>
        <v>0</v>
      </c>
    </row>
    <row r="362" spans="1:5" x14ac:dyDescent="0.55000000000000004">
      <c r="A362" t="s">
        <v>1243</v>
      </c>
      <c r="B362" t="s">
        <v>1528</v>
      </c>
      <c r="C362" t="s">
        <v>1625</v>
      </c>
      <c r="D362" t="s">
        <v>1651</v>
      </c>
      <c r="E362" t="b">
        <f t="shared" si="6"/>
        <v>0</v>
      </c>
    </row>
    <row r="363" spans="1:5" x14ac:dyDescent="0.55000000000000004">
      <c r="A363" t="s">
        <v>1626</v>
      </c>
      <c r="B363" t="s">
        <v>1529</v>
      </c>
      <c r="C363" t="s">
        <v>1657</v>
      </c>
      <c r="D363" t="s">
        <v>1650</v>
      </c>
      <c r="E363" t="b">
        <f t="shared" si="6"/>
        <v>0</v>
      </c>
    </row>
    <row r="364" spans="1:5" x14ac:dyDescent="0.55000000000000004">
      <c r="A364" t="s">
        <v>1247</v>
      </c>
      <c r="B364" t="s">
        <v>1530</v>
      </c>
      <c r="C364" t="s">
        <v>1644</v>
      </c>
      <c r="D364" t="s">
        <v>1640</v>
      </c>
      <c r="E364" t="b">
        <f t="shared" si="6"/>
        <v>0</v>
      </c>
    </row>
    <row r="365" spans="1:5" x14ac:dyDescent="0.55000000000000004">
      <c r="A365" t="s">
        <v>1245</v>
      </c>
      <c r="B365" t="s">
        <v>1531</v>
      </c>
      <c r="C365" t="s">
        <v>1644</v>
      </c>
      <c r="D365" t="s">
        <v>1640</v>
      </c>
      <c r="E365" t="b">
        <f t="shared" si="6"/>
        <v>0</v>
      </c>
    </row>
    <row r="366" spans="1:5" x14ac:dyDescent="0.55000000000000004">
      <c r="A366" t="s">
        <v>1251</v>
      </c>
      <c r="B366" t="s">
        <v>1532</v>
      </c>
      <c r="C366" t="s">
        <v>1657</v>
      </c>
      <c r="D366" t="s">
        <v>1640</v>
      </c>
      <c r="E366" t="b">
        <f t="shared" si="6"/>
        <v>0</v>
      </c>
    </row>
    <row r="367" spans="1:5" x14ac:dyDescent="0.55000000000000004">
      <c r="A367" t="s">
        <v>1265</v>
      </c>
      <c r="B367" t="s">
        <v>1533</v>
      </c>
      <c r="C367" t="s">
        <v>1657</v>
      </c>
      <c r="D367" t="s">
        <v>1640</v>
      </c>
      <c r="E367" t="b">
        <f t="shared" si="6"/>
        <v>0</v>
      </c>
    </row>
    <row r="368" spans="1:5" x14ac:dyDescent="0.55000000000000004">
      <c r="A368" t="s">
        <v>1267</v>
      </c>
      <c r="B368" t="s">
        <v>1534</v>
      </c>
      <c r="C368" t="s">
        <v>1657</v>
      </c>
      <c r="D368" t="s">
        <v>1650</v>
      </c>
      <c r="E368" t="b">
        <f t="shared" si="6"/>
        <v>0</v>
      </c>
    </row>
    <row r="369" spans="1:5" x14ac:dyDescent="0.55000000000000004">
      <c r="A369" t="s">
        <v>1627</v>
      </c>
      <c r="B369" t="s">
        <v>1535</v>
      </c>
      <c r="C369" t="s">
        <v>1657</v>
      </c>
      <c r="D369" t="s">
        <v>1650</v>
      </c>
      <c r="E369" t="b">
        <f t="shared" si="6"/>
        <v>0</v>
      </c>
    </row>
    <row r="370" spans="1:5" x14ac:dyDescent="0.55000000000000004">
      <c r="A370" t="s">
        <v>1273</v>
      </c>
      <c r="B370" t="s">
        <v>1536</v>
      </c>
      <c r="C370" t="s">
        <v>1657</v>
      </c>
      <c r="D370" t="s">
        <v>1651</v>
      </c>
      <c r="E370" t="b">
        <f t="shared" si="6"/>
        <v>0</v>
      </c>
    </row>
    <row r="371" spans="1:5" x14ac:dyDescent="0.55000000000000004">
      <c r="A371" t="s">
        <v>1628</v>
      </c>
      <c r="B371" t="s">
        <v>1537</v>
      </c>
      <c r="C371" t="s">
        <v>1657</v>
      </c>
      <c r="D371" t="s">
        <v>1657</v>
      </c>
      <c r="E371" t="b">
        <f t="shared" si="6"/>
        <v>0</v>
      </c>
    </row>
    <row r="372" spans="1:5" x14ac:dyDescent="0.55000000000000004">
      <c r="A372" t="s">
        <v>1298</v>
      </c>
      <c r="B372" t="s">
        <v>1538</v>
      </c>
      <c r="C372" t="s">
        <v>1657</v>
      </c>
      <c r="D372" t="s">
        <v>1650</v>
      </c>
      <c r="E372" t="b">
        <f t="shared" si="6"/>
        <v>0</v>
      </c>
    </row>
    <row r="373" spans="1:5" x14ac:dyDescent="0.55000000000000004">
      <c r="A373" t="s">
        <v>1303</v>
      </c>
      <c r="B373" t="s">
        <v>1539</v>
      </c>
      <c r="C373" t="s">
        <v>1657</v>
      </c>
      <c r="D373" t="s">
        <v>1640</v>
      </c>
      <c r="E373" t="b">
        <f t="shared" si="6"/>
        <v>0</v>
      </c>
    </row>
    <row r="374" spans="1:5" x14ac:dyDescent="0.55000000000000004">
      <c r="A374" t="s">
        <v>1305</v>
      </c>
      <c r="B374" t="s">
        <v>2906</v>
      </c>
      <c r="C374" t="s">
        <v>1306</v>
      </c>
      <c r="D374" t="s">
        <v>1651</v>
      </c>
      <c r="E374" t="b">
        <f t="shared" si="6"/>
        <v>0</v>
      </c>
    </row>
    <row r="375" spans="1:5" x14ac:dyDescent="0.55000000000000004">
      <c r="A375" t="s">
        <v>1308</v>
      </c>
      <c r="B375" t="s">
        <v>3000</v>
      </c>
      <c r="C375" t="s">
        <v>1306</v>
      </c>
      <c r="D375" t="s">
        <v>1651</v>
      </c>
      <c r="E375" t="b">
        <f t="shared" si="6"/>
        <v>0</v>
      </c>
    </row>
    <row r="376" spans="1:5" x14ac:dyDescent="0.55000000000000004">
      <c r="A376" t="s">
        <v>1310</v>
      </c>
      <c r="B376" t="s">
        <v>2905</v>
      </c>
      <c r="C376" t="s">
        <v>1306</v>
      </c>
      <c r="D376" t="s">
        <v>1651</v>
      </c>
      <c r="E376" t="b">
        <f t="shared" si="6"/>
        <v>0</v>
      </c>
    </row>
    <row r="377" spans="1:5" x14ac:dyDescent="0.55000000000000004">
      <c r="A377" t="s">
        <v>1312</v>
      </c>
      <c r="B377" t="s">
        <v>2904</v>
      </c>
      <c r="C377" t="s">
        <v>1306</v>
      </c>
      <c r="D377" t="s">
        <v>1651</v>
      </c>
      <c r="E377" t="b">
        <f t="shared" si="6"/>
        <v>0</v>
      </c>
    </row>
    <row r="378" spans="1:5" x14ac:dyDescent="0.55000000000000004">
      <c r="A378" t="s">
        <v>1316</v>
      </c>
      <c r="B378" t="s">
        <v>1540</v>
      </c>
      <c r="C378" t="s">
        <v>1657</v>
      </c>
      <c r="D378" t="s">
        <v>1640</v>
      </c>
      <c r="E378" t="b">
        <f t="shared" si="6"/>
        <v>0</v>
      </c>
    </row>
    <row r="379" spans="1:5" x14ac:dyDescent="0.55000000000000004">
      <c r="A379" t="s">
        <v>1629</v>
      </c>
      <c r="B379" t="s">
        <v>1541</v>
      </c>
      <c r="C379" t="s">
        <v>1643</v>
      </c>
      <c r="D379" t="s">
        <v>1650</v>
      </c>
      <c r="E379" t="b">
        <f t="shared" si="6"/>
        <v>0</v>
      </c>
    </row>
    <row r="380" spans="1:5" x14ac:dyDescent="0.55000000000000004">
      <c r="A380" t="s">
        <v>1630</v>
      </c>
      <c r="B380" t="s">
        <v>1542</v>
      </c>
      <c r="C380" t="s">
        <v>1643</v>
      </c>
      <c r="D380" t="s">
        <v>1650</v>
      </c>
      <c r="E380" t="b">
        <f t="shared" si="6"/>
        <v>0</v>
      </c>
    </row>
    <row r="381" spans="1:5" x14ac:dyDescent="0.55000000000000004">
      <c r="A381" t="s">
        <v>1320</v>
      </c>
      <c r="B381" t="s">
        <v>1543</v>
      </c>
      <c r="C381" t="s">
        <v>1657</v>
      </c>
      <c r="D381" t="s">
        <v>1640</v>
      </c>
      <c r="E381" t="b">
        <f t="shared" si="6"/>
        <v>0</v>
      </c>
    </row>
    <row r="382" spans="1:5" x14ac:dyDescent="0.55000000000000004">
      <c r="A382" t="s">
        <v>1631</v>
      </c>
      <c r="B382" t="s">
        <v>1544</v>
      </c>
      <c r="C382" t="s">
        <v>1657</v>
      </c>
      <c r="D382" t="s">
        <v>1640</v>
      </c>
      <c r="E382" t="b">
        <f t="shared" si="6"/>
        <v>0</v>
      </c>
    </row>
    <row r="383" spans="1:5" x14ac:dyDescent="0.55000000000000004">
      <c r="A383" t="s">
        <v>2833</v>
      </c>
      <c r="B383" t="s">
        <v>6210</v>
      </c>
      <c r="D383" t="s">
        <v>1640</v>
      </c>
      <c r="E383" t="b">
        <f t="shared" ref="E383" si="7">EXACT(A383,F383)</f>
        <v>0</v>
      </c>
    </row>
    <row r="384" spans="1:5" x14ac:dyDescent="0.55000000000000004">
      <c r="A384" t="s">
        <v>6062</v>
      </c>
      <c r="B384" t="s">
        <v>6063</v>
      </c>
      <c r="C384" t="s">
        <v>1657</v>
      </c>
      <c r="D384" t="s">
        <v>1657</v>
      </c>
      <c r="E384" t="b">
        <f t="shared" si="6"/>
        <v>0</v>
      </c>
    </row>
    <row r="385" spans="1:5" x14ac:dyDescent="0.55000000000000004">
      <c r="A385" t="s">
        <v>6200</v>
      </c>
      <c r="B385" t="s">
        <v>6204</v>
      </c>
      <c r="C385" t="s">
        <v>6203</v>
      </c>
      <c r="D385" t="s">
        <v>1637</v>
      </c>
      <c r="E385" t="b">
        <f t="shared" si="6"/>
        <v>0</v>
      </c>
    </row>
    <row r="386" spans="1:5" x14ac:dyDescent="0.55000000000000004">
      <c r="A386" t="s">
        <v>6201</v>
      </c>
      <c r="B386" t="s">
        <v>6205</v>
      </c>
      <c r="C386" t="s">
        <v>6203</v>
      </c>
      <c r="D386" t="s">
        <v>1637</v>
      </c>
      <c r="E386" t="b">
        <f t="shared" si="6"/>
        <v>0</v>
      </c>
    </row>
    <row r="387" spans="1:5" x14ac:dyDescent="0.55000000000000004">
      <c r="A387" t="s">
        <v>6211</v>
      </c>
      <c r="B387" t="s">
        <v>6212</v>
      </c>
      <c r="C387" t="s">
        <v>1123</v>
      </c>
      <c r="D387" t="s">
        <v>1638</v>
      </c>
      <c r="E387" t="b">
        <f t="shared" si="6"/>
        <v>0</v>
      </c>
    </row>
    <row r="388" spans="1:5" x14ac:dyDescent="0.55000000000000004">
      <c r="A388" t="s">
        <v>6213</v>
      </c>
      <c r="B388" t="s">
        <v>6214</v>
      </c>
      <c r="C388" t="s">
        <v>577</v>
      </c>
      <c r="D388" t="s">
        <v>1638</v>
      </c>
      <c r="E388" t="b">
        <f t="shared" si="6"/>
        <v>0</v>
      </c>
    </row>
  </sheetData>
  <autoFilter ref="A1:G386" xr:uid="{00000000-0001-0000-0200-000000000000}"/>
  <sortState xmlns:xlrd2="http://schemas.microsoft.com/office/spreadsheetml/2017/richdata2" ref="A2:G382">
    <sortCondition ref="A2:A382"/>
  </sortState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86C64-E201-4F84-8F02-A979677E0179}">
  <sheetPr codeName="Sheet6"/>
  <dimension ref="A1:V54"/>
  <sheetViews>
    <sheetView zoomScale="70" zoomScaleNormal="70" workbookViewId="0">
      <pane ySplit="1" topLeftCell="A2" activePane="bottomLeft" state="frozen"/>
      <selection pane="bottomLeft" activeCell="B29" sqref="B29"/>
    </sheetView>
  </sheetViews>
  <sheetFormatPr defaultRowHeight="14.4" x14ac:dyDescent="0.55000000000000004"/>
  <cols>
    <col min="2" max="2" width="48.7890625" style="2" customWidth="1"/>
    <col min="3" max="3" width="48.05078125" style="5" customWidth="1"/>
    <col min="6" max="6" width="8.83984375" style="5"/>
    <col min="7" max="7" width="12.9453125" style="2" customWidth="1"/>
    <col min="8" max="10" width="8.83984375" style="5"/>
    <col min="11" max="11" width="8.83984375" style="2"/>
    <col min="12" max="12" width="8.83984375" style="5"/>
    <col min="16" max="16" width="10.41796875" style="2" bestFit="1" customWidth="1"/>
    <col min="17" max="18" width="26.3671875" style="2" bestFit="1" customWidth="1"/>
    <col min="19" max="20" width="8.83984375" style="5"/>
    <col min="21" max="21" width="24.1015625" customWidth="1"/>
  </cols>
  <sheetData>
    <row r="1" spans="1:22" x14ac:dyDescent="0.55000000000000004">
      <c r="A1" s="1" t="s">
        <v>0</v>
      </c>
      <c r="B1" s="3" t="s">
        <v>1</v>
      </c>
      <c r="C1" s="4" t="s">
        <v>2</v>
      </c>
      <c r="D1" s="1" t="s">
        <v>3</v>
      </c>
      <c r="E1" s="1" t="s">
        <v>4</v>
      </c>
      <c r="F1" s="4" t="s">
        <v>5</v>
      </c>
      <c r="G1" s="3" t="s">
        <v>6</v>
      </c>
      <c r="H1" s="4" t="s">
        <v>7</v>
      </c>
      <c r="I1" s="4" t="s">
        <v>8</v>
      </c>
      <c r="J1" s="4" t="s">
        <v>9</v>
      </c>
      <c r="K1" s="3" t="s">
        <v>10</v>
      </c>
      <c r="L1" s="4" t="s">
        <v>11</v>
      </c>
      <c r="M1" s="1" t="s">
        <v>12</v>
      </c>
      <c r="N1" s="1" t="s">
        <v>13</v>
      </c>
      <c r="O1" s="1" t="s">
        <v>14</v>
      </c>
      <c r="P1" s="3" t="s">
        <v>1658</v>
      </c>
      <c r="Q1" s="3" t="s">
        <v>1659</v>
      </c>
      <c r="R1" s="3" t="s">
        <v>2612</v>
      </c>
      <c r="S1" s="4" t="s">
        <v>2613</v>
      </c>
      <c r="T1" s="4" t="s">
        <v>2614</v>
      </c>
      <c r="U1" s="1" t="s">
        <v>2615</v>
      </c>
    </row>
    <row r="2" spans="1:22" x14ac:dyDescent="0.55000000000000004">
      <c r="A2">
        <v>500</v>
      </c>
      <c r="B2" s="2" t="str" cm="1">
        <f t="array" ref="B2">INDEX(stations!$C$1:$C$9974,MATCH(1,(stations!$A$1:$A$9974='master Bauer'!$R2)*(stations!$E$1:$E$9974='master Bauer'!$S2)*(stations!$B$1:$B$9974='master Bauer'!$T2),0))</f>
        <v>http://www.radiofeeds.net/playlists/bauerflash.pls?station=absoluteclassicrockhigh-aac</v>
      </c>
      <c r="C2" s="5" t="s">
        <v>34</v>
      </c>
      <c r="D2" t="s">
        <v>17</v>
      </c>
      <c r="E2" t="s">
        <v>18</v>
      </c>
      <c r="G2" s="2" t="str">
        <f>_xlfn.IFNA(VLOOKUP($C2,logos!$A$2:$D$1025,4,FALSE),"")</f>
        <v>Bauer Media</v>
      </c>
      <c r="H2" s="5" t="s">
        <v>19</v>
      </c>
      <c r="I2" s="5" t="s">
        <v>20</v>
      </c>
      <c r="J2" s="5" t="s">
        <v>21</v>
      </c>
      <c r="K2" s="2" t="str" cm="1">
        <f t="array" ref="K2">INDEX(stations!$B$1:$B$9974,MATCH(1,(stations!$A$1:$A$9974='master Bauer'!$R2)*(stations!$E$1:$E$9974='master Bauer'!$S2)*(stations!$B$1:$B$9974='master Bauer'!$T2),0))</f>
        <v>128s</v>
      </c>
      <c r="L2" s="5" t="s">
        <v>23</v>
      </c>
      <c r="M2" t="s">
        <v>24</v>
      </c>
      <c r="O2" t="s">
        <v>25</v>
      </c>
      <c r="P2" s="2" t="b">
        <f>ISERROR(VLOOKUP($C2,logos!$A$2:$A$10003,1,FALSE))</f>
        <v>0</v>
      </c>
      <c r="Q2" s="2" t="str">
        <f>_xlfn.IFNA(VLOOKUP($C2,logos!$A$2:$B$10003,2,FALSE),"")</f>
        <v>Absolute Classic Rock.jpg</v>
      </c>
      <c r="R2" s="2" t="str">
        <f t="shared" ref="R2:R27" si="0">C2</f>
        <v>Absolute Classic Rock</v>
      </c>
      <c r="S2" s="5" t="s">
        <v>5359</v>
      </c>
      <c r="T2" s="5" t="s">
        <v>1663</v>
      </c>
      <c r="U2" t="str" cm="1">
        <f t="array" ref="U2">INDEX(stations!$A$1:$A$9974,MATCH(1,(stations!$A$1:$A$9974='master Bauer'!$R2)*(stations!$E$1:$E$9974='master Bauer'!$S2)*(stations!$B$1:$B$9974='master Bauer'!$T2),0))</f>
        <v>Absolute Classic Rock</v>
      </c>
      <c r="V2" t="str">
        <f t="shared" ref="V2:V27" si="1">"""C:\Program Files\VideoLAN\VLC\vlc.exe"" """&amp;B2&amp;""""</f>
        <v>"C:\Program Files\VideoLAN\VLC\vlc.exe" "http://www.radiofeeds.net/playlists/bauerflash.pls?station=absoluteclassicrockhigh-aac"</v>
      </c>
    </row>
    <row r="3" spans="1:22" x14ac:dyDescent="0.55000000000000004">
      <c r="A3">
        <v>501</v>
      </c>
      <c r="B3" s="2" t="str" cm="1">
        <f t="array" ref="B3">INDEX(stations!$C$1:$C$9974,MATCH(1,(stations!$A$1:$A$9974='master Bauer'!$R3)*(stations!$E$1:$E$9974='master Bauer'!$S3)*(stations!$B$1:$B$9974='master Bauer'!$T3),0))</f>
        <v>http://www.radiofeeds.net/playlists/bauerflash.pls?station=absoluteradiohigh-aac</v>
      </c>
      <c r="C3" s="5" t="s">
        <v>38</v>
      </c>
      <c r="D3" t="s">
        <v>17</v>
      </c>
      <c r="E3" t="s">
        <v>18</v>
      </c>
      <c r="G3" s="2" t="str">
        <f>_xlfn.IFNA(VLOOKUP($C3,logos!$A$2:$D$1025,4,FALSE),"")</f>
        <v>Bauer Media</v>
      </c>
      <c r="H3" s="5" t="s">
        <v>19</v>
      </c>
      <c r="I3" s="5" t="s">
        <v>20</v>
      </c>
      <c r="J3" s="5" t="s">
        <v>21</v>
      </c>
      <c r="K3" s="2" t="str" cm="1">
        <f t="array" ref="K3">INDEX(stations!$B$1:$B$9974,MATCH(1,(stations!$A$1:$A$9974='master Bauer'!$R3)*(stations!$E$1:$E$9974='master Bauer'!$S3)*(stations!$B$1:$B$9974='master Bauer'!$T3),0))</f>
        <v>128s</v>
      </c>
      <c r="L3" s="5" t="s">
        <v>23</v>
      </c>
      <c r="M3" t="s">
        <v>24</v>
      </c>
      <c r="O3" t="s">
        <v>25</v>
      </c>
      <c r="P3" s="2" t="b">
        <f>ISERROR(VLOOKUP($C3,logos!$A$2:$A$10003,1,FALSE))</f>
        <v>0</v>
      </c>
      <c r="Q3" s="2" t="str">
        <f>_xlfn.IFNA(VLOOKUP($C3,logos!$A$2:$B$10003,2,FALSE),"")</f>
        <v>Absolute Radio.jpg</v>
      </c>
      <c r="R3" s="2" t="str">
        <f t="shared" si="0"/>
        <v>Absolute Radio</v>
      </c>
      <c r="S3" s="5" t="s">
        <v>5359</v>
      </c>
      <c r="T3" s="5" t="s">
        <v>1663</v>
      </c>
      <c r="U3" t="str" cm="1">
        <f t="array" ref="U3">INDEX(stations!$A$1:$A$9974,MATCH(1,(stations!$A$1:$A$9974='master Bauer'!$R3)*(stations!$E$1:$E$9974='master Bauer'!$S3)*(stations!$B$1:$B$9974='master Bauer'!$T3),0))</f>
        <v>Absolute Radio</v>
      </c>
      <c r="V3" t="str">
        <f t="shared" si="1"/>
        <v>"C:\Program Files\VideoLAN\VLC\vlc.exe" "http://www.radiofeeds.net/playlists/bauerflash.pls?station=absoluteradiohigh-aac"</v>
      </c>
    </row>
    <row r="4" spans="1:22" x14ac:dyDescent="0.55000000000000004">
      <c r="A4">
        <v>502</v>
      </c>
      <c r="B4" s="2" t="str" cm="1">
        <f t="array" ref="B4">INDEX(stations!$C$1:$C$9974,MATCH(1,(stations!$A$1:$A$9974='master Bauer'!$R4)*(stations!$E$1:$E$9974='master Bauer'!$S4)*(stations!$B$1:$B$9974='master Bauer'!$T4),0))</f>
        <v>http://www.radiofeeds.net/playlists/bauerflash.pls?station=absolute00shigh-aac</v>
      </c>
      <c r="C4" s="5" t="s">
        <v>48</v>
      </c>
      <c r="D4" t="s">
        <v>17</v>
      </c>
      <c r="E4" t="s">
        <v>18</v>
      </c>
      <c r="G4" s="2" t="str">
        <f>_xlfn.IFNA(VLOOKUP($C4,logos!$A$2:$D$1025,4,FALSE),"")</f>
        <v>Bauer Media</v>
      </c>
      <c r="H4" s="5" t="s">
        <v>19</v>
      </c>
      <c r="I4" s="5" t="s">
        <v>20</v>
      </c>
      <c r="J4" s="5" t="s">
        <v>21</v>
      </c>
      <c r="K4" s="2" t="str" cm="1">
        <f t="array" ref="K4">INDEX(stations!$B$1:$B$9974,MATCH(1,(stations!$A$1:$A$9974='master Bauer'!$R4)*(stations!$E$1:$E$9974='master Bauer'!$S4)*(stations!$B$1:$B$9974='master Bauer'!$T4),0))</f>
        <v>128s</v>
      </c>
      <c r="L4" s="5" t="s">
        <v>23</v>
      </c>
      <c r="M4" t="s">
        <v>24</v>
      </c>
      <c r="O4" t="s">
        <v>25</v>
      </c>
      <c r="P4" s="2" t="b">
        <f>ISERROR(VLOOKUP($C4,logos!$A$2:$A$10003,1,FALSE))</f>
        <v>0</v>
      </c>
      <c r="Q4" s="2" t="str">
        <f>_xlfn.IFNA(VLOOKUP($C4,logos!$A$2:$B$10003,2,FALSE),"")</f>
        <v>Absolute Radio 00s.jpg</v>
      </c>
      <c r="R4" s="2" t="str">
        <f t="shared" si="0"/>
        <v>Absolute Radio 00s</v>
      </c>
      <c r="S4" s="5" t="s">
        <v>5359</v>
      </c>
      <c r="T4" s="5" t="s">
        <v>1663</v>
      </c>
      <c r="U4" t="str" cm="1">
        <f t="array" ref="U4">INDEX(stations!$A$1:$A$9974,MATCH(1,(stations!$A$1:$A$9974='master Bauer'!$R4)*(stations!$E$1:$E$9974='master Bauer'!$S4)*(stations!$B$1:$B$9974='master Bauer'!$T4),0))</f>
        <v>Absolute Radio 00s</v>
      </c>
      <c r="V4" t="str">
        <f t="shared" si="1"/>
        <v>"C:\Program Files\VideoLAN\VLC\vlc.exe" "http://www.radiofeeds.net/playlists/bauerflash.pls?station=absolute00shigh-aac"</v>
      </c>
    </row>
    <row r="5" spans="1:22" x14ac:dyDescent="0.55000000000000004">
      <c r="A5">
        <v>503</v>
      </c>
      <c r="B5" s="2" t="str" cm="1">
        <f t="array" ref="B5">INDEX(stations!$C$1:$C$9974,MATCH(1,(stations!$A$1:$A$9974='master Bauer'!$R5)*(stations!$E$1:$E$9974='master Bauer'!$S5)*(stations!$B$1:$B$9974='master Bauer'!$T5),0))</f>
        <v>http://www.radiofeeds.net/playlists/bauerflash.pls?station=absolute10shigh-aac</v>
      </c>
      <c r="C5" s="5" t="s">
        <v>50</v>
      </c>
      <c r="D5" t="s">
        <v>17</v>
      </c>
      <c r="E5" t="s">
        <v>18</v>
      </c>
      <c r="G5" s="2" t="str">
        <f>_xlfn.IFNA(VLOOKUP($C5,logos!$A$2:$D$1025,4,FALSE),"")</f>
        <v>Bauer Media</v>
      </c>
      <c r="H5" s="5" t="s">
        <v>19</v>
      </c>
      <c r="I5" s="5" t="s">
        <v>20</v>
      </c>
      <c r="J5" s="5" t="s">
        <v>21</v>
      </c>
      <c r="K5" s="2" t="str" cm="1">
        <f t="array" ref="K5">INDEX(stations!$B$1:$B$9974,MATCH(1,(stations!$A$1:$A$9974='master Bauer'!$R5)*(stations!$E$1:$E$9974='master Bauer'!$S5)*(stations!$B$1:$B$9974='master Bauer'!$T5),0))</f>
        <v>128s</v>
      </c>
      <c r="L5" s="5" t="s">
        <v>23</v>
      </c>
      <c r="M5" t="s">
        <v>24</v>
      </c>
      <c r="O5" t="s">
        <v>25</v>
      </c>
      <c r="P5" s="2" t="b">
        <f>ISERROR(VLOOKUP($C5,logos!$A$2:$A$10003,1,FALSE))</f>
        <v>0</v>
      </c>
      <c r="Q5" s="2" t="str">
        <f>_xlfn.IFNA(VLOOKUP($C5,logos!$A$2:$B$10003,2,FALSE),"")</f>
        <v>Absolute Radio 10s.jpg</v>
      </c>
      <c r="R5" s="2" t="str">
        <f t="shared" si="0"/>
        <v>Absolute Radio 10s</v>
      </c>
      <c r="S5" s="5" t="s">
        <v>5359</v>
      </c>
      <c r="T5" s="5" t="s">
        <v>1663</v>
      </c>
      <c r="U5" t="str" cm="1">
        <f t="array" ref="U5">INDEX(stations!$A$1:$A$9974,MATCH(1,(stations!$A$1:$A$9974='master Bauer'!$R5)*(stations!$E$1:$E$9974='master Bauer'!$S5)*(stations!$B$1:$B$9974='master Bauer'!$T5),0))</f>
        <v>Absolute Radio 10s</v>
      </c>
      <c r="V5" t="str">
        <f t="shared" si="1"/>
        <v>"C:\Program Files\VideoLAN\VLC\vlc.exe" "http://www.radiofeeds.net/playlists/bauerflash.pls?station=absolute10shigh-aac"</v>
      </c>
    </row>
    <row r="6" spans="1:22" x14ac:dyDescent="0.55000000000000004">
      <c r="A6">
        <v>504</v>
      </c>
      <c r="B6" s="2" t="str" cm="1">
        <f t="array" ref="B6">INDEX(stations!$C$1:$C$9974,MATCH(1,(stations!$A$1:$A$9974='master Bauer'!$R6)*(stations!$E$1:$E$9974='master Bauer'!$S6)*(stations!$B$1:$B$9974='master Bauer'!$T6),0))</f>
        <v>http://www.radiofeeds.net/playlists/bauer.pls?station=webcast3high-aac</v>
      </c>
      <c r="C6" s="5" t="s">
        <v>1545</v>
      </c>
      <c r="D6" t="s">
        <v>17</v>
      </c>
      <c r="E6" t="s">
        <v>18</v>
      </c>
      <c r="G6" s="2" t="str">
        <f>_xlfn.IFNA(VLOOKUP($C6,logos!$A$2:$D$1025,4,FALSE),"")</f>
        <v>Bauer Media</v>
      </c>
      <c r="H6" s="5" t="s">
        <v>19</v>
      </c>
      <c r="I6" s="5" t="s">
        <v>20</v>
      </c>
      <c r="J6" s="5" t="s">
        <v>21</v>
      </c>
      <c r="K6" s="2" t="str" cm="1">
        <f t="array" ref="K6">INDEX(stations!$B$1:$B$9974,MATCH(1,(stations!$A$1:$A$9974='master Bauer'!$R6)*(stations!$E$1:$E$9974='master Bauer'!$S6)*(stations!$B$1:$B$9974='master Bauer'!$T6),0))</f>
        <v>128s</v>
      </c>
      <c r="L6" s="5" t="s">
        <v>23</v>
      </c>
      <c r="M6" t="s">
        <v>24</v>
      </c>
      <c r="O6" t="s">
        <v>25</v>
      </c>
      <c r="P6" s="2" t="b">
        <f>ISERROR(VLOOKUP($C6,logos!$A$2:$A$10003,1,FALSE))</f>
        <v>0</v>
      </c>
      <c r="Q6" s="2" t="str">
        <f>_xlfn.IFNA(VLOOKUP($C6,logos!$A$2:$B$10003,2,FALSE),"")</f>
        <v>Absolute Radio 20s.jpg</v>
      </c>
      <c r="R6" s="2" t="str">
        <f t="shared" si="0"/>
        <v>Absolute Radio 20s</v>
      </c>
      <c r="S6" s="5" t="s">
        <v>5359</v>
      </c>
      <c r="T6" s="5" t="s">
        <v>1663</v>
      </c>
      <c r="U6" t="str" cm="1">
        <f t="array" ref="U6">INDEX(stations!$A$1:$A$9974,MATCH(1,(stations!$A$1:$A$9974='master Bauer'!$R6)*(stations!$E$1:$E$9974='master Bauer'!$S6)*(stations!$B$1:$B$9974='master Bauer'!$T6),0))</f>
        <v>Absolute Radio 20s</v>
      </c>
      <c r="V6" t="str">
        <f t="shared" si="1"/>
        <v>"C:\Program Files\VideoLAN\VLC\vlc.exe" "http://www.radiofeeds.net/playlists/bauer.pls?station=webcast3high-aac"</v>
      </c>
    </row>
    <row r="7" spans="1:22" x14ac:dyDescent="0.55000000000000004">
      <c r="A7">
        <v>505</v>
      </c>
      <c r="B7" s="2" t="str" cm="1">
        <f t="array" ref="B7">INDEX(stations!$C$1:$C$9974,MATCH(1,(stations!$A$1:$A$9974='master Bauer'!$R7)*(stations!$E$1:$E$9974='master Bauer'!$S7)*(stations!$B$1:$B$9974='master Bauer'!$T7),0))</f>
        <v>http://www.radiofeeds.net/playlists/bauerflash.pls?station=absolute60shigh-aac</v>
      </c>
      <c r="C7" s="5" t="s">
        <v>40</v>
      </c>
      <c r="D7" t="s">
        <v>17</v>
      </c>
      <c r="E7" t="s">
        <v>18</v>
      </c>
      <c r="G7" s="2" t="str">
        <f>_xlfn.IFNA(VLOOKUP($C7,logos!$A$2:$D$1025,4,FALSE),"")</f>
        <v>Bauer Media</v>
      </c>
      <c r="H7" s="5" t="s">
        <v>19</v>
      </c>
      <c r="I7" s="5" t="s">
        <v>20</v>
      </c>
      <c r="J7" s="5" t="s">
        <v>21</v>
      </c>
      <c r="K7" s="2" t="str" cm="1">
        <f t="array" ref="K7">INDEX(stations!$B$1:$B$9974,MATCH(1,(stations!$A$1:$A$9974='master Bauer'!$R7)*(stations!$E$1:$E$9974='master Bauer'!$S7)*(stations!$B$1:$B$9974='master Bauer'!$T7),0))</f>
        <v>128s</v>
      </c>
      <c r="L7" s="5" t="s">
        <v>23</v>
      </c>
      <c r="M7" t="s">
        <v>24</v>
      </c>
      <c r="O7" t="s">
        <v>25</v>
      </c>
      <c r="P7" s="2" t="b">
        <f>ISERROR(VLOOKUP($C7,logos!$A$2:$A$10003,1,FALSE))</f>
        <v>0</v>
      </c>
      <c r="Q7" s="2" t="str">
        <f>_xlfn.IFNA(VLOOKUP($C7,logos!$A$2:$B$10003,2,FALSE),"")</f>
        <v>Absolute Radio 60s.jpg</v>
      </c>
      <c r="R7" s="2" t="str">
        <f t="shared" si="0"/>
        <v>Absolute Radio 60s</v>
      </c>
      <c r="S7" s="5" t="s">
        <v>5359</v>
      </c>
      <c r="T7" s="5" t="s">
        <v>1663</v>
      </c>
      <c r="U7" t="str" cm="1">
        <f t="array" ref="U7">INDEX(stations!$A$1:$A$9974,MATCH(1,(stations!$A$1:$A$9974='master Bauer'!$R7)*(stations!$E$1:$E$9974='master Bauer'!$S7)*(stations!$B$1:$B$9974='master Bauer'!$T7),0))</f>
        <v>Absolute Radio 60s</v>
      </c>
      <c r="V7" t="str">
        <f t="shared" si="1"/>
        <v>"C:\Program Files\VideoLAN\VLC\vlc.exe" "http://www.radiofeeds.net/playlists/bauerflash.pls?station=absolute60shigh-aac"</v>
      </c>
    </row>
    <row r="8" spans="1:22" x14ac:dyDescent="0.55000000000000004">
      <c r="A8">
        <v>506</v>
      </c>
      <c r="B8" s="2" t="str" cm="1">
        <f t="array" ref="B8">INDEX(stations!$C$1:$C$9974,MATCH(1,(stations!$A$1:$A$9974='master Bauer'!$R8)*(stations!$E$1:$E$9974='master Bauer'!$S8)*(stations!$B$1:$B$9974='master Bauer'!$T8),0))</f>
        <v>http://www.radiofeeds.net/playlists/bauerflash.pls?station=absolute70shigh-aac</v>
      </c>
      <c r="C8" s="5" t="s">
        <v>42</v>
      </c>
      <c r="D8" t="s">
        <v>17</v>
      </c>
      <c r="E8" t="s">
        <v>18</v>
      </c>
      <c r="G8" s="2" t="str">
        <f>_xlfn.IFNA(VLOOKUP($C8,logos!$A$2:$D$1025,4,FALSE),"")</f>
        <v>Bauer Media</v>
      </c>
      <c r="H8" s="5" t="s">
        <v>19</v>
      </c>
      <c r="I8" s="5" t="s">
        <v>20</v>
      </c>
      <c r="J8" s="5" t="s">
        <v>21</v>
      </c>
      <c r="K8" s="2" t="str" cm="1">
        <f t="array" ref="K8">INDEX(stations!$B$1:$B$9974,MATCH(1,(stations!$A$1:$A$9974='master Bauer'!$R8)*(stations!$E$1:$E$9974='master Bauer'!$S8)*(stations!$B$1:$B$9974='master Bauer'!$T8),0))</f>
        <v>128s</v>
      </c>
      <c r="L8" s="5" t="s">
        <v>23</v>
      </c>
      <c r="M8" t="s">
        <v>24</v>
      </c>
      <c r="O8" t="s">
        <v>25</v>
      </c>
      <c r="P8" s="2" t="b">
        <f>ISERROR(VLOOKUP($C8,logos!$A$2:$A$10003,1,FALSE))</f>
        <v>0</v>
      </c>
      <c r="Q8" s="2" t="str">
        <f>_xlfn.IFNA(VLOOKUP($C8,logos!$A$2:$B$10003,2,FALSE),"")</f>
        <v>Absolute Radio 70s.jpg</v>
      </c>
      <c r="R8" s="2" t="str">
        <f t="shared" si="0"/>
        <v>Absolute Radio 70s</v>
      </c>
      <c r="S8" s="5" t="s">
        <v>5359</v>
      </c>
      <c r="T8" s="5" t="s">
        <v>1663</v>
      </c>
      <c r="U8" t="str" cm="1">
        <f t="array" ref="U8">INDEX(stations!$A$1:$A$9974,MATCH(1,(stations!$A$1:$A$9974='master Bauer'!$R8)*(stations!$E$1:$E$9974='master Bauer'!$S8)*(stations!$B$1:$B$9974='master Bauer'!$T8),0))</f>
        <v>Absolute Radio 70s</v>
      </c>
      <c r="V8" t="str">
        <f t="shared" si="1"/>
        <v>"C:\Program Files\VideoLAN\VLC\vlc.exe" "http://www.radiofeeds.net/playlists/bauerflash.pls?station=absolute70shigh-aac"</v>
      </c>
    </row>
    <row r="9" spans="1:22" x14ac:dyDescent="0.55000000000000004">
      <c r="A9">
        <v>507</v>
      </c>
      <c r="B9" s="2" t="str" cm="1">
        <f t="array" ref="B9">INDEX(stations!$C$1:$C$9974,MATCH(1,(stations!$A$1:$A$9974='master Bauer'!$R9)*(stations!$E$1:$E$9974='master Bauer'!$S9)*(stations!$B$1:$B$9974='master Bauer'!$T9),0))</f>
        <v>http://www.radiofeeds.net/playlists/bauerflash.pls?station=absolute80shigh-aac</v>
      </c>
      <c r="C9" s="5" t="s">
        <v>4811</v>
      </c>
      <c r="D9" t="s">
        <v>17</v>
      </c>
      <c r="E9" t="s">
        <v>18</v>
      </c>
      <c r="G9" s="2" t="str">
        <f>_xlfn.IFNA(VLOOKUP($C9,logos!$A$2:$D$1025,4,FALSE),"")</f>
        <v>Bauer Media</v>
      </c>
      <c r="H9" s="5" t="s">
        <v>19</v>
      </c>
      <c r="I9" s="5" t="s">
        <v>20</v>
      </c>
      <c r="J9" s="5" t="s">
        <v>21</v>
      </c>
      <c r="K9" s="2" t="str" cm="1">
        <f t="array" ref="K9">INDEX(stations!$B$1:$B$9974,MATCH(1,(stations!$A$1:$A$9974='master Bauer'!$R9)*(stations!$E$1:$E$9974='master Bauer'!$S9)*(stations!$B$1:$B$9974='master Bauer'!$T9),0))</f>
        <v>128s</v>
      </c>
      <c r="L9" s="5" t="s">
        <v>23</v>
      </c>
      <c r="M9" t="s">
        <v>24</v>
      </c>
      <c r="O9" t="s">
        <v>25</v>
      </c>
      <c r="P9" s="2" t="b">
        <f>ISERROR(VLOOKUP($C9,logos!$A$2:$A$10003,1,FALSE))</f>
        <v>0</v>
      </c>
      <c r="Q9" s="2" t="str">
        <f>_xlfn.IFNA(VLOOKUP($C9,logos!$A$2:$B$10003,2,FALSE),"")</f>
        <v>Absolute Radio 80s.jpg</v>
      </c>
      <c r="R9" s="2" t="str">
        <f t="shared" si="0"/>
        <v>Absolute Radio 80s</v>
      </c>
      <c r="S9" s="5" t="s">
        <v>5359</v>
      </c>
      <c r="T9" s="5" t="s">
        <v>1663</v>
      </c>
      <c r="U9" t="str" cm="1">
        <f t="array" ref="U9">INDEX(stations!$A$1:$A$9974,MATCH(1,(stations!$A$1:$A$9974='master Bauer'!$R9)*(stations!$E$1:$E$9974='master Bauer'!$S9)*(stations!$B$1:$B$9974='master Bauer'!$T9),0))</f>
        <v>Absolute Radio 80s</v>
      </c>
      <c r="V9" t="str">
        <f t="shared" si="1"/>
        <v>"C:\Program Files\VideoLAN\VLC\vlc.exe" "http://www.radiofeeds.net/playlists/bauerflash.pls?station=absolute80shigh-aac"</v>
      </c>
    </row>
    <row r="10" spans="1:22" x14ac:dyDescent="0.55000000000000004">
      <c r="A10">
        <v>508</v>
      </c>
      <c r="B10" s="2" t="str" cm="1">
        <f t="array" ref="B10">INDEX(stations!$C$1:$C$9974,MATCH(1,(stations!$A$1:$A$9974='master Bauer'!$R10)*(stations!$E$1:$E$9974='master Bauer'!$S10)*(stations!$B$1:$B$9974='master Bauer'!$T10),0))</f>
        <v>http://www.radiofeeds.net/playlists/bauerflash.pls?station=absolute90shigh-aac</v>
      </c>
      <c r="C10" s="5" t="s">
        <v>46</v>
      </c>
      <c r="D10" t="s">
        <v>17</v>
      </c>
      <c r="E10" t="s">
        <v>18</v>
      </c>
      <c r="G10" s="2" t="str">
        <f>_xlfn.IFNA(VLOOKUP($C10,logos!$A$2:$D$1025,4,FALSE),"")</f>
        <v>Bauer Media</v>
      </c>
      <c r="H10" s="5" t="s">
        <v>19</v>
      </c>
      <c r="I10" s="5" t="s">
        <v>20</v>
      </c>
      <c r="J10" s="5" t="s">
        <v>21</v>
      </c>
      <c r="K10" s="2" t="str" cm="1">
        <f t="array" ref="K10">INDEX(stations!$B$1:$B$9974,MATCH(1,(stations!$A$1:$A$9974='master Bauer'!$R10)*(stations!$E$1:$E$9974='master Bauer'!$S10)*(stations!$B$1:$B$9974='master Bauer'!$T10),0))</f>
        <v>128s</v>
      </c>
      <c r="L10" s="5" t="s">
        <v>23</v>
      </c>
      <c r="M10" t="s">
        <v>24</v>
      </c>
      <c r="O10" t="s">
        <v>25</v>
      </c>
      <c r="P10" s="2" t="b">
        <f>ISERROR(VLOOKUP($C10,logos!$A$2:$A$10003,1,FALSE))</f>
        <v>0</v>
      </c>
      <c r="Q10" s="2" t="str">
        <f>_xlfn.IFNA(VLOOKUP($C10,logos!$A$2:$B$10003,2,FALSE),"")</f>
        <v>Absolute Radio 90s.jpg</v>
      </c>
      <c r="R10" s="2" t="str">
        <f t="shared" si="0"/>
        <v>Absolute Radio 90s</v>
      </c>
      <c r="S10" s="5" t="s">
        <v>5359</v>
      </c>
      <c r="T10" s="5" t="s">
        <v>1663</v>
      </c>
      <c r="U10" t="str" cm="1">
        <f t="array" ref="U10">INDEX(stations!$A$1:$A$9974,MATCH(1,(stations!$A$1:$A$9974='master Bauer'!$R10)*(stations!$E$1:$E$9974='master Bauer'!$S10)*(stations!$B$1:$B$9974='master Bauer'!$T10),0))</f>
        <v>Absolute Radio 90s</v>
      </c>
      <c r="V10" t="str">
        <f t="shared" si="1"/>
        <v>"C:\Program Files\VideoLAN\VLC\vlc.exe" "http://www.radiofeeds.net/playlists/bauerflash.pls?station=absolute90shigh-aac"</v>
      </c>
    </row>
    <row r="11" spans="1:22" x14ac:dyDescent="0.55000000000000004">
      <c r="A11">
        <v>509</v>
      </c>
      <c r="B11" s="2" t="str" cm="1">
        <f t="array" ref="B11">INDEX(stations!$C$1:$C$9974,MATCH(1,(stations!$A$1:$A$9974='master Bauer'!$R11)*(stations!$E$1:$E$9974='master Bauer'!$S11)*(stations!$B$1:$B$9974='master Bauer'!$T11),0))</f>
        <v>http://www.radiofeeds.net/playlists/bauer.pls?station=absolutecountryhigh-aac</v>
      </c>
      <c r="C11" s="5" t="s">
        <v>52</v>
      </c>
      <c r="D11" t="s">
        <v>17</v>
      </c>
      <c r="E11" t="s">
        <v>18</v>
      </c>
      <c r="G11" s="2" t="str">
        <f>_xlfn.IFNA(VLOOKUP($C11,logos!$A$2:$D$1025,4,FALSE),"")</f>
        <v>Bauer Media</v>
      </c>
      <c r="H11" s="5" t="s">
        <v>19</v>
      </c>
      <c r="I11" s="5" t="s">
        <v>20</v>
      </c>
      <c r="J11" s="5" t="s">
        <v>21</v>
      </c>
      <c r="K11" s="2" t="str" cm="1">
        <f t="array" ref="K11">INDEX(stations!$B$1:$B$9974,MATCH(1,(stations!$A$1:$A$9974='master Bauer'!$R11)*(stations!$E$1:$E$9974='master Bauer'!$S11)*(stations!$B$1:$B$9974='master Bauer'!$T11),0))</f>
        <v>128s</v>
      </c>
      <c r="L11" s="5" t="s">
        <v>23</v>
      </c>
      <c r="M11" t="s">
        <v>24</v>
      </c>
      <c r="O11" t="s">
        <v>25</v>
      </c>
      <c r="P11" s="2" t="b">
        <f>ISERROR(VLOOKUP($C11,logos!$A$2:$A$10003,1,FALSE))</f>
        <v>0</v>
      </c>
      <c r="Q11" s="2" t="str">
        <f>_xlfn.IFNA(VLOOKUP($C11,logos!$A$2:$B$10003,2,FALSE),"")</f>
        <v>Absolute Radio Country.jpg</v>
      </c>
      <c r="R11" s="2" t="str">
        <f t="shared" si="0"/>
        <v>Absolute Radio Country</v>
      </c>
      <c r="S11" s="5" t="s">
        <v>5359</v>
      </c>
      <c r="T11" s="5" t="s">
        <v>1663</v>
      </c>
      <c r="U11" t="str" cm="1">
        <f t="array" ref="U11">INDEX(stations!$A$1:$A$9974,MATCH(1,(stations!$A$1:$A$9974='master Bauer'!$R11)*(stations!$E$1:$E$9974='master Bauer'!$S11)*(stations!$B$1:$B$9974='master Bauer'!$T11),0))</f>
        <v>Absolute Radio Country</v>
      </c>
      <c r="V11" t="str">
        <f t="shared" si="1"/>
        <v>"C:\Program Files\VideoLAN\VLC\vlc.exe" "http://www.radiofeeds.net/playlists/bauer.pls?station=absolutecountryhigh-aac"</v>
      </c>
    </row>
    <row r="12" spans="1:22" x14ac:dyDescent="0.55000000000000004">
      <c r="A12">
        <v>531</v>
      </c>
      <c r="B12" s="2" t="str" cm="1">
        <f t="array" ref="B12">INDEX(stations!$C$1:$C$9974,MATCH(1,(stations!$A$1:$A$9974='master Bauer'!$R12)*(stations!$E$1:$E$9974='master Bauer'!$S12)*(stations!$B$1:$B$9974='master Bauer'!$T12),0))</f>
        <v>http://edge-bauerall-01-gos2.sharp-stream.com/forth1.mp3</v>
      </c>
      <c r="C12" s="5" t="s">
        <v>414</v>
      </c>
      <c r="D12" t="s">
        <v>17</v>
      </c>
      <c r="E12" t="s">
        <v>18</v>
      </c>
      <c r="G12" s="2" t="str">
        <f>_xlfn.IFNA(VLOOKUP($C12,logos!$A$2:$D$1025,4,FALSE),"")</f>
        <v>Bauer Media</v>
      </c>
      <c r="H12" s="5" t="s">
        <v>19</v>
      </c>
      <c r="I12" s="5" t="s">
        <v>20</v>
      </c>
      <c r="J12" s="5" t="s">
        <v>21</v>
      </c>
      <c r="K12" s="2" t="str" cm="1">
        <f t="array" ref="K12">INDEX(stations!$B$1:$B$9974,MATCH(1,(stations!$A$1:$A$9974='master Bauer'!$R12)*(stations!$E$1:$E$9974='master Bauer'!$S12)*(stations!$B$1:$B$9974='master Bauer'!$T12),0))</f>
        <v>112s</v>
      </c>
      <c r="L12" s="5" t="s">
        <v>23</v>
      </c>
      <c r="M12" t="s">
        <v>24</v>
      </c>
      <c r="O12" t="s">
        <v>25</v>
      </c>
      <c r="P12" s="2" t="b">
        <f>ISERROR(VLOOKUP($C12,logos!$A$2:$A$10003,1,FALSE))</f>
        <v>0</v>
      </c>
      <c r="Q12" s="2" t="str">
        <f>_xlfn.IFNA(VLOOKUP($C12,logos!$A$2:$B$10003,2,FALSE),"")</f>
        <v>Forth 1.jpg</v>
      </c>
      <c r="R12" s="2" t="str">
        <f t="shared" si="0"/>
        <v>Forth 1</v>
      </c>
      <c r="S12" s="5" t="s">
        <v>23</v>
      </c>
      <c r="T12" s="5" t="s">
        <v>1692</v>
      </c>
      <c r="U12" t="str" cm="1">
        <f t="array" ref="U12">INDEX(stations!$A$1:$A$9974,MATCH(1,(stations!$A$1:$A$9974='master Bauer'!$R12)*(stations!$E$1:$E$9974='master Bauer'!$S12)*(stations!$B$1:$B$9974='master Bauer'!$T12),0))</f>
        <v>Forth 1</v>
      </c>
      <c r="V12" t="str">
        <f t="shared" si="1"/>
        <v>"C:\Program Files\VideoLAN\VLC\vlc.exe" "http://edge-bauerall-01-gos2.sharp-stream.com/forth1.mp3"</v>
      </c>
    </row>
    <row r="13" spans="1:22" x14ac:dyDescent="0.55000000000000004">
      <c r="A13">
        <v>532</v>
      </c>
      <c r="B13" s="2" t="str" cm="1">
        <f t="array" ref="B13">INDEX(stations!$C$1:$C$9974,MATCH(1,(stations!$A$1:$A$9974='master Bauer'!$R13)*(stations!$E$1:$E$9974='master Bauer'!$S13)*(stations!$B$1:$B$9974='master Bauer'!$T13),0))</f>
        <v>http://edge-bauerall-01-gos2.sharp-stream.com/forth2.mp3</v>
      </c>
      <c r="C13" s="5" t="s">
        <v>416</v>
      </c>
      <c r="D13" t="s">
        <v>17</v>
      </c>
      <c r="E13" t="s">
        <v>18</v>
      </c>
      <c r="G13" s="2" t="str">
        <f>_xlfn.IFNA(VLOOKUP($C13,logos!$A$2:$D$1025,4,FALSE),"")</f>
        <v>Bauer Media</v>
      </c>
      <c r="H13" s="5" t="s">
        <v>19</v>
      </c>
      <c r="I13" s="5" t="s">
        <v>20</v>
      </c>
      <c r="J13" s="5" t="s">
        <v>21</v>
      </c>
      <c r="K13" s="2" t="str" cm="1">
        <f t="array" ref="K13">INDEX(stations!$B$1:$B$9974,MATCH(1,(stations!$A$1:$A$9974='master Bauer'!$R13)*(stations!$E$1:$E$9974='master Bauer'!$S13)*(stations!$B$1:$B$9974='master Bauer'!$T13),0))</f>
        <v>112s</v>
      </c>
      <c r="L13" s="5" t="s">
        <v>23</v>
      </c>
      <c r="M13" t="s">
        <v>24</v>
      </c>
      <c r="O13" t="s">
        <v>25</v>
      </c>
      <c r="P13" s="2" t="b">
        <f>ISERROR(VLOOKUP($C13,logos!$A$2:$A$10003,1,FALSE))</f>
        <v>0</v>
      </c>
      <c r="Q13" s="2" t="str">
        <f>_xlfn.IFNA(VLOOKUP($C13,logos!$A$2:$B$10003,2,FALSE),"")</f>
        <v>Forth 2.jpg</v>
      </c>
      <c r="R13" s="2" t="str">
        <f t="shared" si="0"/>
        <v>Forth 2</v>
      </c>
      <c r="S13" s="5" t="s">
        <v>23</v>
      </c>
      <c r="T13" s="5" t="s">
        <v>1692</v>
      </c>
      <c r="U13" t="str" cm="1">
        <f t="array" ref="U13">INDEX(stations!$A$1:$A$9974,MATCH(1,(stations!$A$1:$A$9974='master Bauer'!$R13)*(stations!$E$1:$E$9974='master Bauer'!$S13)*(stations!$B$1:$B$9974='master Bauer'!$T13),0))</f>
        <v>Forth 2</v>
      </c>
      <c r="V13" t="str">
        <f t="shared" si="1"/>
        <v>"C:\Program Files\VideoLAN\VLC\vlc.exe" "http://edge-bauerall-01-gos2.sharp-stream.com/forth2.mp3"</v>
      </c>
    </row>
    <row r="14" spans="1:22" x14ac:dyDescent="0.55000000000000004">
      <c r="A14">
        <v>534</v>
      </c>
      <c r="B14" s="2" t="str" cm="1">
        <f t="array" ref="B14">INDEX(stations!$C$1:$C$9974,MATCH(1,(stations!$A$1:$A$9974='master Bauer'!$R14)*(stations!$E$1:$E$9974='master Bauer'!$S14)*(stations!$B$1:$B$9974='master Bauer'!$T14),0))</f>
        <v>http://www.radiofeeds.net/playlists/bauer.pls?station=net2national-aac</v>
      </c>
      <c r="C14" s="5" t="s">
        <v>2702</v>
      </c>
      <c r="D14" t="s">
        <v>17</v>
      </c>
      <c r="E14" t="s">
        <v>18</v>
      </c>
      <c r="G14" s="2" t="str">
        <f>_xlfn.IFNA(VLOOKUP($C14,logos!$A$2:$D$1025,4,FALSE),"")</f>
        <v>Bauer Media</v>
      </c>
      <c r="H14" s="5" t="s">
        <v>19</v>
      </c>
      <c r="I14" s="5" t="s">
        <v>20</v>
      </c>
      <c r="J14" s="5" t="s">
        <v>21</v>
      </c>
      <c r="K14" s="2" t="str" cm="1">
        <f t="array" ref="K14">INDEX(stations!$B$1:$B$9974,MATCH(1,(stations!$A$1:$A$9974='master Bauer'!$R14)*(stations!$E$1:$E$9974='master Bauer'!$S14)*(stations!$B$1:$B$9974='master Bauer'!$T14),0))</f>
        <v>48s</v>
      </c>
      <c r="L14" s="5" t="s">
        <v>23</v>
      </c>
      <c r="M14" t="s">
        <v>24</v>
      </c>
      <c r="O14" t="s">
        <v>25</v>
      </c>
      <c r="P14" s="2" t="b">
        <f>ISERROR(VLOOKUP($C14,logos!$A$2:$A$10003,1,FALSE))</f>
        <v>0</v>
      </c>
      <c r="Q14" s="2" t="str">
        <f>_xlfn.IFNA(VLOOKUP($C14,logos!$A$2:$B$10003,2,FALSE),"")</f>
        <v>Greatest Hits Radio (UK).jpg</v>
      </c>
      <c r="R14" s="2" t="str">
        <f t="shared" si="0"/>
        <v>Greatest Hits Radio (UK)</v>
      </c>
      <c r="S14" s="5" t="s">
        <v>5359</v>
      </c>
      <c r="T14" s="5" t="s">
        <v>1662</v>
      </c>
      <c r="U14" t="str" cm="1">
        <f t="array" ref="U14">INDEX(stations!$A$1:$A$9974,MATCH(1,(stations!$A$1:$A$9974='master Bauer'!$R14)*(stations!$E$1:$E$9974='master Bauer'!$S14)*(stations!$B$1:$B$9974='master Bauer'!$T14),0))</f>
        <v>Greatest Hits Radio (UK)</v>
      </c>
      <c r="V14" t="str">
        <f t="shared" si="1"/>
        <v>"C:\Program Files\VideoLAN\VLC\vlc.exe" "http://www.radiofeeds.net/playlists/bauer.pls?station=net2national-aac"</v>
      </c>
    </row>
    <row r="15" spans="1:22" x14ac:dyDescent="0.55000000000000004">
      <c r="A15">
        <v>543</v>
      </c>
      <c r="B15" s="2" t="str" cm="1">
        <f t="array" ref="B15">INDEX(stations!$C$1:$C$9974,MATCH(1,(stations!$A$1:$A$9974='master Bauer'!$R15)*(stations!$E$1:$E$9974='master Bauer'!$S15)*(stations!$B$1:$B$9974='master Bauer'!$T15),0))</f>
        <v>http://www.radiofeeds.net/playlists/bauer.pls?station=heat-aac</v>
      </c>
      <c r="C15" s="5" t="s">
        <v>681</v>
      </c>
      <c r="D15" t="s">
        <v>17</v>
      </c>
      <c r="E15" t="s">
        <v>18</v>
      </c>
      <c r="G15" s="2" t="str">
        <f>_xlfn.IFNA(VLOOKUP($C15,logos!$A$2:$D$1025,4,FALSE),"")</f>
        <v>Bauer Media</v>
      </c>
      <c r="H15" s="5" t="s">
        <v>19</v>
      </c>
      <c r="I15" s="5" t="s">
        <v>20</v>
      </c>
      <c r="J15" s="5" t="s">
        <v>21</v>
      </c>
      <c r="K15" s="2" t="str" cm="1">
        <f t="array" ref="K15">INDEX(stations!$B$1:$B$9974,MATCH(1,(stations!$A$1:$A$9974='master Bauer'!$R15)*(stations!$E$1:$E$9974='master Bauer'!$S15)*(stations!$B$1:$B$9974='master Bauer'!$T15),0))</f>
        <v>48s</v>
      </c>
      <c r="L15" s="5" t="s">
        <v>23</v>
      </c>
      <c r="M15" t="s">
        <v>24</v>
      </c>
      <c r="O15" t="s">
        <v>25</v>
      </c>
      <c r="P15" s="2" t="b">
        <f>ISERROR(VLOOKUP($C15,logos!$A$2:$A$10003,1,FALSE))</f>
        <v>0</v>
      </c>
      <c r="Q15" s="2" t="str">
        <f>_xlfn.IFNA(VLOOKUP($C15,logos!$A$2:$B$10003,2,FALSE),"")</f>
        <v>heat Radio.jpg</v>
      </c>
      <c r="R15" s="2" t="str">
        <f t="shared" si="0"/>
        <v>heat Radio</v>
      </c>
      <c r="S15" s="5" t="s">
        <v>5359</v>
      </c>
      <c r="T15" s="5" t="s">
        <v>1662</v>
      </c>
      <c r="U15" t="str" cm="1">
        <f t="array" ref="U15">INDEX(stations!$A$1:$A$9974,MATCH(1,(stations!$A$1:$A$9974='master Bauer'!$R15)*(stations!$E$1:$E$9974='master Bauer'!$S15)*(stations!$B$1:$B$9974='master Bauer'!$T15),0))</f>
        <v>heat Radio</v>
      </c>
      <c r="V15" t="str">
        <f t="shared" si="1"/>
        <v>"C:\Program Files\VideoLAN\VLC\vlc.exe" "http://www.radiofeeds.net/playlists/bauer.pls?station=heat-aac"</v>
      </c>
    </row>
    <row r="16" spans="1:22" x14ac:dyDescent="0.55000000000000004">
      <c r="A16">
        <v>544</v>
      </c>
      <c r="B16" s="2" t="str" cm="1">
        <f t="array" ref="B16">INDEX(stations!$C$1:$C$9974,MATCH(1,(stations!$A$1:$A$9974='master Bauer'!$R16)*(stations!$E$1:$E$9974='master Bauer'!$S16)*(stations!$B$1:$B$9974='master Bauer'!$T16),0))</f>
        <v>http://www.radiofeeds.net/playlists/bauer.pls?station=hits-aac</v>
      </c>
      <c r="C16" s="5" t="s">
        <v>2760</v>
      </c>
      <c r="D16" t="s">
        <v>17</v>
      </c>
      <c r="E16" t="s">
        <v>18</v>
      </c>
      <c r="G16" s="2" t="str">
        <f>_xlfn.IFNA(VLOOKUP($C16,logos!$A$2:$D$1025,4,FALSE),"")</f>
        <v>Bauer Media</v>
      </c>
      <c r="H16" s="5" t="s">
        <v>19</v>
      </c>
      <c r="I16" s="5" t="s">
        <v>20</v>
      </c>
      <c r="J16" s="5" t="s">
        <v>21</v>
      </c>
      <c r="K16" s="2" t="str" cm="1">
        <f t="array" ref="K16">INDEX(stations!$B$1:$B$9974,MATCH(1,(stations!$A$1:$A$9974='master Bauer'!$R16)*(stations!$E$1:$E$9974='master Bauer'!$S16)*(stations!$B$1:$B$9974='master Bauer'!$T16),0))</f>
        <v>48s</v>
      </c>
      <c r="L16" s="5" t="s">
        <v>23</v>
      </c>
      <c r="M16" t="s">
        <v>24</v>
      </c>
      <c r="O16" t="s">
        <v>25</v>
      </c>
      <c r="P16" s="2" t="b">
        <f>ISERROR(VLOOKUP($C16,logos!$A$2:$A$10003,1,FALSE))</f>
        <v>0</v>
      </c>
      <c r="Q16" s="2" t="str">
        <f>_xlfn.IFNA(VLOOKUP($C16,logos!$A$2:$B$10003,2,FALSE),"")</f>
        <v>Hits Radio (UK).jpg</v>
      </c>
      <c r="R16" s="2" t="str">
        <f t="shared" si="0"/>
        <v>Hits Radio (UK)</v>
      </c>
      <c r="S16" s="5" t="s">
        <v>5359</v>
      </c>
      <c r="T16" s="5" t="s">
        <v>1662</v>
      </c>
      <c r="U16" t="str" cm="1">
        <f t="array" ref="U16">INDEX(stations!$A$1:$A$9974,MATCH(1,(stations!$A$1:$A$9974='master Bauer'!$R16)*(stations!$E$1:$E$9974='master Bauer'!$S16)*(stations!$B$1:$B$9974='master Bauer'!$T16),0))</f>
        <v>Hits Radio (UK)</v>
      </c>
      <c r="V16" t="str">
        <f t="shared" si="1"/>
        <v>"C:\Program Files\VideoLAN\VLC\vlc.exe" "http://www.radiofeeds.net/playlists/bauer.pls?station=hits-aac"</v>
      </c>
    </row>
    <row r="17" spans="1:22" x14ac:dyDescent="0.55000000000000004">
      <c r="A17">
        <v>545</v>
      </c>
      <c r="B17" s="2" t="str" cm="1">
        <f t="array" ref="B17">INDEX(stations!$C$1:$C$9974,MATCH(1,(stations!$A$1:$A$9974='master Bauer'!$R17)*(stations!$E$1:$E$9974='master Bauer'!$S17)*(stations!$B$1:$B$9974='master Bauer'!$T17),0))</f>
        <v>http://www.radiofeeds.net/playlists/bauerflash.pls?station=hitsradiopride-aac</v>
      </c>
      <c r="C17" s="5" t="s">
        <v>702</v>
      </c>
      <c r="D17" t="s">
        <v>17</v>
      </c>
      <c r="E17" t="s">
        <v>18</v>
      </c>
      <c r="G17" s="2" t="str">
        <f>_xlfn.IFNA(VLOOKUP($C17,logos!$A$2:$D$1025,4,FALSE),"")</f>
        <v>Bauer Media</v>
      </c>
      <c r="H17" s="5" t="s">
        <v>19</v>
      </c>
      <c r="I17" s="5" t="s">
        <v>20</v>
      </c>
      <c r="J17" s="5" t="s">
        <v>21</v>
      </c>
      <c r="K17" s="2" t="str" cm="1">
        <f t="array" ref="K17">INDEX(stations!$B$1:$B$9974,MATCH(1,(stations!$A$1:$A$9974='master Bauer'!$R17)*(stations!$E$1:$E$9974='master Bauer'!$S17)*(stations!$B$1:$B$9974='master Bauer'!$T17),0))</f>
        <v>48s</v>
      </c>
      <c r="L17" s="5" t="s">
        <v>23</v>
      </c>
      <c r="M17" t="s">
        <v>24</v>
      </c>
      <c r="O17" t="s">
        <v>25</v>
      </c>
      <c r="P17" s="2" t="b">
        <f>ISERROR(VLOOKUP($C17,logos!$A$2:$A$10003,1,FALSE))</f>
        <v>0</v>
      </c>
      <c r="Q17" s="2" t="str">
        <f>_xlfn.IFNA(VLOOKUP($C17,logos!$A$2:$B$10003,2,FALSE),"")</f>
        <v>Hits Radio Pride.jpg</v>
      </c>
      <c r="R17" s="2" t="str">
        <f t="shared" si="0"/>
        <v>Hits Radio Pride</v>
      </c>
      <c r="S17" s="5" t="s">
        <v>5359</v>
      </c>
      <c r="T17" s="5" t="s">
        <v>1662</v>
      </c>
      <c r="U17" t="str" cm="1">
        <f t="array" ref="U17">INDEX(stations!$A$1:$A$9974,MATCH(1,(stations!$A$1:$A$9974='master Bauer'!$R17)*(stations!$E$1:$E$9974='master Bauer'!$S17)*(stations!$B$1:$B$9974='master Bauer'!$T17),0))</f>
        <v>Hits Radio Pride</v>
      </c>
      <c r="V17" t="str">
        <f t="shared" si="1"/>
        <v>"C:\Program Files\VideoLAN\VLC\vlc.exe" "http://www.radiofeeds.net/playlists/bauerflash.pls?station=hitsradiopride-aac"</v>
      </c>
    </row>
    <row r="18" spans="1:22" x14ac:dyDescent="0.55000000000000004">
      <c r="A18">
        <v>546</v>
      </c>
      <c r="B18" s="2" t="str" cm="1">
        <f t="array" ref="B18">INDEX(stations!$C$1:$C$9974,MATCH(1,(stations!$A$1:$A$9974='master Bauer'!$R18)*(stations!$E$1:$E$9974='master Bauer'!$S18)*(stations!$B$1:$B$9974='master Bauer'!$T18),0))</f>
        <v>http://www.radiofeeds.net/playlists/bauer.pls?station=kerrang-aac</v>
      </c>
      <c r="C18" s="5" t="s">
        <v>740</v>
      </c>
      <c r="D18" t="s">
        <v>17</v>
      </c>
      <c r="E18" t="s">
        <v>18</v>
      </c>
      <c r="G18" s="2" t="str">
        <f>_xlfn.IFNA(VLOOKUP($C18,logos!$A$2:$D$1025,4,FALSE),"")</f>
        <v>Bauer Media</v>
      </c>
      <c r="H18" s="5" t="s">
        <v>19</v>
      </c>
      <c r="I18" s="5" t="s">
        <v>20</v>
      </c>
      <c r="J18" s="5" t="s">
        <v>21</v>
      </c>
      <c r="K18" s="2" t="str" cm="1">
        <f t="array" ref="K18">INDEX(stations!$B$1:$B$9974,MATCH(1,(stations!$A$1:$A$9974='master Bauer'!$R18)*(stations!$E$1:$E$9974='master Bauer'!$S18)*(stations!$B$1:$B$9974='master Bauer'!$T18),0))</f>
        <v>48s</v>
      </c>
      <c r="L18" s="5" t="s">
        <v>23</v>
      </c>
      <c r="M18" t="s">
        <v>24</v>
      </c>
      <c r="O18" t="s">
        <v>25</v>
      </c>
      <c r="P18" s="2" t="b">
        <f>ISERROR(VLOOKUP($C18,logos!$A$2:$A$10003,1,FALSE))</f>
        <v>0</v>
      </c>
      <c r="Q18" s="2" t="str">
        <f>_xlfn.IFNA(VLOOKUP($C18,logos!$A$2:$B$10003,2,FALSE),"")</f>
        <v>Kerrang! Radio.jpg</v>
      </c>
      <c r="R18" s="2" t="str">
        <f t="shared" si="0"/>
        <v>Kerrang! Radio</v>
      </c>
      <c r="S18" s="5" t="s">
        <v>5359</v>
      </c>
      <c r="T18" s="5" t="s">
        <v>1662</v>
      </c>
      <c r="U18" t="str" cm="1">
        <f t="array" ref="U18">INDEX(stations!$A$1:$A$9974,MATCH(1,(stations!$A$1:$A$9974='master Bauer'!$R18)*(stations!$E$1:$E$9974='master Bauer'!$S18)*(stations!$B$1:$B$9974='master Bauer'!$T18),0))</f>
        <v>Kerrang! Radio</v>
      </c>
      <c r="V18" t="str">
        <f t="shared" si="1"/>
        <v>"C:\Program Files\VideoLAN\VLC\vlc.exe" "http://www.radiofeeds.net/playlists/bauer.pls?station=kerrang-aac"</v>
      </c>
    </row>
    <row r="19" spans="1:22" x14ac:dyDescent="0.55000000000000004">
      <c r="A19">
        <v>547</v>
      </c>
      <c r="B19" s="2" t="str" cm="1">
        <f t="array" ref="B19">INDEX(stations!$C$1:$C$9974,MATCH(1,(stations!$A$1:$A$9974='master Bauer'!$R19)*(stations!$E$1:$E$9974='master Bauer'!$S19)*(stations!$B$1:$B$9974='master Bauer'!$T19),0))</f>
        <v>http://www.radiofeeds.net/playlists/bauer.pls?station=kissnational-aac</v>
      </c>
      <c r="C19" s="5" t="s">
        <v>2763</v>
      </c>
      <c r="D19" t="s">
        <v>17</v>
      </c>
      <c r="E19" t="s">
        <v>18</v>
      </c>
      <c r="G19" s="2" t="str">
        <f>_xlfn.IFNA(VLOOKUP($C19,logos!$A$2:$D$1025,4,FALSE),"")</f>
        <v>Bauer Media</v>
      </c>
      <c r="H19" s="5" t="s">
        <v>19</v>
      </c>
      <c r="I19" s="5" t="s">
        <v>20</v>
      </c>
      <c r="J19" s="5" t="s">
        <v>21</v>
      </c>
      <c r="K19" s="2" t="str" cm="1">
        <f t="array" ref="K19">INDEX(stations!$B$1:$B$9974,MATCH(1,(stations!$A$1:$A$9974='master Bauer'!$R19)*(stations!$E$1:$E$9974='master Bauer'!$S19)*(stations!$B$1:$B$9974='master Bauer'!$T19),0))</f>
        <v>48s</v>
      </c>
      <c r="L19" s="5" t="s">
        <v>23</v>
      </c>
      <c r="M19" t="s">
        <v>24</v>
      </c>
      <c r="O19" t="s">
        <v>25</v>
      </c>
      <c r="P19" s="2" t="b">
        <f>ISERROR(VLOOKUP($C19,logos!$A$2:$A$10003,1,FALSE))</f>
        <v>0</v>
      </c>
      <c r="Q19" s="2" t="str">
        <f>_xlfn.IFNA(VLOOKUP($C19,logos!$A$2:$B$10003,2,FALSE),"")</f>
        <v>KISS (UK).jpg</v>
      </c>
      <c r="R19" s="2" t="str">
        <f t="shared" si="0"/>
        <v>KISS (UK)</v>
      </c>
      <c r="S19" s="5" t="s">
        <v>5359</v>
      </c>
      <c r="T19" s="5" t="s">
        <v>1662</v>
      </c>
      <c r="U19" t="str" cm="1">
        <f t="array" ref="U19">INDEX(stations!$A$1:$A$9974,MATCH(1,(stations!$A$1:$A$9974='master Bauer'!$R19)*(stations!$E$1:$E$9974='master Bauer'!$S19)*(stations!$B$1:$B$9974='master Bauer'!$T19),0))</f>
        <v>KISS (UK)</v>
      </c>
      <c r="V19" t="str">
        <f t="shared" si="1"/>
        <v>"C:\Program Files\VideoLAN\VLC\vlc.exe" "http://www.radiofeeds.net/playlists/bauer.pls?station=kissnational-aac"</v>
      </c>
    </row>
    <row r="20" spans="1:22" x14ac:dyDescent="0.55000000000000004">
      <c r="A20">
        <v>548</v>
      </c>
      <c r="B20" s="2" t="str" cm="1">
        <f t="array" ref="B20">INDEX(stations!$C$1:$C$9974,MATCH(1,(stations!$A$1:$A$9974='master Bauer'!$R20)*(stations!$E$1:$E$9974='master Bauer'!$S20)*(stations!$B$1:$B$9974='master Bauer'!$T20),0))</f>
        <v>http://www.radiofeeds.net/playlists/bauer.pls?station=kissfresh-aac</v>
      </c>
      <c r="C20" s="5" t="s">
        <v>749</v>
      </c>
      <c r="D20" t="s">
        <v>17</v>
      </c>
      <c r="E20" t="s">
        <v>18</v>
      </c>
      <c r="G20" s="2" t="str">
        <f>_xlfn.IFNA(VLOOKUP($C20,logos!$A$2:$D$1025,4,FALSE),"")</f>
        <v>Bauer Media</v>
      </c>
      <c r="H20" s="5" t="s">
        <v>19</v>
      </c>
      <c r="I20" s="5" t="s">
        <v>20</v>
      </c>
      <c r="J20" s="5" t="s">
        <v>21</v>
      </c>
      <c r="K20" s="2" t="str" cm="1">
        <f t="array" ref="K20">INDEX(stations!$B$1:$B$9974,MATCH(1,(stations!$A$1:$A$9974='master Bauer'!$R20)*(stations!$E$1:$E$9974='master Bauer'!$S20)*(stations!$B$1:$B$9974='master Bauer'!$T20),0))</f>
        <v>48s</v>
      </c>
      <c r="L20" s="5" t="s">
        <v>23</v>
      </c>
      <c r="M20" t="s">
        <v>24</v>
      </c>
      <c r="O20" t="s">
        <v>25</v>
      </c>
      <c r="P20" s="2" t="b">
        <f>ISERROR(VLOOKUP($C20,logos!$A$2:$A$10003,1,FALSE))</f>
        <v>0</v>
      </c>
      <c r="Q20" s="2" t="str">
        <f>_xlfn.IFNA(VLOOKUP($C20,logos!$A$2:$B$10003,2,FALSE),"")</f>
        <v>KISS FRESH.png</v>
      </c>
      <c r="R20" s="2" t="str">
        <f t="shared" si="0"/>
        <v>KISS FRESH</v>
      </c>
      <c r="S20" s="5" t="s">
        <v>5359</v>
      </c>
      <c r="T20" s="5" t="s">
        <v>1662</v>
      </c>
      <c r="U20" t="str" cm="1">
        <f t="array" ref="U20">INDEX(stations!$A$1:$A$9974,MATCH(1,(stations!$A$1:$A$9974='master Bauer'!$R20)*(stations!$E$1:$E$9974='master Bauer'!$S20)*(stations!$B$1:$B$9974='master Bauer'!$T20),0))</f>
        <v>KISS FRESH</v>
      </c>
      <c r="V20" t="str">
        <f t="shared" si="1"/>
        <v>"C:\Program Files\VideoLAN\VLC\vlc.exe" "http://www.radiofeeds.net/playlists/bauer.pls?station=kissfresh-aac"</v>
      </c>
    </row>
    <row r="21" spans="1:22" x14ac:dyDescent="0.55000000000000004">
      <c r="A21">
        <v>549</v>
      </c>
      <c r="B21" s="2" t="str" cm="1">
        <f t="array" ref="B21">INDEX(stations!$C$1:$C$9974,MATCH(1,(stations!$A$1:$A$9974='master Bauer'!$R21)*(stations!$E$1:$E$9974='master Bauer'!$S21)*(stations!$B$1:$B$9974='master Bauer'!$T21),0))</f>
        <v>http://www.radiofeeds.net/playlists/bauer.pls?station=kisstory-aac</v>
      </c>
      <c r="C21" s="5" t="s">
        <v>751</v>
      </c>
      <c r="D21" t="s">
        <v>17</v>
      </c>
      <c r="E21" t="s">
        <v>18</v>
      </c>
      <c r="G21" s="2" t="str">
        <f>_xlfn.IFNA(VLOOKUP($C21,logos!$A$2:$D$1025,4,FALSE),"")</f>
        <v>Bauer Media</v>
      </c>
      <c r="H21" s="5" t="s">
        <v>19</v>
      </c>
      <c r="I21" s="5" t="s">
        <v>20</v>
      </c>
      <c r="J21" s="5" t="s">
        <v>21</v>
      </c>
      <c r="K21" s="2" t="str" cm="1">
        <f t="array" ref="K21">INDEX(stations!$B$1:$B$9974,MATCH(1,(stations!$A$1:$A$9974='master Bauer'!$R21)*(stations!$E$1:$E$9974='master Bauer'!$S21)*(stations!$B$1:$B$9974='master Bauer'!$T21),0))</f>
        <v>48s</v>
      </c>
      <c r="L21" s="5" t="s">
        <v>23</v>
      </c>
      <c r="M21" t="s">
        <v>24</v>
      </c>
      <c r="O21" t="s">
        <v>25</v>
      </c>
      <c r="P21" s="2" t="b">
        <f>ISERROR(VLOOKUP($C21,logos!$A$2:$A$10003,1,FALSE))</f>
        <v>0</v>
      </c>
      <c r="Q21" s="2" t="str">
        <f>_xlfn.IFNA(VLOOKUP($C21,logos!$A$2:$B$10003,2,FALSE),"")</f>
        <v>KISSTORY.jpg</v>
      </c>
      <c r="R21" s="2" t="str">
        <f t="shared" si="0"/>
        <v>KISSTORY</v>
      </c>
      <c r="S21" s="5" t="s">
        <v>5359</v>
      </c>
      <c r="T21" s="5" t="s">
        <v>1662</v>
      </c>
      <c r="U21" t="str" cm="1">
        <f t="array" ref="U21">INDEX(stations!$A$1:$A$9974,MATCH(1,(stations!$A$1:$A$9974='master Bauer'!$R21)*(stations!$E$1:$E$9974='master Bauer'!$S21)*(stations!$B$1:$B$9974='master Bauer'!$T21),0))</f>
        <v>KISSTORY</v>
      </c>
      <c r="V21" t="str">
        <f t="shared" si="1"/>
        <v>"C:\Program Files\VideoLAN\VLC\vlc.exe" "http://www.radiofeeds.net/playlists/bauer.pls?station=kisstory-aac"</v>
      </c>
    </row>
    <row r="22" spans="1:22" x14ac:dyDescent="0.55000000000000004">
      <c r="A22">
        <v>553</v>
      </c>
      <c r="B22" s="2" t="str" cm="1">
        <f t="array" ref="B22">INDEX(stations!$C$1:$C$9974,MATCH(1,(stations!$A$1:$A$9974='master Bauer'!$R22)*(stations!$E$1:$E$9974='master Bauer'!$S22)*(stations!$B$1:$B$9974='master Bauer'!$T22),0))</f>
        <v>http://www.radiofeeds.net/playlists/bauer.pls?station=magicnational-aac</v>
      </c>
      <c r="C22" s="5" t="s">
        <v>2774</v>
      </c>
      <c r="D22" t="s">
        <v>17</v>
      </c>
      <c r="E22" t="s">
        <v>18</v>
      </c>
      <c r="G22" s="2" t="str">
        <f>_xlfn.IFNA(VLOOKUP($C22,logos!$A$2:$D$1025,4,FALSE),"")</f>
        <v>Bauer Media</v>
      </c>
      <c r="H22" s="5" t="s">
        <v>19</v>
      </c>
      <c r="I22" s="5" t="s">
        <v>20</v>
      </c>
      <c r="J22" s="5" t="s">
        <v>21</v>
      </c>
      <c r="K22" s="2" t="str" cm="1">
        <f t="array" ref="K22">INDEX(stations!$B$1:$B$9974,MATCH(1,(stations!$A$1:$A$9974='master Bauer'!$R22)*(stations!$E$1:$E$9974='master Bauer'!$S22)*(stations!$B$1:$B$9974='master Bauer'!$T22),0))</f>
        <v>48s</v>
      </c>
      <c r="L22" s="5" t="s">
        <v>23</v>
      </c>
      <c r="M22" t="s">
        <v>24</v>
      </c>
      <c r="O22" t="s">
        <v>25</v>
      </c>
      <c r="P22" s="2" t="b">
        <f>ISERROR(VLOOKUP($C22,logos!$A$2:$A$10003,1,FALSE))</f>
        <v>0</v>
      </c>
      <c r="Q22" s="2" t="str">
        <f>_xlfn.IFNA(VLOOKUP($C22,logos!$A$2:$B$10003,2,FALSE),"")</f>
        <v>Magic (UK).jpg</v>
      </c>
      <c r="R22" s="2" t="str">
        <f t="shared" si="0"/>
        <v>Magic (UK)</v>
      </c>
      <c r="S22" s="5" t="s">
        <v>5359</v>
      </c>
      <c r="T22" s="5" t="s">
        <v>1662</v>
      </c>
      <c r="U22" t="str" cm="1">
        <f t="array" ref="U22">INDEX(stations!$A$1:$A$9974,MATCH(1,(stations!$A$1:$A$9974='master Bauer'!$R22)*(stations!$E$1:$E$9974='master Bauer'!$S22)*(stations!$B$1:$B$9974='master Bauer'!$T22),0))</f>
        <v>Magic (UK)</v>
      </c>
      <c r="V22" t="str">
        <f t="shared" si="1"/>
        <v>"C:\Program Files\VideoLAN\VLC\vlc.exe" "http://www.radiofeeds.net/playlists/bauer.pls?station=magicnational-aac"</v>
      </c>
    </row>
    <row r="23" spans="1:22" x14ac:dyDescent="0.55000000000000004">
      <c r="A23">
        <v>554</v>
      </c>
      <c r="B23" s="2" t="str" cm="1">
        <f t="array" ref="B23">INDEX(stations!$C$1:$C$9974,MATCH(1,(stations!$A$1:$A$9974='master Bauer'!$R23)*(stations!$E$1:$E$9974='master Bauer'!$S23)*(stations!$B$1:$B$9974='master Bauer'!$T23),0))</f>
        <v>http://www.radiofeeds.net/playlists/bauer.pls?station=magicmusicals-aac</v>
      </c>
      <c r="C23" s="5" t="s">
        <v>809</v>
      </c>
      <c r="D23" t="s">
        <v>17</v>
      </c>
      <c r="E23" t="s">
        <v>18</v>
      </c>
      <c r="G23" s="2" t="str">
        <f>_xlfn.IFNA(VLOOKUP($C23,logos!$A$2:$D$1025,4,FALSE),"")</f>
        <v>Bauer Media</v>
      </c>
      <c r="H23" s="5" t="s">
        <v>19</v>
      </c>
      <c r="I23" s="5" t="s">
        <v>20</v>
      </c>
      <c r="J23" s="5" t="s">
        <v>21</v>
      </c>
      <c r="K23" s="2" t="str" cm="1">
        <f t="array" ref="K23">INDEX(stations!$B$1:$B$9974,MATCH(1,(stations!$A$1:$A$9974='master Bauer'!$R23)*(stations!$E$1:$E$9974='master Bauer'!$S23)*(stations!$B$1:$B$9974='master Bauer'!$T23),0))</f>
        <v>48s</v>
      </c>
      <c r="L23" s="5" t="s">
        <v>23</v>
      </c>
      <c r="M23" t="s">
        <v>24</v>
      </c>
      <c r="O23" t="s">
        <v>25</v>
      </c>
      <c r="P23" s="2" t="b">
        <f>ISERROR(VLOOKUP($C23,logos!$A$2:$A$10003,1,FALSE))</f>
        <v>0</v>
      </c>
      <c r="Q23" s="2" t="str">
        <f>_xlfn.IFNA(VLOOKUP($C23,logos!$A$2:$B$10003,2,FALSE),"")</f>
        <v>Magic at the Musicals.jpg</v>
      </c>
      <c r="R23" s="2" t="str">
        <f t="shared" si="0"/>
        <v>Magic at the Musicals</v>
      </c>
      <c r="S23" s="5" t="s">
        <v>5359</v>
      </c>
      <c r="T23" s="5" t="s">
        <v>1662</v>
      </c>
      <c r="U23" t="str" cm="1">
        <f t="array" ref="U23">INDEX(stations!$A$1:$A$9974,MATCH(1,(stations!$A$1:$A$9974='master Bauer'!$R23)*(stations!$E$1:$E$9974='master Bauer'!$S23)*(stations!$B$1:$B$9974='master Bauer'!$T23),0))</f>
        <v>Magic at the Musicals</v>
      </c>
      <c r="V23" t="str">
        <f t="shared" si="1"/>
        <v>"C:\Program Files\VideoLAN\VLC\vlc.exe" "http://www.radiofeeds.net/playlists/bauer.pls?station=magicmusicals-aac"</v>
      </c>
    </row>
    <row r="24" spans="1:22" x14ac:dyDescent="0.55000000000000004">
      <c r="A24">
        <v>555</v>
      </c>
      <c r="B24" s="2" t="str" cm="1">
        <f t="array" ref="B24">INDEX(stations!$C$1:$C$9974,MATCH(1,(stations!$A$1:$A$9974='master Bauer'!$R24)*(stations!$E$1:$E$9974='master Bauer'!$S24)*(stations!$B$1:$B$9974='master Bauer'!$T24),0))</f>
        <v>http://www.radiofeeds.net/playlists/bauer.pls?station=magicchilled-aac</v>
      </c>
      <c r="C24" s="5" t="s">
        <v>811</v>
      </c>
      <c r="D24" t="s">
        <v>17</v>
      </c>
      <c r="E24" t="s">
        <v>18</v>
      </c>
      <c r="G24" s="2" t="str">
        <f>_xlfn.IFNA(VLOOKUP($C24,logos!$A$2:$D$1025,4,FALSE),"")</f>
        <v>Bauer Media</v>
      </c>
      <c r="H24" s="5" t="s">
        <v>19</v>
      </c>
      <c r="I24" s="5" t="s">
        <v>20</v>
      </c>
      <c r="J24" s="5" t="s">
        <v>21</v>
      </c>
      <c r="K24" s="2" t="str" cm="1">
        <f t="array" ref="K24">INDEX(stations!$B$1:$B$9974,MATCH(1,(stations!$A$1:$A$9974='master Bauer'!$R24)*(stations!$E$1:$E$9974='master Bauer'!$S24)*(stations!$B$1:$B$9974='master Bauer'!$T24),0))</f>
        <v>48s</v>
      </c>
      <c r="L24" s="5" t="s">
        <v>23</v>
      </c>
      <c r="M24" t="s">
        <v>24</v>
      </c>
      <c r="O24" t="s">
        <v>25</v>
      </c>
      <c r="P24" s="2" t="b">
        <f>ISERROR(VLOOKUP($C24,logos!$A$2:$A$10003,1,FALSE))</f>
        <v>0</v>
      </c>
      <c r="Q24" s="2" t="str">
        <f>_xlfn.IFNA(VLOOKUP($C24,logos!$A$2:$B$10003,2,FALSE),"")</f>
        <v>Magic Chilled.jpg</v>
      </c>
      <c r="R24" s="2" t="str">
        <f t="shared" si="0"/>
        <v>Magic Chilled</v>
      </c>
      <c r="S24" s="5" t="s">
        <v>5359</v>
      </c>
      <c r="T24" s="5" t="s">
        <v>1662</v>
      </c>
      <c r="U24" t="str" cm="1">
        <f t="array" ref="U24">INDEX(stations!$A$1:$A$9974,MATCH(1,(stations!$A$1:$A$9974='master Bauer'!$R24)*(stations!$E$1:$E$9974='master Bauer'!$S24)*(stations!$B$1:$B$9974='master Bauer'!$T24),0))</f>
        <v>Magic Chilled</v>
      </c>
      <c r="V24" t="str">
        <f t="shared" si="1"/>
        <v>"C:\Program Files\VideoLAN\VLC\vlc.exe" "http://www.radiofeeds.net/playlists/bauer.pls?station=magicchilled-aac"</v>
      </c>
    </row>
    <row r="25" spans="1:22" x14ac:dyDescent="0.55000000000000004">
      <c r="A25">
        <v>557</v>
      </c>
      <c r="B25" s="2" t="str" cm="1">
        <f t="array" ref="B25">INDEX(stations!$C$1:$C$9974,MATCH(1,(stations!$A$1:$A$9974='master Bauer'!$R25)*(stations!$E$1:$E$9974='master Bauer'!$S25)*(stations!$B$1:$B$9974='master Bauer'!$T25),0))</f>
        <v>http://www.radiofeeds.net/playlists/bauer.pls?station=planetrock-aac</v>
      </c>
      <c r="C25" s="5" t="s">
        <v>950</v>
      </c>
      <c r="D25" t="s">
        <v>17</v>
      </c>
      <c r="E25" t="s">
        <v>18</v>
      </c>
      <c r="G25" s="2" t="str">
        <f>_xlfn.IFNA(VLOOKUP($C25,logos!$A$2:$D$1025,4,FALSE),"")</f>
        <v>Bauer Media</v>
      </c>
      <c r="H25" s="5" t="s">
        <v>19</v>
      </c>
      <c r="I25" s="5" t="s">
        <v>20</v>
      </c>
      <c r="J25" s="5" t="s">
        <v>21</v>
      </c>
      <c r="K25" s="2" t="str" cm="1">
        <f t="array" ref="K25">INDEX(stations!$B$1:$B$9974,MATCH(1,(stations!$A$1:$A$9974='master Bauer'!$R25)*(stations!$E$1:$E$9974='master Bauer'!$S25)*(stations!$B$1:$B$9974='master Bauer'!$T25),0))</f>
        <v>48s</v>
      </c>
      <c r="L25" s="5" t="s">
        <v>23</v>
      </c>
      <c r="M25" t="s">
        <v>24</v>
      </c>
      <c r="O25" t="s">
        <v>25</v>
      </c>
      <c r="P25" s="2" t="b">
        <f>ISERROR(VLOOKUP($C25,logos!$A$2:$A$10003,1,FALSE))</f>
        <v>0</v>
      </c>
      <c r="Q25" s="2" t="str">
        <f>_xlfn.IFNA(VLOOKUP($C25,logos!$A$2:$B$10003,2,FALSE),"")</f>
        <v>Planet Rock.jpg</v>
      </c>
      <c r="R25" s="2" t="str">
        <f t="shared" si="0"/>
        <v>Planet Rock</v>
      </c>
      <c r="S25" s="5" t="s">
        <v>5359</v>
      </c>
      <c r="T25" s="5" t="s">
        <v>1662</v>
      </c>
      <c r="U25" t="str" cm="1">
        <f t="array" ref="U25">INDEX(stations!$A$1:$A$9974,MATCH(1,(stations!$A$1:$A$9974='master Bauer'!$R25)*(stations!$E$1:$E$9974='master Bauer'!$S25)*(stations!$B$1:$B$9974='master Bauer'!$T25),0))</f>
        <v>Planet Rock</v>
      </c>
      <c r="V25" t="str">
        <f t="shared" si="1"/>
        <v>"C:\Program Files\VideoLAN\VLC\vlc.exe" "http://www.radiofeeds.net/playlists/bauer.pls?station=planetrock-aac"</v>
      </c>
    </row>
    <row r="26" spans="1:22" x14ac:dyDescent="0.55000000000000004">
      <c r="A26">
        <v>559</v>
      </c>
      <c r="B26" s="2" t="str" cm="1">
        <f t="array" ref="B26">INDEX(stations!$C$1:$C$9974,MATCH(1,(stations!$A$1:$A$9974='master Bauer'!$R26)*(stations!$E$1:$E$9974='master Bauer'!$S26)*(stations!$B$1:$B$9974='master Bauer'!$T26),0))</f>
        <v>http://edge-bauerall-01-gos2.sharp-stream.com/rock.mp3</v>
      </c>
      <c r="C26" s="5" t="s">
        <v>1082</v>
      </c>
      <c r="D26" t="s">
        <v>17</v>
      </c>
      <c r="E26" t="s">
        <v>18</v>
      </c>
      <c r="G26" s="2" t="str">
        <f>_xlfn.IFNA(VLOOKUP($C26,logos!$A$2:$D$1025,4,FALSE),"")</f>
        <v>Bauer Media</v>
      </c>
      <c r="H26" s="5" t="s">
        <v>19</v>
      </c>
      <c r="I26" s="5" t="s">
        <v>20</v>
      </c>
      <c r="J26" s="5" t="s">
        <v>21</v>
      </c>
      <c r="K26" s="2" t="str" cm="1">
        <f t="array" ref="K26">INDEX(stations!$B$1:$B$9974,MATCH(1,(stations!$A$1:$A$9974='master Bauer'!$R26)*(stations!$E$1:$E$9974='master Bauer'!$S26)*(stations!$B$1:$B$9974='master Bauer'!$T26),0))</f>
        <v>112s</v>
      </c>
      <c r="L26" s="5" t="s">
        <v>23</v>
      </c>
      <c r="M26" t="s">
        <v>24</v>
      </c>
      <c r="O26" t="s">
        <v>25</v>
      </c>
      <c r="P26" s="2" t="b">
        <f>ISERROR(VLOOKUP($C26,logos!$A$2:$A$10003,1,FALSE))</f>
        <v>0</v>
      </c>
      <c r="Q26" s="2" t="str">
        <f>_xlfn.IFNA(VLOOKUP($C26,logos!$A$2:$B$10003,2,FALSE),"")</f>
        <v>Rock FM.jpg</v>
      </c>
      <c r="R26" s="2" t="str">
        <f t="shared" si="0"/>
        <v>Rock FM</v>
      </c>
      <c r="S26" s="5" t="s">
        <v>23</v>
      </c>
      <c r="T26" s="5" t="s">
        <v>1692</v>
      </c>
      <c r="U26" t="str" cm="1">
        <f t="array" ref="U26">INDEX(stations!$A$1:$A$9974,MATCH(1,(stations!$A$1:$A$9974='master Bauer'!$R26)*(stations!$E$1:$E$9974='master Bauer'!$S26)*(stations!$B$1:$B$9974='master Bauer'!$T26),0))</f>
        <v>Rock FM</v>
      </c>
      <c r="V26" t="str">
        <f t="shared" si="1"/>
        <v>"C:\Program Files\VideoLAN\VLC\vlc.exe" "http://edge-bauerall-01-gos2.sharp-stream.com/rock.mp3"</v>
      </c>
    </row>
    <row r="27" spans="1:22" x14ac:dyDescent="0.55000000000000004">
      <c r="A27">
        <v>560</v>
      </c>
      <c r="B27" s="2" t="str" cm="1">
        <f t="array" ref="B27">INDEX(stations!$C$1:$C$9974,MATCH(1,(stations!$A$1:$A$9974='master Bauer'!$R27)*(stations!$E$1:$E$9974='master Bauer'!$S27)*(stations!$B$1:$B$9974='master Bauer'!$T27),0))</f>
        <v>http://www.radiofeeds.net/playlists/bauer.pls?station=scala-aac</v>
      </c>
      <c r="C27" s="5" t="s">
        <v>1104</v>
      </c>
      <c r="D27" t="s">
        <v>17</v>
      </c>
      <c r="E27" t="s">
        <v>18</v>
      </c>
      <c r="G27" s="2" t="str">
        <f>_xlfn.IFNA(VLOOKUP($C27,logos!$A$2:$D$1025,4,FALSE),"")</f>
        <v>Bauer Media</v>
      </c>
      <c r="H27" s="5" t="s">
        <v>19</v>
      </c>
      <c r="I27" s="5" t="s">
        <v>20</v>
      </c>
      <c r="J27" s="5" t="s">
        <v>21</v>
      </c>
      <c r="K27" s="2" t="str" cm="1">
        <f t="array" ref="K27">INDEX(stations!$B$1:$B$9974,MATCH(1,(stations!$A$1:$A$9974='master Bauer'!$R27)*(stations!$E$1:$E$9974='master Bauer'!$S27)*(stations!$B$1:$B$9974='master Bauer'!$T27),0))</f>
        <v>48s</v>
      </c>
      <c r="L27" s="5" t="s">
        <v>23</v>
      </c>
      <c r="M27" t="s">
        <v>24</v>
      </c>
      <c r="O27" t="s">
        <v>25</v>
      </c>
      <c r="P27" s="2" t="b">
        <f>ISERROR(VLOOKUP($C27,logos!$A$2:$A$10003,1,FALSE))</f>
        <v>0</v>
      </c>
      <c r="Q27" s="2" t="str">
        <f>_xlfn.IFNA(VLOOKUP($C27,logos!$A$2:$B$10003,2,FALSE),"")</f>
        <v>Scala Radio.jpg</v>
      </c>
      <c r="R27" s="2" t="str">
        <f t="shared" si="0"/>
        <v>Scala Radio</v>
      </c>
      <c r="S27" s="5" t="s">
        <v>5359</v>
      </c>
      <c r="T27" s="5" t="s">
        <v>1662</v>
      </c>
      <c r="U27" t="str" cm="1">
        <f t="array" ref="U27">INDEX(stations!$A$1:$A$9974,MATCH(1,(stations!$A$1:$A$9974='master Bauer'!$R27)*(stations!$E$1:$E$9974='master Bauer'!$S27)*(stations!$B$1:$B$9974='master Bauer'!$T27),0))</f>
        <v>Scala Radio</v>
      </c>
      <c r="V27" t="str">
        <f t="shared" si="1"/>
        <v>"C:\Program Files\VideoLAN\VLC\vlc.exe" "http://www.radiofeeds.net/playlists/bauer.pls?station=scala-aac"</v>
      </c>
    </row>
    <row r="29" spans="1:22" x14ac:dyDescent="0.55000000000000004">
      <c r="A29">
        <v>500</v>
      </c>
      <c r="B29" s="2" t="str" cm="1">
        <f t="array" ref="B29">INDEX(stations!$C$1:$C$9974,MATCH(1,(stations!$A$1:$A$9974='master Bauer'!$R29)*(stations!$E$1:$E$9974='master Bauer'!$S29)*(stations!$B$1:$B$9974='master Bauer'!$T29),0))</f>
        <v>http://www.radiofeeds.net/playlists/bauerflash.pls?station=absoluteclassicrockhigh-aac</v>
      </c>
      <c r="C29" s="5" t="s">
        <v>34</v>
      </c>
      <c r="D29" t="s">
        <v>17</v>
      </c>
      <c r="E29" t="s">
        <v>18</v>
      </c>
      <c r="G29" s="2" t="str">
        <f>_xlfn.IFNA(VLOOKUP($C29,logos!$A$2:$D$1025,4,FALSE),"")</f>
        <v>Bauer Media</v>
      </c>
      <c r="H29" s="5" t="s">
        <v>19</v>
      </c>
      <c r="I29" s="5" t="s">
        <v>20</v>
      </c>
      <c r="J29" s="5" t="s">
        <v>21</v>
      </c>
      <c r="K29" s="2" t="str" cm="1">
        <f t="array" ref="K29">INDEX(stations!$B$1:$B$9974,MATCH(1,(stations!$A$1:$A$9974='master Bauer'!$R29)*(stations!$E$1:$E$9974='master Bauer'!$S29)*(stations!$B$1:$B$9974='master Bauer'!$T29),0))</f>
        <v>128s</v>
      </c>
      <c r="L29" s="5" t="s">
        <v>23</v>
      </c>
      <c r="M29" t="s">
        <v>24</v>
      </c>
      <c r="O29" t="s">
        <v>25</v>
      </c>
      <c r="P29" s="2" t="b">
        <f>ISERROR(VLOOKUP($C29,logos!$A$2:$A$10003,1,FALSE))</f>
        <v>0</v>
      </c>
      <c r="Q29" s="2" t="str">
        <f>_xlfn.IFNA(VLOOKUP($C29,logos!$A$2:$B$10003,2,FALSE),"")</f>
        <v>Absolute Classic Rock.jpg</v>
      </c>
      <c r="R29" s="2" t="str">
        <f t="shared" ref="R29:R54" si="2">C29</f>
        <v>Absolute Classic Rock</v>
      </c>
      <c r="S29" s="5" t="s">
        <v>5359</v>
      </c>
      <c r="T29" s="5" t="s">
        <v>1663</v>
      </c>
      <c r="U29" t="str" cm="1">
        <f t="array" ref="U29">INDEX(stations!$A$1:$A$9974,MATCH(1,(stations!$A$1:$A$9974='master Bauer'!$R29)*(stations!$E$1:$E$9974='master Bauer'!$S29)*(stations!$B$1:$B$9974='master Bauer'!$T29),0))</f>
        <v>Absolute Classic Rock</v>
      </c>
      <c r="V29" t="str">
        <f t="shared" ref="V29:V54" si="3">"""C:\Program Files\VideoLAN\VLC\vlc.exe"" """&amp;B29&amp;""""</f>
        <v>"C:\Program Files\VideoLAN\VLC\vlc.exe" "http://www.radiofeeds.net/playlists/bauerflash.pls?station=absoluteclassicrockhigh-aac"</v>
      </c>
    </row>
    <row r="30" spans="1:22" x14ac:dyDescent="0.55000000000000004">
      <c r="A30">
        <v>501</v>
      </c>
      <c r="B30" s="2" t="str" cm="1">
        <f t="array" ref="B30">INDEX(stations!$C$1:$C$9974,MATCH(1,(stations!$A$1:$A$9974='master Bauer'!$R30)*(stations!$E$1:$E$9974='master Bauer'!$S30)*(stations!$B$1:$B$9974='master Bauer'!$T30),0))</f>
        <v>http://www.radiofeeds.net/playlists/bauerflash.pls?station=absoluteradiohigh-aac</v>
      </c>
      <c r="C30" s="5" t="s">
        <v>38</v>
      </c>
      <c r="D30" t="s">
        <v>17</v>
      </c>
      <c r="E30" t="s">
        <v>18</v>
      </c>
      <c r="G30" s="2" t="str">
        <f>_xlfn.IFNA(VLOOKUP($C30,logos!$A$2:$D$1025,4,FALSE),"")</f>
        <v>Bauer Media</v>
      </c>
      <c r="H30" s="5" t="s">
        <v>19</v>
      </c>
      <c r="I30" s="5" t="s">
        <v>20</v>
      </c>
      <c r="J30" s="5" t="s">
        <v>21</v>
      </c>
      <c r="K30" s="2" t="str" cm="1">
        <f t="array" ref="K30">INDEX(stations!$B$1:$B$9974,MATCH(1,(stations!$A$1:$A$9974='master Bauer'!$R30)*(stations!$E$1:$E$9974='master Bauer'!$S30)*(stations!$B$1:$B$9974='master Bauer'!$T30),0))</f>
        <v>128s</v>
      </c>
      <c r="L30" s="5" t="s">
        <v>23</v>
      </c>
      <c r="M30" t="s">
        <v>24</v>
      </c>
      <c r="O30" t="s">
        <v>25</v>
      </c>
      <c r="P30" s="2" t="b">
        <f>ISERROR(VLOOKUP($C30,logos!$A$2:$A$10003,1,FALSE))</f>
        <v>0</v>
      </c>
      <c r="Q30" s="2" t="str">
        <f>_xlfn.IFNA(VLOOKUP($C30,logos!$A$2:$B$10003,2,FALSE),"")</f>
        <v>Absolute Radio.jpg</v>
      </c>
      <c r="R30" s="2" t="str">
        <f t="shared" si="2"/>
        <v>Absolute Radio</v>
      </c>
      <c r="S30" s="5" t="s">
        <v>5359</v>
      </c>
      <c r="T30" s="5" t="s">
        <v>1663</v>
      </c>
      <c r="U30" t="str" cm="1">
        <f t="array" ref="U30">INDEX(stations!$A$1:$A$9974,MATCH(1,(stations!$A$1:$A$9974='master Bauer'!$R30)*(stations!$E$1:$E$9974='master Bauer'!$S30)*(stations!$B$1:$B$9974='master Bauer'!$T30),0))</f>
        <v>Absolute Radio</v>
      </c>
      <c r="V30" t="str">
        <f t="shared" si="3"/>
        <v>"C:\Program Files\VideoLAN\VLC\vlc.exe" "http://www.radiofeeds.net/playlists/bauerflash.pls?station=absoluteradiohigh-aac"</v>
      </c>
    </row>
    <row r="31" spans="1:22" x14ac:dyDescent="0.55000000000000004">
      <c r="A31">
        <v>502</v>
      </c>
      <c r="B31" s="2" t="str" cm="1">
        <f t="array" ref="B31">INDEX(stations!$C$1:$C$9974,MATCH(1,(stations!$A$1:$A$9974='master Bauer'!$R31)*(stations!$E$1:$E$9974='master Bauer'!$S31)*(stations!$B$1:$B$9974='master Bauer'!$T31),0))</f>
        <v>http://www.radiofeeds.net/playlists/bauerflash.pls?station=absolute00shigh-aac</v>
      </c>
      <c r="C31" s="5" t="s">
        <v>48</v>
      </c>
      <c r="D31" t="s">
        <v>17</v>
      </c>
      <c r="E31" t="s">
        <v>18</v>
      </c>
      <c r="G31" s="2" t="str">
        <f>_xlfn.IFNA(VLOOKUP($C31,logos!$A$2:$D$1025,4,FALSE),"")</f>
        <v>Bauer Media</v>
      </c>
      <c r="H31" s="5" t="s">
        <v>19</v>
      </c>
      <c r="I31" s="5" t="s">
        <v>20</v>
      </c>
      <c r="J31" s="5" t="s">
        <v>21</v>
      </c>
      <c r="K31" s="2" t="str" cm="1">
        <f t="array" ref="K31">INDEX(stations!$B$1:$B$9974,MATCH(1,(stations!$A$1:$A$9974='master Bauer'!$R31)*(stations!$E$1:$E$9974='master Bauer'!$S31)*(stations!$B$1:$B$9974='master Bauer'!$T31),0))</f>
        <v>128s</v>
      </c>
      <c r="L31" s="5" t="s">
        <v>23</v>
      </c>
      <c r="M31" t="s">
        <v>24</v>
      </c>
      <c r="O31" t="s">
        <v>25</v>
      </c>
      <c r="P31" s="2" t="b">
        <f>ISERROR(VLOOKUP($C31,logos!$A$2:$A$10003,1,FALSE))</f>
        <v>0</v>
      </c>
      <c r="Q31" s="2" t="str">
        <f>_xlfn.IFNA(VLOOKUP($C31,logos!$A$2:$B$10003,2,FALSE),"")</f>
        <v>Absolute Radio 00s.jpg</v>
      </c>
      <c r="R31" s="2" t="str">
        <f t="shared" si="2"/>
        <v>Absolute Radio 00s</v>
      </c>
      <c r="S31" s="5" t="s">
        <v>5359</v>
      </c>
      <c r="T31" s="5" t="s">
        <v>1663</v>
      </c>
      <c r="U31" t="str" cm="1">
        <f t="array" ref="U31">INDEX(stations!$A$1:$A$9974,MATCH(1,(stations!$A$1:$A$9974='master Bauer'!$R31)*(stations!$E$1:$E$9974='master Bauer'!$S31)*(stations!$B$1:$B$9974='master Bauer'!$T31),0))</f>
        <v>Absolute Radio 00s</v>
      </c>
      <c r="V31" t="str">
        <f t="shared" si="3"/>
        <v>"C:\Program Files\VideoLAN\VLC\vlc.exe" "http://www.radiofeeds.net/playlists/bauerflash.pls?station=absolute00shigh-aac"</v>
      </c>
    </row>
    <row r="32" spans="1:22" x14ac:dyDescent="0.55000000000000004">
      <c r="A32">
        <v>503</v>
      </c>
      <c r="B32" s="2" t="str" cm="1">
        <f t="array" ref="B32">INDEX(stations!$C$1:$C$9974,MATCH(1,(stations!$A$1:$A$9974='master Bauer'!$R32)*(stations!$E$1:$E$9974='master Bauer'!$S32)*(stations!$B$1:$B$9974='master Bauer'!$T32),0))</f>
        <v>http://www.radiofeeds.net/playlists/bauerflash.pls?station=absolute10shigh-aac</v>
      </c>
      <c r="C32" s="5" t="s">
        <v>50</v>
      </c>
      <c r="D32" t="s">
        <v>17</v>
      </c>
      <c r="E32" t="s">
        <v>18</v>
      </c>
      <c r="G32" s="2" t="str">
        <f>_xlfn.IFNA(VLOOKUP($C32,logos!$A$2:$D$1025,4,FALSE),"")</f>
        <v>Bauer Media</v>
      </c>
      <c r="H32" s="5" t="s">
        <v>19</v>
      </c>
      <c r="I32" s="5" t="s">
        <v>20</v>
      </c>
      <c r="J32" s="5" t="s">
        <v>21</v>
      </c>
      <c r="K32" s="2" t="str" cm="1">
        <f t="array" ref="K32">INDEX(stations!$B$1:$B$9974,MATCH(1,(stations!$A$1:$A$9974='master Bauer'!$R32)*(stations!$E$1:$E$9974='master Bauer'!$S32)*(stations!$B$1:$B$9974='master Bauer'!$T32),0))</f>
        <v>128s</v>
      </c>
      <c r="L32" s="5" t="s">
        <v>23</v>
      </c>
      <c r="M32" t="s">
        <v>24</v>
      </c>
      <c r="O32" t="s">
        <v>25</v>
      </c>
      <c r="P32" s="2" t="b">
        <f>ISERROR(VLOOKUP($C32,logos!$A$2:$A$10003,1,FALSE))</f>
        <v>0</v>
      </c>
      <c r="Q32" s="2" t="str">
        <f>_xlfn.IFNA(VLOOKUP($C32,logos!$A$2:$B$10003,2,FALSE),"")</f>
        <v>Absolute Radio 10s.jpg</v>
      </c>
      <c r="R32" s="2" t="str">
        <f t="shared" si="2"/>
        <v>Absolute Radio 10s</v>
      </c>
      <c r="S32" s="5" t="s">
        <v>5359</v>
      </c>
      <c r="T32" s="5" t="s">
        <v>1663</v>
      </c>
      <c r="U32" t="str" cm="1">
        <f t="array" ref="U32">INDEX(stations!$A$1:$A$9974,MATCH(1,(stations!$A$1:$A$9974='master Bauer'!$R32)*(stations!$E$1:$E$9974='master Bauer'!$S32)*(stations!$B$1:$B$9974='master Bauer'!$T32),0))</f>
        <v>Absolute Radio 10s</v>
      </c>
      <c r="V32" t="str">
        <f t="shared" si="3"/>
        <v>"C:\Program Files\VideoLAN\VLC\vlc.exe" "http://www.radiofeeds.net/playlists/bauerflash.pls?station=absolute10shigh-aac"</v>
      </c>
    </row>
    <row r="33" spans="1:22" x14ac:dyDescent="0.55000000000000004">
      <c r="A33">
        <v>504</v>
      </c>
      <c r="B33" s="2" t="str" cm="1">
        <f t="array" ref="B33">INDEX(stations!$C$1:$C$9974,MATCH(1,(stations!$A$1:$A$9974='master Bauer'!$R33)*(stations!$E$1:$E$9974='master Bauer'!$S33)*(stations!$B$1:$B$9974='master Bauer'!$T33),0))</f>
        <v>http://www.radiofeeds.net/playlists/bauer.pls?station=webcast3high-aac</v>
      </c>
      <c r="C33" s="5" t="s">
        <v>1545</v>
      </c>
      <c r="D33" t="s">
        <v>17</v>
      </c>
      <c r="E33" t="s">
        <v>18</v>
      </c>
      <c r="G33" s="2" t="str">
        <f>_xlfn.IFNA(VLOOKUP($C33,logos!$A$2:$D$1025,4,FALSE),"")</f>
        <v>Bauer Media</v>
      </c>
      <c r="H33" s="5" t="s">
        <v>19</v>
      </c>
      <c r="I33" s="5" t="s">
        <v>20</v>
      </c>
      <c r="J33" s="5" t="s">
        <v>21</v>
      </c>
      <c r="K33" s="2" t="str" cm="1">
        <f t="array" ref="K33">INDEX(stations!$B$1:$B$9974,MATCH(1,(stations!$A$1:$A$9974='master Bauer'!$R33)*(stations!$E$1:$E$9974='master Bauer'!$S33)*(stations!$B$1:$B$9974='master Bauer'!$T33),0))</f>
        <v>128s</v>
      </c>
      <c r="L33" s="5" t="s">
        <v>23</v>
      </c>
      <c r="M33" t="s">
        <v>24</v>
      </c>
      <c r="O33" t="s">
        <v>25</v>
      </c>
      <c r="P33" s="2" t="b">
        <f>ISERROR(VLOOKUP($C33,logos!$A$2:$A$10003,1,FALSE))</f>
        <v>0</v>
      </c>
      <c r="Q33" s="2" t="str">
        <f>_xlfn.IFNA(VLOOKUP($C33,logos!$A$2:$B$10003,2,FALSE),"")</f>
        <v>Absolute Radio 20s.jpg</v>
      </c>
      <c r="R33" s="2" t="str">
        <f t="shared" si="2"/>
        <v>Absolute Radio 20s</v>
      </c>
      <c r="S33" s="5" t="s">
        <v>5359</v>
      </c>
      <c r="T33" s="5" t="s">
        <v>1663</v>
      </c>
      <c r="U33" t="str" cm="1">
        <f t="array" ref="U33">INDEX(stations!$A$1:$A$9974,MATCH(1,(stations!$A$1:$A$9974='master Bauer'!$R33)*(stations!$E$1:$E$9974='master Bauer'!$S33)*(stations!$B$1:$B$9974='master Bauer'!$T33),0))</f>
        <v>Absolute Radio 20s</v>
      </c>
      <c r="V33" t="str">
        <f t="shared" si="3"/>
        <v>"C:\Program Files\VideoLAN\VLC\vlc.exe" "http://www.radiofeeds.net/playlists/bauer.pls?station=webcast3high-aac"</v>
      </c>
    </row>
    <row r="34" spans="1:22" x14ac:dyDescent="0.55000000000000004">
      <c r="A34">
        <v>505</v>
      </c>
      <c r="B34" s="2" t="str" cm="1">
        <f t="array" ref="B34">INDEX(stations!$C$1:$C$9974,MATCH(1,(stations!$A$1:$A$9974='master Bauer'!$R34)*(stations!$E$1:$E$9974='master Bauer'!$S34)*(stations!$B$1:$B$9974='master Bauer'!$T34),0))</f>
        <v>http://www.radiofeeds.net/playlists/bauerflash.pls?station=absolute60shigh-aac</v>
      </c>
      <c r="C34" s="5" t="s">
        <v>40</v>
      </c>
      <c r="D34" t="s">
        <v>17</v>
      </c>
      <c r="E34" t="s">
        <v>18</v>
      </c>
      <c r="G34" s="2" t="str">
        <f>_xlfn.IFNA(VLOOKUP($C34,logos!$A$2:$D$1025,4,FALSE),"")</f>
        <v>Bauer Media</v>
      </c>
      <c r="H34" s="5" t="s">
        <v>19</v>
      </c>
      <c r="I34" s="5" t="s">
        <v>20</v>
      </c>
      <c r="J34" s="5" t="s">
        <v>21</v>
      </c>
      <c r="K34" s="2" t="str" cm="1">
        <f t="array" ref="K34">INDEX(stations!$B$1:$B$9974,MATCH(1,(stations!$A$1:$A$9974='master Bauer'!$R34)*(stations!$E$1:$E$9974='master Bauer'!$S34)*(stations!$B$1:$B$9974='master Bauer'!$T34),0))</f>
        <v>128s</v>
      </c>
      <c r="L34" s="5" t="s">
        <v>23</v>
      </c>
      <c r="M34" t="s">
        <v>24</v>
      </c>
      <c r="O34" t="s">
        <v>25</v>
      </c>
      <c r="P34" s="2" t="b">
        <f>ISERROR(VLOOKUP($C34,logos!$A$2:$A$10003,1,FALSE))</f>
        <v>0</v>
      </c>
      <c r="Q34" s="2" t="str">
        <f>_xlfn.IFNA(VLOOKUP($C34,logos!$A$2:$B$10003,2,FALSE),"")</f>
        <v>Absolute Radio 60s.jpg</v>
      </c>
      <c r="R34" s="2" t="str">
        <f t="shared" si="2"/>
        <v>Absolute Radio 60s</v>
      </c>
      <c r="S34" s="5" t="s">
        <v>5359</v>
      </c>
      <c r="T34" s="5" t="s">
        <v>1663</v>
      </c>
      <c r="U34" t="str" cm="1">
        <f t="array" ref="U34">INDEX(stations!$A$1:$A$9974,MATCH(1,(stations!$A$1:$A$9974='master Bauer'!$R34)*(stations!$E$1:$E$9974='master Bauer'!$S34)*(stations!$B$1:$B$9974='master Bauer'!$T34),0))</f>
        <v>Absolute Radio 60s</v>
      </c>
      <c r="V34" t="str">
        <f t="shared" si="3"/>
        <v>"C:\Program Files\VideoLAN\VLC\vlc.exe" "http://www.radiofeeds.net/playlists/bauerflash.pls?station=absolute60shigh-aac"</v>
      </c>
    </row>
    <row r="35" spans="1:22" x14ac:dyDescent="0.55000000000000004">
      <c r="A35">
        <v>506</v>
      </c>
      <c r="B35" s="2" t="str" cm="1">
        <f t="array" ref="B35">INDEX(stations!$C$1:$C$9974,MATCH(1,(stations!$A$1:$A$9974='master Bauer'!$R35)*(stations!$E$1:$E$9974='master Bauer'!$S35)*(stations!$B$1:$B$9974='master Bauer'!$T35),0))</f>
        <v>http://www.radiofeeds.net/playlists/bauerflash.pls?station=absolute70shigh-aac</v>
      </c>
      <c r="C35" s="5" t="s">
        <v>42</v>
      </c>
      <c r="D35" t="s">
        <v>17</v>
      </c>
      <c r="E35" t="s">
        <v>18</v>
      </c>
      <c r="G35" s="2" t="str">
        <f>_xlfn.IFNA(VLOOKUP($C35,logos!$A$2:$D$1025,4,FALSE),"")</f>
        <v>Bauer Media</v>
      </c>
      <c r="H35" s="5" t="s">
        <v>19</v>
      </c>
      <c r="I35" s="5" t="s">
        <v>20</v>
      </c>
      <c r="J35" s="5" t="s">
        <v>21</v>
      </c>
      <c r="K35" s="2" t="str" cm="1">
        <f t="array" ref="K35">INDEX(stations!$B$1:$B$9974,MATCH(1,(stations!$A$1:$A$9974='master Bauer'!$R35)*(stations!$E$1:$E$9974='master Bauer'!$S35)*(stations!$B$1:$B$9974='master Bauer'!$T35),0))</f>
        <v>128s</v>
      </c>
      <c r="L35" s="5" t="s">
        <v>23</v>
      </c>
      <c r="M35" t="s">
        <v>24</v>
      </c>
      <c r="O35" t="s">
        <v>25</v>
      </c>
      <c r="P35" s="2" t="b">
        <f>ISERROR(VLOOKUP($C35,logos!$A$2:$A$10003,1,FALSE))</f>
        <v>0</v>
      </c>
      <c r="Q35" s="2" t="str">
        <f>_xlfn.IFNA(VLOOKUP($C35,logos!$A$2:$B$10003,2,FALSE),"")</f>
        <v>Absolute Radio 70s.jpg</v>
      </c>
      <c r="R35" s="2" t="str">
        <f t="shared" si="2"/>
        <v>Absolute Radio 70s</v>
      </c>
      <c r="S35" s="5" t="s">
        <v>5359</v>
      </c>
      <c r="T35" s="5" t="s">
        <v>1663</v>
      </c>
      <c r="U35" t="str" cm="1">
        <f t="array" ref="U35">INDEX(stations!$A$1:$A$9974,MATCH(1,(stations!$A$1:$A$9974='master Bauer'!$R35)*(stations!$E$1:$E$9974='master Bauer'!$S35)*(stations!$B$1:$B$9974='master Bauer'!$T35),0))</f>
        <v>Absolute Radio 70s</v>
      </c>
      <c r="V35" t="str">
        <f t="shared" si="3"/>
        <v>"C:\Program Files\VideoLAN\VLC\vlc.exe" "http://www.radiofeeds.net/playlists/bauerflash.pls?station=absolute70shigh-aac"</v>
      </c>
    </row>
    <row r="36" spans="1:22" x14ac:dyDescent="0.55000000000000004">
      <c r="A36">
        <v>507</v>
      </c>
      <c r="B36" s="2" t="str" cm="1">
        <f t="array" ref="B36">INDEX(stations!$C$1:$C$9974,MATCH(1,(stations!$A$1:$A$9974='master Bauer'!$R36)*(stations!$E$1:$E$9974='master Bauer'!$S36)*(stations!$B$1:$B$9974='master Bauer'!$T36),0))</f>
        <v>http://www.radiofeeds.net/playlists/bauerflash.pls?station=absolute80shigh-aac</v>
      </c>
      <c r="C36" s="5" t="s">
        <v>4811</v>
      </c>
      <c r="D36" t="s">
        <v>17</v>
      </c>
      <c r="E36" t="s">
        <v>18</v>
      </c>
      <c r="G36" s="2" t="str">
        <f>_xlfn.IFNA(VLOOKUP($C36,logos!$A$2:$D$1025,4,FALSE),"")</f>
        <v>Bauer Media</v>
      </c>
      <c r="H36" s="5" t="s">
        <v>19</v>
      </c>
      <c r="I36" s="5" t="s">
        <v>20</v>
      </c>
      <c r="J36" s="5" t="s">
        <v>21</v>
      </c>
      <c r="K36" s="2" t="str" cm="1">
        <f t="array" ref="K36">INDEX(stations!$B$1:$B$9974,MATCH(1,(stations!$A$1:$A$9974='master Bauer'!$R36)*(stations!$E$1:$E$9974='master Bauer'!$S36)*(stations!$B$1:$B$9974='master Bauer'!$T36),0))</f>
        <v>128s</v>
      </c>
      <c r="L36" s="5" t="s">
        <v>23</v>
      </c>
      <c r="M36" t="s">
        <v>24</v>
      </c>
      <c r="O36" t="s">
        <v>25</v>
      </c>
      <c r="P36" s="2" t="b">
        <f>ISERROR(VLOOKUP($C36,logos!$A$2:$A$10003,1,FALSE))</f>
        <v>0</v>
      </c>
      <c r="Q36" s="2" t="str">
        <f>_xlfn.IFNA(VLOOKUP($C36,logos!$A$2:$B$10003,2,FALSE),"")</f>
        <v>Absolute Radio 80s.jpg</v>
      </c>
      <c r="R36" s="2" t="str">
        <f t="shared" si="2"/>
        <v>Absolute Radio 80s</v>
      </c>
      <c r="S36" s="5" t="s">
        <v>5359</v>
      </c>
      <c r="T36" s="5" t="s">
        <v>1663</v>
      </c>
      <c r="U36" t="str" cm="1">
        <f t="array" ref="U36">INDEX(stations!$A$1:$A$9974,MATCH(1,(stations!$A$1:$A$9974='master Bauer'!$R36)*(stations!$E$1:$E$9974='master Bauer'!$S36)*(stations!$B$1:$B$9974='master Bauer'!$T36),0))</f>
        <v>Absolute Radio 80s</v>
      </c>
      <c r="V36" t="str">
        <f t="shared" si="3"/>
        <v>"C:\Program Files\VideoLAN\VLC\vlc.exe" "http://www.radiofeeds.net/playlists/bauerflash.pls?station=absolute80shigh-aac"</v>
      </c>
    </row>
    <row r="37" spans="1:22" x14ac:dyDescent="0.55000000000000004">
      <c r="A37">
        <v>508</v>
      </c>
      <c r="B37" s="2" t="str" cm="1">
        <f t="array" ref="B37">INDEX(stations!$C$1:$C$9974,MATCH(1,(stations!$A$1:$A$9974='master Bauer'!$R37)*(stations!$E$1:$E$9974='master Bauer'!$S37)*(stations!$B$1:$B$9974='master Bauer'!$T37),0))</f>
        <v>http://www.radiofeeds.net/playlists/bauerflash.pls?station=absolute90shigh-aac</v>
      </c>
      <c r="C37" s="5" t="s">
        <v>46</v>
      </c>
      <c r="D37" t="s">
        <v>17</v>
      </c>
      <c r="E37" t="s">
        <v>18</v>
      </c>
      <c r="G37" s="2" t="str">
        <f>_xlfn.IFNA(VLOOKUP($C37,logos!$A$2:$D$1025,4,FALSE),"")</f>
        <v>Bauer Media</v>
      </c>
      <c r="H37" s="5" t="s">
        <v>19</v>
      </c>
      <c r="I37" s="5" t="s">
        <v>20</v>
      </c>
      <c r="J37" s="5" t="s">
        <v>21</v>
      </c>
      <c r="K37" s="2" t="str" cm="1">
        <f t="array" ref="K37">INDEX(stations!$B$1:$B$9974,MATCH(1,(stations!$A$1:$A$9974='master Bauer'!$R37)*(stations!$E$1:$E$9974='master Bauer'!$S37)*(stations!$B$1:$B$9974='master Bauer'!$T37),0))</f>
        <v>128s</v>
      </c>
      <c r="L37" s="5" t="s">
        <v>23</v>
      </c>
      <c r="M37" t="s">
        <v>24</v>
      </c>
      <c r="O37" t="s">
        <v>25</v>
      </c>
      <c r="P37" s="2" t="b">
        <f>ISERROR(VLOOKUP($C37,logos!$A$2:$A$10003,1,FALSE))</f>
        <v>0</v>
      </c>
      <c r="Q37" s="2" t="str">
        <f>_xlfn.IFNA(VLOOKUP($C37,logos!$A$2:$B$10003,2,FALSE),"")</f>
        <v>Absolute Radio 90s.jpg</v>
      </c>
      <c r="R37" s="2" t="str">
        <f t="shared" si="2"/>
        <v>Absolute Radio 90s</v>
      </c>
      <c r="S37" s="5" t="s">
        <v>5359</v>
      </c>
      <c r="T37" s="5" t="s">
        <v>1663</v>
      </c>
      <c r="U37" t="str" cm="1">
        <f t="array" ref="U37">INDEX(stations!$A$1:$A$9974,MATCH(1,(stations!$A$1:$A$9974='master Bauer'!$R37)*(stations!$E$1:$E$9974='master Bauer'!$S37)*(stations!$B$1:$B$9974='master Bauer'!$T37),0))</f>
        <v>Absolute Radio 90s</v>
      </c>
      <c r="V37" t="str">
        <f t="shared" si="3"/>
        <v>"C:\Program Files\VideoLAN\VLC\vlc.exe" "http://www.radiofeeds.net/playlists/bauerflash.pls?station=absolute90shigh-aac"</v>
      </c>
    </row>
    <row r="38" spans="1:22" x14ac:dyDescent="0.55000000000000004">
      <c r="A38">
        <v>509</v>
      </c>
      <c r="B38" s="2" t="str" cm="1">
        <f t="array" ref="B38">INDEX(stations!$C$1:$C$9974,MATCH(1,(stations!$A$1:$A$9974='master Bauer'!$R38)*(stations!$E$1:$E$9974='master Bauer'!$S38)*(stations!$B$1:$B$9974='master Bauer'!$T38),0))</f>
        <v>http://www.radiofeeds.net/playlists/bauer.pls?station=absolutecountryhigh-aac</v>
      </c>
      <c r="C38" s="5" t="s">
        <v>52</v>
      </c>
      <c r="D38" t="s">
        <v>17</v>
      </c>
      <c r="E38" t="s">
        <v>18</v>
      </c>
      <c r="G38" s="2" t="str">
        <f>_xlfn.IFNA(VLOOKUP($C38,logos!$A$2:$D$1025,4,FALSE),"")</f>
        <v>Bauer Media</v>
      </c>
      <c r="H38" s="5" t="s">
        <v>19</v>
      </c>
      <c r="I38" s="5" t="s">
        <v>20</v>
      </c>
      <c r="J38" s="5" t="s">
        <v>21</v>
      </c>
      <c r="K38" s="2" t="str" cm="1">
        <f t="array" ref="K38">INDEX(stations!$B$1:$B$9974,MATCH(1,(stations!$A$1:$A$9974='master Bauer'!$R38)*(stations!$E$1:$E$9974='master Bauer'!$S38)*(stations!$B$1:$B$9974='master Bauer'!$T38),0))</f>
        <v>128s</v>
      </c>
      <c r="L38" s="5" t="s">
        <v>23</v>
      </c>
      <c r="M38" t="s">
        <v>24</v>
      </c>
      <c r="O38" t="s">
        <v>25</v>
      </c>
      <c r="P38" s="2" t="b">
        <f>ISERROR(VLOOKUP($C38,logos!$A$2:$A$10003,1,FALSE))</f>
        <v>0</v>
      </c>
      <c r="Q38" s="2" t="str">
        <f>_xlfn.IFNA(VLOOKUP($C38,logos!$A$2:$B$10003,2,FALSE),"")</f>
        <v>Absolute Radio Country.jpg</v>
      </c>
      <c r="R38" s="2" t="str">
        <f t="shared" si="2"/>
        <v>Absolute Radio Country</v>
      </c>
      <c r="S38" s="5" t="s">
        <v>5359</v>
      </c>
      <c r="T38" s="5" t="s">
        <v>1663</v>
      </c>
      <c r="U38" t="str" cm="1">
        <f t="array" ref="U38">INDEX(stations!$A$1:$A$9974,MATCH(1,(stations!$A$1:$A$9974='master Bauer'!$R38)*(stations!$E$1:$E$9974='master Bauer'!$S38)*(stations!$B$1:$B$9974='master Bauer'!$T38),0))</f>
        <v>Absolute Radio Country</v>
      </c>
      <c r="V38" t="str">
        <f t="shared" si="3"/>
        <v>"C:\Program Files\VideoLAN\VLC\vlc.exe" "http://www.radiofeeds.net/playlists/bauer.pls?station=absolutecountryhigh-aac"</v>
      </c>
    </row>
    <row r="39" spans="1:22" x14ac:dyDescent="0.55000000000000004">
      <c r="A39">
        <v>531</v>
      </c>
      <c r="B39" s="2" t="str" cm="1">
        <f t="array" ref="B39">INDEX(stations!$C$1:$C$9974,MATCH(1,(stations!$A$1:$A$9974='master Bauer'!$R39)*(stations!$E$1:$E$9974='master Bauer'!$S39)*(stations!$B$1:$B$9974='master Bauer'!$T39),0))</f>
        <v>http://edge-bauerall-01-gos2.sharp-stream.com/forth1.mp3</v>
      </c>
      <c r="C39" s="5" t="s">
        <v>414</v>
      </c>
      <c r="D39" t="s">
        <v>17</v>
      </c>
      <c r="E39" t="s">
        <v>18</v>
      </c>
      <c r="G39" s="2" t="str">
        <f>_xlfn.IFNA(VLOOKUP($C39,logos!$A$2:$D$1025,4,FALSE),"")</f>
        <v>Bauer Media</v>
      </c>
      <c r="H39" s="5" t="s">
        <v>19</v>
      </c>
      <c r="I39" s="5" t="s">
        <v>20</v>
      </c>
      <c r="J39" s="5" t="s">
        <v>21</v>
      </c>
      <c r="K39" s="2" t="str" cm="1">
        <f t="array" ref="K39">INDEX(stations!$B$1:$B$9974,MATCH(1,(stations!$A$1:$A$9974='master Bauer'!$R39)*(stations!$E$1:$E$9974='master Bauer'!$S39)*(stations!$B$1:$B$9974='master Bauer'!$T39),0))</f>
        <v>112s</v>
      </c>
      <c r="L39" s="5" t="s">
        <v>23</v>
      </c>
      <c r="M39" t="s">
        <v>24</v>
      </c>
      <c r="O39" t="s">
        <v>25</v>
      </c>
      <c r="P39" s="2" t="b">
        <f>ISERROR(VLOOKUP($C39,logos!$A$2:$A$10003,1,FALSE))</f>
        <v>0</v>
      </c>
      <c r="Q39" s="2" t="str">
        <f>_xlfn.IFNA(VLOOKUP($C39,logos!$A$2:$B$10003,2,FALSE),"")</f>
        <v>Forth 1.jpg</v>
      </c>
      <c r="R39" s="2" t="str">
        <f t="shared" si="2"/>
        <v>Forth 1</v>
      </c>
      <c r="S39" s="5" t="s">
        <v>23</v>
      </c>
      <c r="T39" s="5" t="s">
        <v>1692</v>
      </c>
      <c r="U39" t="str" cm="1">
        <f t="array" ref="U39">INDEX(stations!$A$1:$A$9974,MATCH(1,(stations!$A$1:$A$9974='master Bauer'!$R39)*(stations!$E$1:$E$9974='master Bauer'!$S39)*(stations!$B$1:$B$9974='master Bauer'!$T39),0))</f>
        <v>Forth 1</v>
      </c>
      <c r="V39" t="str">
        <f t="shared" si="3"/>
        <v>"C:\Program Files\VideoLAN\VLC\vlc.exe" "http://edge-bauerall-01-gos2.sharp-stream.com/forth1.mp3"</v>
      </c>
    </row>
    <row r="40" spans="1:22" x14ac:dyDescent="0.55000000000000004">
      <c r="A40">
        <v>532</v>
      </c>
      <c r="B40" s="2" t="str" cm="1">
        <f t="array" ref="B40">INDEX(stations!$C$1:$C$9974,MATCH(1,(stations!$A$1:$A$9974='master Bauer'!$R40)*(stations!$E$1:$E$9974='master Bauer'!$S40)*(stations!$B$1:$B$9974='master Bauer'!$T40),0))</f>
        <v>http://edge-bauerall-01-gos2.sharp-stream.com/forth2.mp3</v>
      </c>
      <c r="C40" s="5" t="s">
        <v>416</v>
      </c>
      <c r="D40" t="s">
        <v>17</v>
      </c>
      <c r="E40" t="s">
        <v>18</v>
      </c>
      <c r="G40" s="2" t="str">
        <f>_xlfn.IFNA(VLOOKUP($C40,logos!$A$2:$D$1025,4,FALSE),"")</f>
        <v>Bauer Media</v>
      </c>
      <c r="H40" s="5" t="s">
        <v>19</v>
      </c>
      <c r="I40" s="5" t="s">
        <v>20</v>
      </c>
      <c r="J40" s="5" t="s">
        <v>21</v>
      </c>
      <c r="K40" s="2" t="str" cm="1">
        <f t="array" ref="K40">INDEX(stations!$B$1:$B$9974,MATCH(1,(stations!$A$1:$A$9974='master Bauer'!$R40)*(stations!$E$1:$E$9974='master Bauer'!$S40)*(stations!$B$1:$B$9974='master Bauer'!$T40),0))</f>
        <v>112s</v>
      </c>
      <c r="L40" s="5" t="s">
        <v>23</v>
      </c>
      <c r="M40" t="s">
        <v>24</v>
      </c>
      <c r="O40" t="s">
        <v>25</v>
      </c>
      <c r="P40" s="2" t="b">
        <f>ISERROR(VLOOKUP($C40,logos!$A$2:$A$10003,1,FALSE))</f>
        <v>0</v>
      </c>
      <c r="Q40" s="2" t="str">
        <f>_xlfn.IFNA(VLOOKUP($C40,logos!$A$2:$B$10003,2,FALSE),"")</f>
        <v>Forth 2.jpg</v>
      </c>
      <c r="R40" s="2" t="str">
        <f t="shared" si="2"/>
        <v>Forth 2</v>
      </c>
      <c r="S40" s="5" t="s">
        <v>23</v>
      </c>
      <c r="T40" s="5" t="s">
        <v>1692</v>
      </c>
      <c r="U40" t="str" cm="1">
        <f t="array" ref="U40">INDEX(stations!$A$1:$A$9974,MATCH(1,(stations!$A$1:$A$9974='master Bauer'!$R40)*(stations!$E$1:$E$9974='master Bauer'!$S40)*(stations!$B$1:$B$9974='master Bauer'!$T40),0))</f>
        <v>Forth 2</v>
      </c>
      <c r="V40" t="str">
        <f t="shared" si="3"/>
        <v>"C:\Program Files\VideoLAN\VLC\vlc.exe" "http://edge-bauerall-01-gos2.sharp-stream.com/forth2.mp3"</v>
      </c>
    </row>
    <row r="41" spans="1:22" x14ac:dyDescent="0.55000000000000004">
      <c r="A41">
        <v>534</v>
      </c>
      <c r="B41" s="2" t="str" cm="1">
        <f t="array" ref="B41">INDEX(stations!$C$1:$C$9974,MATCH(1,(stations!$A$1:$A$9974='master Bauer'!$R41)*(stations!$E$1:$E$9974='master Bauer'!$S41)*(stations!$B$1:$B$9974='master Bauer'!$T41),0))</f>
        <v>http://www.radiofeeds.net/playlists/bauer.pls?station=net2national-aac</v>
      </c>
      <c r="C41" s="5" t="s">
        <v>2702</v>
      </c>
      <c r="D41" t="s">
        <v>17</v>
      </c>
      <c r="E41" t="s">
        <v>18</v>
      </c>
      <c r="G41" s="2" t="str">
        <f>_xlfn.IFNA(VLOOKUP($C41,logos!$A$2:$D$1025,4,FALSE),"")</f>
        <v>Bauer Media</v>
      </c>
      <c r="H41" s="5" t="s">
        <v>19</v>
      </c>
      <c r="I41" s="5" t="s">
        <v>20</v>
      </c>
      <c r="J41" s="5" t="s">
        <v>21</v>
      </c>
      <c r="K41" s="2" t="str" cm="1">
        <f t="array" ref="K41">INDEX(stations!$B$1:$B$9974,MATCH(1,(stations!$A$1:$A$9974='master Bauer'!$R41)*(stations!$E$1:$E$9974='master Bauer'!$S41)*(stations!$B$1:$B$9974='master Bauer'!$T41),0))</f>
        <v>48s</v>
      </c>
      <c r="L41" s="5" t="s">
        <v>23</v>
      </c>
      <c r="M41" t="s">
        <v>24</v>
      </c>
      <c r="O41" t="s">
        <v>25</v>
      </c>
      <c r="P41" s="2" t="b">
        <f>ISERROR(VLOOKUP($C41,logos!$A$2:$A$10003,1,FALSE))</f>
        <v>0</v>
      </c>
      <c r="Q41" s="2" t="str">
        <f>_xlfn.IFNA(VLOOKUP($C41,logos!$A$2:$B$10003,2,FALSE),"")</f>
        <v>Greatest Hits Radio (UK).jpg</v>
      </c>
      <c r="R41" s="2" t="str">
        <f t="shared" si="2"/>
        <v>Greatest Hits Radio (UK)</v>
      </c>
      <c r="S41" s="5" t="s">
        <v>5359</v>
      </c>
      <c r="T41" s="5" t="s">
        <v>1662</v>
      </c>
      <c r="U41" t="str" cm="1">
        <f t="array" ref="U41">INDEX(stations!$A$1:$A$9974,MATCH(1,(stations!$A$1:$A$9974='master Bauer'!$R41)*(stations!$E$1:$E$9974='master Bauer'!$S41)*(stations!$B$1:$B$9974='master Bauer'!$T41),0))</f>
        <v>Greatest Hits Radio (UK)</v>
      </c>
      <c r="V41" t="str">
        <f t="shared" si="3"/>
        <v>"C:\Program Files\VideoLAN\VLC\vlc.exe" "http://www.radiofeeds.net/playlists/bauer.pls?station=net2national-aac"</v>
      </c>
    </row>
    <row r="42" spans="1:22" x14ac:dyDescent="0.55000000000000004">
      <c r="A42">
        <v>543</v>
      </c>
      <c r="B42" s="2" t="str" cm="1">
        <f t="array" ref="B42">INDEX(stations!$C$1:$C$9974,MATCH(1,(stations!$A$1:$A$9974='master Bauer'!$R42)*(stations!$E$1:$E$9974='master Bauer'!$S42)*(stations!$B$1:$B$9974='master Bauer'!$T42),0))</f>
        <v>http://www.radiofeeds.net/playlists/bauer.pls?station=heat-aac</v>
      </c>
      <c r="C42" s="5" t="s">
        <v>681</v>
      </c>
      <c r="D42" t="s">
        <v>17</v>
      </c>
      <c r="E42" t="s">
        <v>18</v>
      </c>
      <c r="G42" s="2" t="str">
        <f>_xlfn.IFNA(VLOOKUP($C42,logos!$A$2:$D$1025,4,FALSE),"")</f>
        <v>Bauer Media</v>
      </c>
      <c r="H42" s="5" t="s">
        <v>19</v>
      </c>
      <c r="I42" s="5" t="s">
        <v>20</v>
      </c>
      <c r="J42" s="5" t="s">
        <v>21</v>
      </c>
      <c r="K42" s="2" t="str" cm="1">
        <f t="array" ref="K42">INDEX(stations!$B$1:$B$9974,MATCH(1,(stations!$A$1:$A$9974='master Bauer'!$R42)*(stations!$E$1:$E$9974='master Bauer'!$S42)*(stations!$B$1:$B$9974='master Bauer'!$T42),0))</f>
        <v>48s</v>
      </c>
      <c r="L42" s="5" t="s">
        <v>23</v>
      </c>
      <c r="M42" t="s">
        <v>24</v>
      </c>
      <c r="O42" t="s">
        <v>25</v>
      </c>
      <c r="P42" s="2" t="b">
        <f>ISERROR(VLOOKUP($C42,logos!$A$2:$A$10003,1,FALSE))</f>
        <v>0</v>
      </c>
      <c r="Q42" s="2" t="str">
        <f>_xlfn.IFNA(VLOOKUP($C42,logos!$A$2:$B$10003,2,FALSE),"")</f>
        <v>heat Radio.jpg</v>
      </c>
      <c r="R42" s="2" t="str">
        <f t="shared" si="2"/>
        <v>heat Radio</v>
      </c>
      <c r="S42" s="5" t="s">
        <v>5359</v>
      </c>
      <c r="T42" s="5" t="s">
        <v>1662</v>
      </c>
      <c r="U42" t="str" cm="1">
        <f t="array" ref="U42">INDEX(stations!$A$1:$A$9974,MATCH(1,(stations!$A$1:$A$9974='master Bauer'!$R42)*(stations!$E$1:$E$9974='master Bauer'!$S42)*(stations!$B$1:$B$9974='master Bauer'!$T42),0))</f>
        <v>heat Radio</v>
      </c>
      <c r="V42" t="str">
        <f t="shared" si="3"/>
        <v>"C:\Program Files\VideoLAN\VLC\vlc.exe" "http://www.radiofeeds.net/playlists/bauer.pls?station=heat-aac"</v>
      </c>
    </row>
    <row r="43" spans="1:22" x14ac:dyDescent="0.55000000000000004">
      <c r="A43">
        <v>544</v>
      </c>
      <c r="B43" s="2" t="str" cm="1">
        <f t="array" ref="B43">INDEX(stations!$C$1:$C$9974,MATCH(1,(stations!$A$1:$A$9974='master Bauer'!$R43)*(stations!$E$1:$E$9974='master Bauer'!$S43)*(stations!$B$1:$B$9974='master Bauer'!$T43),0))</f>
        <v>http://www.radiofeeds.net/playlists/bauer.pls?station=hits-aac</v>
      </c>
      <c r="C43" s="5" t="s">
        <v>2760</v>
      </c>
      <c r="D43" t="s">
        <v>17</v>
      </c>
      <c r="E43" t="s">
        <v>18</v>
      </c>
      <c r="G43" s="2" t="str">
        <f>_xlfn.IFNA(VLOOKUP($C43,logos!$A$2:$D$1025,4,FALSE),"")</f>
        <v>Bauer Media</v>
      </c>
      <c r="H43" s="5" t="s">
        <v>19</v>
      </c>
      <c r="I43" s="5" t="s">
        <v>20</v>
      </c>
      <c r="J43" s="5" t="s">
        <v>21</v>
      </c>
      <c r="K43" s="2" t="str" cm="1">
        <f t="array" ref="K43">INDEX(stations!$B$1:$B$9974,MATCH(1,(stations!$A$1:$A$9974='master Bauer'!$R43)*(stations!$E$1:$E$9974='master Bauer'!$S43)*(stations!$B$1:$B$9974='master Bauer'!$T43),0))</f>
        <v>48s</v>
      </c>
      <c r="L43" s="5" t="s">
        <v>23</v>
      </c>
      <c r="M43" t="s">
        <v>24</v>
      </c>
      <c r="O43" t="s">
        <v>25</v>
      </c>
      <c r="P43" s="2" t="b">
        <f>ISERROR(VLOOKUP($C43,logos!$A$2:$A$10003,1,FALSE))</f>
        <v>0</v>
      </c>
      <c r="Q43" s="2" t="str">
        <f>_xlfn.IFNA(VLOOKUP($C43,logos!$A$2:$B$10003,2,FALSE),"")</f>
        <v>Hits Radio (UK).jpg</v>
      </c>
      <c r="R43" s="2" t="str">
        <f t="shared" si="2"/>
        <v>Hits Radio (UK)</v>
      </c>
      <c r="S43" s="5" t="s">
        <v>5359</v>
      </c>
      <c r="T43" s="5" t="s">
        <v>1662</v>
      </c>
      <c r="U43" t="str" cm="1">
        <f t="array" ref="U43">INDEX(stations!$A$1:$A$9974,MATCH(1,(stations!$A$1:$A$9974='master Bauer'!$R43)*(stations!$E$1:$E$9974='master Bauer'!$S43)*(stations!$B$1:$B$9974='master Bauer'!$T43),0))</f>
        <v>Hits Radio (UK)</v>
      </c>
      <c r="V43" t="str">
        <f t="shared" si="3"/>
        <v>"C:\Program Files\VideoLAN\VLC\vlc.exe" "http://www.radiofeeds.net/playlists/bauer.pls?station=hits-aac"</v>
      </c>
    </row>
    <row r="44" spans="1:22" x14ac:dyDescent="0.55000000000000004">
      <c r="A44">
        <v>545</v>
      </c>
      <c r="B44" s="2" t="str" cm="1">
        <f t="array" ref="B44">INDEX(stations!$C$1:$C$9974,MATCH(1,(stations!$A$1:$A$9974='master Bauer'!$R44)*(stations!$E$1:$E$9974='master Bauer'!$S44)*(stations!$B$1:$B$9974='master Bauer'!$T44),0))</f>
        <v>http://www.radiofeeds.net/playlists/bauerflash.pls?station=hitsradiopride-aac</v>
      </c>
      <c r="C44" s="5" t="s">
        <v>702</v>
      </c>
      <c r="D44" t="s">
        <v>17</v>
      </c>
      <c r="E44" t="s">
        <v>18</v>
      </c>
      <c r="G44" s="2" t="str">
        <f>_xlfn.IFNA(VLOOKUP($C44,logos!$A$2:$D$1025,4,FALSE),"")</f>
        <v>Bauer Media</v>
      </c>
      <c r="H44" s="5" t="s">
        <v>19</v>
      </c>
      <c r="I44" s="5" t="s">
        <v>20</v>
      </c>
      <c r="J44" s="5" t="s">
        <v>21</v>
      </c>
      <c r="K44" s="2" t="str" cm="1">
        <f t="array" ref="K44">INDEX(stations!$B$1:$B$9974,MATCH(1,(stations!$A$1:$A$9974='master Bauer'!$R44)*(stations!$E$1:$E$9974='master Bauer'!$S44)*(stations!$B$1:$B$9974='master Bauer'!$T44),0))</f>
        <v>48s</v>
      </c>
      <c r="L44" s="5" t="s">
        <v>23</v>
      </c>
      <c r="M44" t="s">
        <v>24</v>
      </c>
      <c r="O44" t="s">
        <v>25</v>
      </c>
      <c r="P44" s="2" t="b">
        <f>ISERROR(VLOOKUP($C44,logos!$A$2:$A$10003,1,FALSE))</f>
        <v>0</v>
      </c>
      <c r="Q44" s="2" t="str">
        <f>_xlfn.IFNA(VLOOKUP($C44,logos!$A$2:$B$10003,2,FALSE),"")</f>
        <v>Hits Radio Pride.jpg</v>
      </c>
      <c r="R44" s="2" t="str">
        <f t="shared" si="2"/>
        <v>Hits Radio Pride</v>
      </c>
      <c r="S44" s="5" t="s">
        <v>5359</v>
      </c>
      <c r="T44" s="5" t="s">
        <v>1662</v>
      </c>
      <c r="U44" t="str" cm="1">
        <f t="array" ref="U44">INDEX(stations!$A$1:$A$9974,MATCH(1,(stations!$A$1:$A$9974='master Bauer'!$R44)*(stations!$E$1:$E$9974='master Bauer'!$S44)*(stations!$B$1:$B$9974='master Bauer'!$T44),0))</f>
        <v>Hits Radio Pride</v>
      </c>
      <c r="V44" t="str">
        <f t="shared" si="3"/>
        <v>"C:\Program Files\VideoLAN\VLC\vlc.exe" "http://www.radiofeeds.net/playlists/bauerflash.pls?station=hitsradiopride-aac"</v>
      </c>
    </row>
    <row r="45" spans="1:22" x14ac:dyDescent="0.55000000000000004">
      <c r="A45">
        <v>546</v>
      </c>
      <c r="B45" s="2" t="str" cm="1">
        <f t="array" ref="B45">INDEX(stations!$C$1:$C$9974,MATCH(1,(stations!$A$1:$A$9974='master Bauer'!$R45)*(stations!$E$1:$E$9974='master Bauer'!$S45)*(stations!$B$1:$B$9974='master Bauer'!$T45),0))</f>
        <v>http://www.radiofeeds.net/playlists/bauer.pls?station=kerrang-aac</v>
      </c>
      <c r="C45" s="5" t="s">
        <v>740</v>
      </c>
      <c r="D45" t="s">
        <v>17</v>
      </c>
      <c r="E45" t="s">
        <v>18</v>
      </c>
      <c r="G45" s="2" t="str">
        <f>_xlfn.IFNA(VLOOKUP($C45,logos!$A$2:$D$1025,4,FALSE),"")</f>
        <v>Bauer Media</v>
      </c>
      <c r="H45" s="5" t="s">
        <v>19</v>
      </c>
      <c r="I45" s="5" t="s">
        <v>20</v>
      </c>
      <c r="J45" s="5" t="s">
        <v>21</v>
      </c>
      <c r="K45" s="2" t="str" cm="1">
        <f t="array" ref="K45">INDEX(stations!$B$1:$B$9974,MATCH(1,(stations!$A$1:$A$9974='master Bauer'!$R45)*(stations!$E$1:$E$9974='master Bauer'!$S45)*(stations!$B$1:$B$9974='master Bauer'!$T45),0))</f>
        <v>48s</v>
      </c>
      <c r="L45" s="5" t="s">
        <v>23</v>
      </c>
      <c r="M45" t="s">
        <v>24</v>
      </c>
      <c r="O45" t="s">
        <v>25</v>
      </c>
      <c r="P45" s="2" t="b">
        <f>ISERROR(VLOOKUP($C45,logos!$A$2:$A$10003,1,FALSE))</f>
        <v>0</v>
      </c>
      <c r="Q45" s="2" t="str">
        <f>_xlfn.IFNA(VLOOKUP($C45,logos!$A$2:$B$10003,2,FALSE),"")</f>
        <v>Kerrang! Radio.jpg</v>
      </c>
      <c r="R45" s="2" t="str">
        <f t="shared" si="2"/>
        <v>Kerrang! Radio</v>
      </c>
      <c r="S45" s="5" t="s">
        <v>5359</v>
      </c>
      <c r="T45" s="5" t="s">
        <v>1662</v>
      </c>
      <c r="U45" t="str" cm="1">
        <f t="array" ref="U45">INDEX(stations!$A$1:$A$9974,MATCH(1,(stations!$A$1:$A$9974='master Bauer'!$R45)*(stations!$E$1:$E$9974='master Bauer'!$S45)*(stations!$B$1:$B$9974='master Bauer'!$T45),0))</f>
        <v>Kerrang! Radio</v>
      </c>
      <c r="V45" t="str">
        <f t="shared" si="3"/>
        <v>"C:\Program Files\VideoLAN\VLC\vlc.exe" "http://www.radiofeeds.net/playlists/bauer.pls?station=kerrang-aac"</v>
      </c>
    </row>
    <row r="46" spans="1:22" x14ac:dyDescent="0.55000000000000004">
      <c r="A46">
        <v>547</v>
      </c>
      <c r="B46" s="2" t="str" cm="1">
        <f t="array" ref="B46">INDEX(stations!$C$1:$C$9974,MATCH(1,(stations!$A$1:$A$9974='master Bauer'!$R46)*(stations!$E$1:$E$9974='master Bauer'!$S46)*(stations!$B$1:$B$9974='master Bauer'!$T46),0))</f>
        <v>http://www.radiofeeds.net/playlists/bauer.pls?station=kissnational-aac</v>
      </c>
      <c r="C46" s="5" t="s">
        <v>2763</v>
      </c>
      <c r="D46" t="s">
        <v>17</v>
      </c>
      <c r="E46" t="s">
        <v>18</v>
      </c>
      <c r="G46" s="2" t="str">
        <f>_xlfn.IFNA(VLOOKUP($C46,logos!$A$2:$D$1025,4,FALSE),"")</f>
        <v>Bauer Media</v>
      </c>
      <c r="H46" s="5" t="s">
        <v>19</v>
      </c>
      <c r="I46" s="5" t="s">
        <v>20</v>
      </c>
      <c r="J46" s="5" t="s">
        <v>21</v>
      </c>
      <c r="K46" s="2" t="str" cm="1">
        <f t="array" ref="K46">INDEX(stations!$B$1:$B$9974,MATCH(1,(stations!$A$1:$A$9974='master Bauer'!$R46)*(stations!$E$1:$E$9974='master Bauer'!$S46)*(stations!$B$1:$B$9974='master Bauer'!$T46),0))</f>
        <v>48s</v>
      </c>
      <c r="L46" s="5" t="s">
        <v>23</v>
      </c>
      <c r="M46" t="s">
        <v>24</v>
      </c>
      <c r="O46" t="s">
        <v>25</v>
      </c>
      <c r="P46" s="2" t="b">
        <f>ISERROR(VLOOKUP($C46,logos!$A$2:$A$10003,1,FALSE))</f>
        <v>0</v>
      </c>
      <c r="Q46" s="2" t="str">
        <f>_xlfn.IFNA(VLOOKUP($C46,logos!$A$2:$B$10003,2,FALSE),"")</f>
        <v>KISS (UK).jpg</v>
      </c>
      <c r="R46" s="2" t="str">
        <f t="shared" si="2"/>
        <v>KISS (UK)</v>
      </c>
      <c r="S46" s="5" t="s">
        <v>5359</v>
      </c>
      <c r="T46" s="5" t="s">
        <v>1662</v>
      </c>
      <c r="U46" t="str" cm="1">
        <f t="array" ref="U46">INDEX(stations!$A$1:$A$9974,MATCH(1,(stations!$A$1:$A$9974='master Bauer'!$R46)*(stations!$E$1:$E$9974='master Bauer'!$S46)*(stations!$B$1:$B$9974='master Bauer'!$T46),0))</f>
        <v>KISS (UK)</v>
      </c>
      <c r="V46" t="str">
        <f t="shared" si="3"/>
        <v>"C:\Program Files\VideoLAN\VLC\vlc.exe" "http://www.radiofeeds.net/playlists/bauer.pls?station=kissnational-aac"</v>
      </c>
    </row>
    <row r="47" spans="1:22" x14ac:dyDescent="0.55000000000000004">
      <c r="A47">
        <v>548</v>
      </c>
      <c r="B47" s="2" t="str" cm="1">
        <f t="array" ref="B47">INDEX(stations!$C$1:$C$9974,MATCH(1,(stations!$A$1:$A$9974='master Bauer'!$R47)*(stations!$E$1:$E$9974='master Bauer'!$S47)*(stations!$B$1:$B$9974='master Bauer'!$T47),0))</f>
        <v>http://www.radiofeeds.net/playlists/bauer.pls?station=kissfresh-aac</v>
      </c>
      <c r="C47" s="5" t="s">
        <v>749</v>
      </c>
      <c r="D47" t="s">
        <v>17</v>
      </c>
      <c r="E47" t="s">
        <v>18</v>
      </c>
      <c r="G47" s="2" t="str">
        <f>_xlfn.IFNA(VLOOKUP($C47,logos!$A$2:$D$1025,4,FALSE),"")</f>
        <v>Bauer Media</v>
      </c>
      <c r="H47" s="5" t="s">
        <v>19</v>
      </c>
      <c r="I47" s="5" t="s">
        <v>20</v>
      </c>
      <c r="J47" s="5" t="s">
        <v>21</v>
      </c>
      <c r="K47" s="2" t="str" cm="1">
        <f t="array" ref="K47">INDEX(stations!$B$1:$B$9974,MATCH(1,(stations!$A$1:$A$9974='master Bauer'!$R47)*(stations!$E$1:$E$9974='master Bauer'!$S47)*(stations!$B$1:$B$9974='master Bauer'!$T47),0))</f>
        <v>48s</v>
      </c>
      <c r="L47" s="5" t="s">
        <v>23</v>
      </c>
      <c r="M47" t="s">
        <v>24</v>
      </c>
      <c r="O47" t="s">
        <v>25</v>
      </c>
      <c r="P47" s="2" t="b">
        <f>ISERROR(VLOOKUP($C47,logos!$A$2:$A$10003,1,FALSE))</f>
        <v>0</v>
      </c>
      <c r="Q47" s="2" t="str">
        <f>_xlfn.IFNA(VLOOKUP($C47,logos!$A$2:$B$10003,2,FALSE),"")</f>
        <v>KISS FRESH.png</v>
      </c>
      <c r="R47" s="2" t="str">
        <f t="shared" si="2"/>
        <v>KISS FRESH</v>
      </c>
      <c r="S47" s="5" t="s">
        <v>5359</v>
      </c>
      <c r="T47" s="5" t="s">
        <v>1662</v>
      </c>
      <c r="U47" t="str" cm="1">
        <f t="array" ref="U47">INDEX(stations!$A$1:$A$9974,MATCH(1,(stations!$A$1:$A$9974='master Bauer'!$R47)*(stations!$E$1:$E$9974='master Bauer'!$S47)*(stations!$B$1:$B$9974='master Bauer'!$T47),0))</f>
        <v>KISS FRESH</v>
      </c>
      <c r="V47" t="str">
        <f t="shared" si="3"/>
        <v>"C:\Program Files\VideoLAN\VLC\vlc.exe" "http://www.radiofeeds.net/playlists/bauer.pls?station=kissfresh-aac"</v>
      </c>
    </row>
    <row r="48" spans="1:22" x14ac:dyDescent="0.55000000000000004">
      <c r="A48">
        <v>549</v>
      </c>
      <c r="B48" s="2" t="str" cm="1">
        <f t="array" ref="B48">INDEX(stations!$C$1:$C$9974,MATCH(1,(stations!$A$1:$A$9974='master Bauer'!$R48)*(stations!$E$1:$E$9974='master Bauer'!$S48)*(stations!$B$1:$B$9974='master Bauer'!$T48),0))</f>
        <v>http://www.radiofeeds.net/playlists/bauer.pls?station=kisstory-aac</v>
      </c>
      <c r="C48" s="5" t="s">
        <v>751</v>
      </c>
      <c r="D48" t="s">
        <v>17</v>
      </c>
      <c r="E48" t="s">
        <v>18</v>
      </c>
      <c r="G48" s="2" t="str">
        <f>_xlfn.IFNA(VLOOKUP($C48,logos!$A$2:$D$1025,4,FALSE),"")</f>
        <v>Bauer Media</v>
      </c>
      <c r="H48" s="5" t="s">
        <v>19</v>
      </c>
      <c r="I48" s="5" t="s">
        <v>20</v>
      </c>
      <c r="J48" s="5" t="s">
        <v>21</v>
      </c>
      <c r="K48" s="2" t="str" cm="1">
        <f t="array" ref="K48">INDEX(stations!$B$1:$B$9974,MATCH(1,(stations!$A$1:$A$9974='master Bauer'!$R48)*(stations!$E$1:$E$9974='master Bauer'!$S48)*(stations!$B$1:$B$9974='master Bauer'!$T48),0))</f>
        <v>48s</v>
      </c>
      <c r="L48" s="5" t="s">
        <v>23</v>
      </c>
      <c r="M48" t="s">
        <v>24</v>
      </c>
      <c r="O48" t="s">
        <v>25</v>
      </c>
      <c r="P48" s="2" t="b">
        <f>ISERROR(VLOOKUP($C48,logos!$A$2:$A$10003,1,FALSE))</f>
        <v>0</v>
      </c>
      <c r="Q48" s="2" t="str">
        <f>_xlfn.IFNA(VLOOKUP($C48,logos!$A$2:$B$10003,2,FALSE),"")</f>
        <v>KISSTORY.jpg</v>
      </c>
      <c r="R48" s="2" t="str">
        <f t="shared" si="2"/>
        <v>KISSTORY</v>
      </c>
      <c r="S48" s="5" t="s">
        <v>5359</v>
      </c>
      <c r="T48" s="5" t="s">
        <v>1662</v>
      </c>
      <c r="U48" t="str" cm="1">
        <f t="array" ref="U48">INDEX(stations!$A$1:$A$9974,MATCH(1,(stations!$A$1:$A$9974='master Bauer'!$R48)*(stations!$E$1:$E$9974='master Bauer'!$S48)*(stations!$B$1:$B$9974='master Bauer'!$T48),0))</f>
        <v>KISSTORY</v>
      </c>
      <c r="V48" t="str">
        <f t="shared" si="3"/>
        <v>"C:\Program Files\VideoLAN\VLC\vlc.exe" "http://www.radiofeeds.net/playlists/bauer.pls?station=kisstory-aac"</v>
      </c>
    </row>
    <row r="49" spans="1:22" x14ac:dyDescent="0.55000000000000004">
      <c r="A49">
        <v>553</v>
      </c>
      <c r="B49" s="2" t="str" cm="1">
        <f t="array" ref="B49">INDEX(stations!$C$1:$C$9974,MATCH(1,(stations!$A$1:$A$9974='master Bauer'!$R49)*(stations!$E$1:$E$9974='master Bauer'!$S49)*(stations!$B$1:$B$9974='master Bauer'!$T49),0))</f>
        <v>http://www.radiofeeds.net/playlists/bauer.pls?station=magicnational-aac</v>
      </c>
      <c r="C49" s="5" t="s">
        <v>2774</v>
      </c>
      <c r="D49" t="s">
        <v>17</v>
      </c>
      <c r="E49" t="s">
        <v>18</v>
      </c>
      <c r="G49" s="2" t="str">
        <f>_xlfn.IFNA(VLOOKUP($C49,logos!$A$2:$D$1025,4,FALSE),"")</f>
        <v>Bauer Media</v>
      </c>
      <c r="H49" s="5" t="s">
        <v>19</v>
      </c>
      <c r="I49" s="5" t="s">
        <v>20</v>
      </c>
      <c r="J49" s="5" t="s">
        <v>21</v>
      </c>
      <c r="K49" s="2" t="str" cm="1">
        <f t="array" ref="K49">INDEX(stations!$B$1:$B$9974,MATCH(1,(stations!$A$1:$A$9974='master Bauer'!$R49)*(stations!$E$1:$E$9974='master Bauer'!$S49)*(stations!$B$1:$B$9974='master Bauer'!$T49),0))</f>
        <v>48s</v>
      </c>
      <c r="L49" s="5" t="s">
        <v>23</v>
      </c>
      <c r="M49" t="s">
        <v>24</v>
      </c>
      <c r="O49" t="s">
        <v>25</v>
      </c>
      <c r="P49" s="2" t="b">
        <f>ISERROR(VLOOKUP($C49,logos!$A$2:$A$10003,1,FALSE))</f>
        <v>0</v>
      </c>
      <c r="Q49" s="2" t="str">
        <f>_xlfn.IFNA(VLOOKUP($C49,logos!$A$2:$B$10003,2,FALSE),"")</f>
        <v>Magic (UK).jpg</v>
      </c>
      <c r="R49" s="2" t="str">
        <f t="shared" si="2"/>
        <v>Magic (UK)</v>
      </c>
      <c r="S49" s="5" t="s">
        <v>5359</v>
      </c>
      <c r="T49" s="5" t="s">
        <v>1662</v>
      </c>
      <c r="U49" t="str" cm="1">
        <f t="array" ref="U49">INDEX(stations!$A$1:$A$9974,MATCH(1,(stations!$A$1:$A$9974='master Bauer'!$R49)*(stations!$E$1:$E$9974='master Bauer'!$S49)*(stations!$B$1:$B$9974='master Bauer'!$T49),0))</f>
        <v>Magic (UK)</v>
      </c>
      <c r="V49" t="str">
        <f t="shared" si="3"/>
        <v>"C:\Program Files\VideoLAN\VLC\vlc.exe" "http://www.radiofeeds.net/playlists/bauer.pls?station=magicnational-aac"</v>
      </c>
    </row>
    <row r="50" spans="1:22" x14ac:dyDescent="0.55000000000000004">
      <c r="A50">
        <v>554</v>
      </c>
      <c r="B50" s="2" t="str" cm="1">
        <f t="array" ref="B50">INDEX(stations!$C$1:$C$9974,MATCH(1,(stations!$A$1:$A$9974='master Bauer'!$R50)*(stations!$E$1:$E$9974='master Bauer'!$S50)*(stations!$B$1:$B$9974='master Bauer'!$T50),0))</f>
        <v>http://www.radiofeeds.net/playlists/bauer.pls?station=magicmusicals-aac</v>
      </c>
      <c r="C50" s="5" t="s">
        <v>809</v>
      </c>
      <c r="D50" t="s">
        <v>17</v>
      </c>
      <c r="E50" t="s">
        <v>18</v>
      </c>
      <c r="G50" s="2" t="str">
        <f>_xlfn.IFNA(VLOOKUP($C50,logos!$A$2:$D$1025,4,FALSE),"")</f>
        <v>Bauer Media</v>
      </c>
      <c r="H50" s="5" t="s">
        <v>19</v>
      </c>
      <c r="I50" s="5" t="s">
        <v>20</v>
      </c>
      <c r="J50" s="5" t="s">
        <v>21</v>
      </c>
      <c r="K50" s="2" t="str" cm="1">
        <f t="array" ref="K50">INDEX(stations!$B$1:$B$9974,MATCH(1,(stations!$A$1:$A$9974='master Bauer'!$R50)*(stations!$E$1:$E$9974='master Bauer'!$S50)*(stations!$B$1:$B$9974='master Bauer'!$T50),0))</f>
        <v>48s</v>
      </c>
      <c r="L50" s="5" t="s">
        <v>23</v>
      </c>
      <c r="M50" t="s">
        <v>24</v>
      </c>
      <c r="O50" t="s">
        <v>25</v>
      </c>
      <c r="P50" s="2" t="b">
        <f>ISERROR(VLOOKUP($C50,logos!$A$2:$A$10003,1,FALSE))</f>
        <v>0</v>
      </c>
      <c r="Q50" s="2" t="str">
        <f>_xlfn.IFNA(VLOOKUP($C50,logos!$A$2:$B$10003,2,FALSE),"")</f>
        <v>Magic at the Musicals.jpg</v>
      </c>
      <c r="R50" s="2" t="str">
        <f t="shared" si="2"/>
        <v>Magic at the Musicals</v>
      </c>
      <c r="S50" s="5" t="s">
        <v>5359</v>
      </c>
      <c r="T50" s="5" t="s">
        <v>1662</v>
      </c>
      <c r="U50" t="str" cm="1">
        <f t="array" ref="U50">INDEX(stations!$A$1:$A$9974,MATCH(1,(stations!$A$1:$A$9974='master Bauer'!$R50)*(stations!$E$1:$E$9974='master Bauer'!$S50)*(stations!$B$1:$B$9974='master Bauer'!$T50),0))</f>
        <v>Magic at the Musicals</v>
      </c>
      <c r="V50" t="str">
        <f t="shared" si="3"/>
        <v>"C:\Program Files\VideoLAN\VLC\vlc.exe" "http://www.radiofeeds.net/playlists/bauer.pls?station=magicmusicals-aac"</v>
      </c>
    </row>
    <row r="51" spans="1:22" x14ac:dyDescent="0.55000000000000004">
      <c r="A51">
        <v>555</v>
      </c>
      <c r="B51" s="2" t="str" cm="1">
        <f t="array" ref="B51">INDEX(stations!$C$1:$C$9974,MATCH(1,(stations!$A$1:$A$9974='master Bauer'!$R51)*(stations!$E$1:$E$9974='master Bauer'!$S51)*(stations!$B$1:$B$9974='master Bauer'!$T51),0))</f>
        <v>http://www.radiofeeds.net/playlists/bauer.pls?station=magicchilled-aac</v>
      </c>
      <c r="C51" s="5" t="s">
        <v>811</v>
      </c>
      <c r="D51" t="s">
        <v>17</v>
      </c>
      <c r="E51" t="s">
        <v>18</v>
      </c>
      <c r="G51" s="2" t="str">
        <f>_xlfn.IFNA(VLOOKUP($C51,logos!$A$2:$D$1025,4,FALSE),"")</f>
        <v>Bauer Media</v>
      </c>
      <c r="H51" s="5" t="s">
        <v>19</v>
      </c>
      <c r="I51" s="5" t="s">
        <v>20</v>
      </c>
      <c r="J51" s="5" t="s">
        <v>21</v>
      </c>
      <c r="K51" s="2" t="str" cm="1">
        <f t="array" ref="K51">INDEX(stations!$B$1:$B$9974,MATCH(1,(stations!$A$1:$A$9974='master Bauer'!$R51)*(stations!$E$1:$E$9974='master Bauer'!$S51)*(stations!$B$1:$B$9974='master Bauer'!$T51),0))</f>
        <v>48s</v>
      </c>
      <c r="L51" s="5" t="s">
        <v>23</v>
      </c>
      <c r="M51" t="s">
        <v>24</v>
      </c>
      <c r="O51" t="s">
        <v>25</v>
      </c>
      <c r="P51" s="2" t="b">
        <f>ISERROR(VLOOKUP($C51,logos!$A$2:$A$10003,1,FALSE))</f>
        <v>0</v>
      </c>
      <c r="Q51" s="2" t="str">
        <f>_xlfn.IFNA(VLOOKUP($C51,logos!$A$2:$B$10003,2,FALSE),"")</f>
        <v>Magic Chilled.jpg</v>
      </c>
      <c r="R51" s="2" t="str">
        <f t="shared" si="2"/>
        <v>Magic Chilled</v>
      </c>
      <c r="S51" s="5" t="s">
        <v>5359</v>
      </c>
      <c r="T51" s="5" t="s">
        <v>1662</v>
      </c>
      <c r="U51" t="str" cm="1">
        <f t="array" ref="U51">INDEX(stations!$A$1:$A$9974,MATCH(1,(stations!$A$1:$A$9974='master Bauer'!$R51)*(stations!$E$1:$E$9974='master Bauer'!$S51)*(stations!$B$1:$B$9974='master Bauer'!$T51),0))</f>
        <v>Magic Chilled</v>
      </c>
      <c r="V51" t="str">
        <f t="shared" si="3"/>
        <v>"C:\Program Files\VideoLAN\VLC\vlc.exe" "http://www.radiofeeds.net/playlists/bauer.pls?station=magicchilled-aac"</v>
      </c>
    </row>
    <row r="52" spans="1:22" x14ac:dyDescent="0.55000000000000004">
      <c r="A52">
        <v>557</v>
      </c>
      <c r="B52" s="2" t="str" cm="1">
        <f t="array" ref="B52">INDEX(stations!$C$1:$C$9974,MATCH(1,(stations!$A$1:$A$9974='master Bauer'!$R52)*(stations!$E$1:$E$9974='master Bauer'!$S52)*(stations!$B$1:$B$9974='master Bauer'!$T52),0))</f>
        <v>http://www.radiofeeds.net/playlists/bauer.pls?station=planetrock-aac</v>
      </c>
      <c r="C52" s="5" t="s">
        <v>950</v>
      </c>
      <c r="D52" t="s">
        <v>17</v>
      </c>
      <c r="E52" t="s">
        <v>18</v>
      </c>
      <c r="G52" s="2" t="str">
        <f>_xlfn.IFNA(VLOOKUP($C52,logos!$A$2:$D$1025,4,FALSE),"")</f>
        <v>Bauer Media</v>
      </c>
      <c r="H52" s="5" t="s">
        <v>19</v>
      </c>
      <c r="I52" s="5" t="s">
        <v>20</v>
      </c>
      <c r="J52" s="5" t="s">
        <v>21</v>
      </c>
      <c r="K52" s="2" t="str" cm="1">
        <f t="array" ref="K52">INDEX(stations!$B$1:$B$9974,MATCH(1,(stations!$A$1:$A$9974='master Bauer'!$R52)*(stations!$E$1:$E$9974='master Bauer'!$S52)*(stations!$B$1:$B$9974='master Bauer'!$T52),0))</f>
        <v>48s</v>
      </c>
      <c r="L52" s="5" t="s">
        <v>23</v>
      </c>
      <c r="M52" t="s">
        <v>24</v>
      </c>
      <c r="O52" t="s">
        <v>25</v>
      </c>
      <c r="P52" s="2" t="b">
        <f>ISERROR(VLOOKUP($C52,logos!$A$2:$A$10003,1,FALSE))</f>
        <v>0</v>
      </c>
      <c r="Q52" s="2" t="str">
        <f>_xlfn.IFNA(VLOOKUP($C52,logos!$A$2:$B$10003,2,FALSE),"")</f>
        <v>Planet Rock.jpg</v>
      </c>
      <c r="R52" s="2" t="str">
        <f t="shared" si="2"/>
        <v>Planet Rock</v>
      </c>
      <c r="S52" s="5" t="s">
        <v>5359</v>
      </c>
      <c r="T52" s="5" t="s">
        <v>1662</v>
      </c>
      <c r="U52" t="str" cm="1">
        <f t="array" ref="U52">INDEX(stations!$A$1:$A$9974,MATCH(1,(stations!$A$1:$A$9974='master Bauer'!$R52)*(stations!$E$1:$E$9974='master Bauer'!$S52)*(stations!$B$1:$B$9974='master Bauer'!$T52),0))</f>
        <v>Planet Rock</v>
      </c>
      <c r="V52" t="str">
        <f t="shared" si="3"/>
        <v>"C:\Program Files\VideoLAN\VLC\vlc.exe" "http://www.radiofeeds.net/playlists/bauer.pls?station=planetrock-aac"</v>
      </c>
    </row>
    <row r="53" spans="1:22" x14ac:dyDescent="0.55000000000000004">
      <c r="A53">
        <v>559</v>
      </c>
      <c r="B53" s="2" t="str" cm="1">
        <f t="array" ref="B53">INDEX(stations!$C$1:$C$9974,MATCH(1,(stations!$A$1:$A$9974='master Bauer'!$R53)*(stations!$E$1:$E$9974='master Bauer'!$S53)*(stations!$B$1:$B$9974='master Bauer'!$T53),0))</f>
        <v>http://edge-bauerall-01-gos2.sharp-stream.com/rock.mp3</v>
      </c>
      <c r="C53" s="5" t="s">
        <v>1082</v>
      </c>
      <c r="D53" t="s">
        <v>17</v>
      </c>
      <c r="E53" t="s">
        <v>18</v>
      </c>
      <c r="G53" s="2" t="str">
        <f>_xlfn.IFNA(VLOOKUP($C53,logos!$A$2:$D$1025,4,FALSE),"")</f>
        <v>Bauer Media</v>
      </c>
      <c r="H53" s="5" t="s">
        <v>19</v>
      </c>
      <c r="I53" s="5" t="s">
        <v>20</v>
      </c>
      <c r="J53" s="5" t="s">
        <v>21</v>
      </c>
      <c r="K53" s="2" t="str" cm="1">
        <f t="array" ref="K53">INDEX(stations!$B$1:$B$9974,MATCH(1,(stations!$A$1:$A$9974='master Bauer'!$R53)*(stations!$E$1:$E$9974='master Bauer'!$S53)*(stations!$B$1:$B$9974='master Bauer'!$T53),0))</f>
        <v>112s</v>
      </c>
      <c r="L53" s="5" t="s">
        <v>23</v>
      </c>
      <c r="M53" t="s">
        <v>24</v>
      </c>
      <c r="O53" t="s">
        <v>25</v>
      </c>
      <c r="P53" s="2" t="b">
        <f>ISERROR(VLOOKUP($C53,logos!$A$2:$A$10003,1,FALSE))</f>
        <v>0</v>
      </c>
      <c r="Q53" s="2" t="str">
        <f>_xlfn.IFNA(VLOOKUP($C53,logos!$A$2:$B$10003,2,FALSE),"")</f>
        <v>Rock FM.jpg</v>
      </c>
      <c r="R53" s="2" t="str">
        <f t="shared" si="2"/>
        <v>Rock FM</v>
      </c>
      <c r="S53" s="5" t="s">
        <v>23</v>
      </c>
      <c r="T53" s="5" t="s">
        <v>1692</v>
      </c>
      <c r="U53" t="str" cm="1">
        <f t="array" ref="U53">INDEX(stations!$A$1:$A$9974,MATCH(1,(stations!$A$1:$A$9974='master Bauer'!$R53)*(stations!$E$1:$E$9974='master Bauer'!$S53)*(stations!$B$1:$B$9974='master Bauer'!$T53),0))</f>
        <v>Rock FM</v>
      </c>
      <c r="V53" t="str">
        <f t="shared" si="3"/>
        <v>"C:\Program Files\VideoLAN\VLC\vlc.exe" "http://edge-bauerall-01-gos2.sharp-stream.com/rock.mp3"</v>
      </c>
    </row>
    <row r="54" spans="1:22" x14ac:dyDescent="0.55000000000000004">
      <c r="A54">
        <v>560</v>
      </c>
      <c r="B54" s="2" t="str" cm="1">
        <f t="array" ref="B54">INDEX(stations!$C$1:$C$9974,MATCH(1,(stations!$A$1:$A$9974='master Bauer'!$R54)*(stations!$E$1:$E$9974='master Bauer'!$S54)*(stations!$B$1:$B$9974='master Bauer'!$T54),0))</f>
        <v>http://www.radiofeeds.net/playlists/bauer.pls?station=scala-aac</v>
      </c>
      <c r="C54" s="5" t="s">
        <v>1104</v>
      </c>
      <c r="D54" t="s">
        <v>17</v>
      </c>
      <c r="E54" t="s">
        <v>18</v>
      </c>
      <c r="G54" s="2" t="str">
        <f>_xlfn.IFNA(VLOOKUP($C54,logos!$A$2:$D$1025,4,FALSE),"")</f>
        <v>Bauer Media</v>
      </c>
      <c r="H54" s="5" t="s">
        <v>19</v>
      </c>
      <c r="I54" s="5" t="s">
        <v>20</v>
      </c>
      <c r="J54" s="5" t="s">
        <v>21</v>
      </c>
      <c r="K54" s="2" t="str" cm="1">
        <f t="array" ref="K54">INDEX(stations!$B$1:$B$9974,MATCH(1,(stations!$A$1:$A$9974='master Bauer'!$R54)*(stations!$E$1:$E$9974='master Bauer'!$S54)*(stations!$B$1:$B$9974='master Bauer'!$T54),0))</f>
        <v>48s</v>
      </c>
      <c r="L54" s="5" t="s">
        <v>23</v>
      </c>
      <c r="M54" t="s">
        <v>24</v>
      </c>
      <c r="O54" t="s">
        <v>25</v>
      </c>
      <c r="P54" s="2" t="b">
        <f>ISERROR(VLOOKUP($C54,logos!$A$2:$A$10003,1,FALSE))</f>
        <v>0</v>
      </c>
      <c r="Q54" s="2" t="str">
        <f>_xlfn.IFNA(VLOOKUP($C54,logos!$A$2:$B$10003,2,FALSE),"")</f>
        <v>Scala Radio.jpg</v>
      </c>
      <c r="R54" s="2" t="str">
        <f t="shared" si="2"/>
        <v>Scala Radio</v>
      </c>
      <c r="S54" s="5" t="s">
        <v>5359</v>
      </c>
      <c r="T54" s="5" t="s">
        <v>1662</v>
      </c>
      <c r="U54" t="str" cm="1">
        <f t="array" ref="U54">INDEX(stations!$A$1:$A$9974,MATCH(1,(stations!$A$1:$A$9974='master Bauer'!$R54)*(stations!$E$1:$E$9974='master Bauer'!$S54)*(stations!$B$1:$B$9974='master Bauer'!$T54),0))</f>
        <v>Scala Radio</v>
      </c>
      <c r="V54" t="str">
        <f t="shared" si="3"/>
        <v>"C:\Program Files\VideoLAN\VLC\vlc.exe" "http://www.radiofeeds.net/playlists/bauer.pls?station=scala-aac"</v>
      </c>
    </row>
  </sheetData>
  <autoFilter ref="A1:U73" xr:uid="{00000000-0001-0000-0000-000000000000}"/>
  <sortState xmlns:xlrd2="http://schemas.microsoft.com/office/spreadsheetml/2017/richdata2" ref="A2:V73">
    <sortCondition ref="A1:A73"/>
  </sortState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F7581-AA19-42F0-81CD-44629B713F58}">
  <dimension ref="A1:B966"/>
  <sheetViews>
    <sheetView workbookViewId="0">
      <selection activeCell="A4" sqref="A4"/>
    </sheetView>
  </sheetViews>
  <sheetFormatPr defaultRowHeight="14.4" x14ac:dyDescent="0.55000000000000004"/>
  <cols>
    <col min="1" max="1" width="46.734375" bestFit="1" customWidth="1"/>
    <col min="2" max="2" width="123.41796875" customWidth="1"/>
  </cols>
  <sheetData>
    <row r="1" spans="1:2" x14ac:dyDescent="0.55000000000000004">
      <c r="A1" s="1" t="s">
        <v>6135</v>
      </c>
      <c r="B1" s="1" t="s">
        <v>6134</v>
      </c>
    </row>
    <row r="2" spans="1:2" x14ac:dyDescent="0.55000000000000004">
      <c r="A2" t="str">
        <f>master!U2</f>
        <v>Bay Trust Radio</v>
      </c>
      <c r="B2" t="str">
        <f>"""C:\Program Files\VideoLAN\VLC\vlc.exe"" """&amp;master!B2&amp;""""</f>
        <v>"C:\Program Files\VideoLAN\VLC\vlc.exe" "http://hydra.shoutca.st:8064/stream2"</v>
      </c>
    </row>
    <row r="3" spans="1:2" x14ac:dyDescent="0.55000000000000004">
      <c r="A3" t="str">
        <f>master!U3</f>
        <v>BBC Radio 1 (England)</v>
      </c>
      <c r="B3" t="str">
        <f>"""C:\Program Files\VideoLAN\VLC\vlc.exe"" """&amp;master!B3&amp;""""</f>
        <v>"C:\Program Files\VideoLAN\VLC\vlc.exe" "http://a.files.bbci.co.uk/media/live/manifesto/audio/simulcast/hls/uk/sbr_med/ak/bbc_radio_one.m3u8"</v>
      </c>
    </row>
    <row r="4" spans="1:2" x14ac:dyDescent="0.55000000000000004">
      <c r="A4" t="str">
        <f>master!U4</f>
        <v>BBC Radio 1Xtra</v>
      </c>
      <c r="B4" t="str">
        <f>"""C:\Program Files\VideoLAN\VLC\vlc.exe"" """&amp;master!B4&amp;""""</f>
        <v>"C:\Program Files\VideoLAN\VLC\vlc.exe" "http://a.files.bbci.co.uk/media/live/manifesto/audio/simulcast/hls/uk/sbr_med/ak/bbc_1xtra.m3u8"</v>
      </c>
    </row>
    <row r="5" spans="1:2" x14ac:dyDescent="0.55000000000000004">
      <c r="A5" t="str">
        <f>master!U5</f>
        <v>BBC Radio 2</v>
      </c>
      <c r="B5" t="str">
        <f>"""C:\Program Files\VideoLAN\VLC\vlc.exe"" """&amp;master!B5&amp;""""</f>
        <v>"C:\Program Files\VideoLAN\VLC\vlc.exe" "http://a.files.bbci.co.uk/media/live/manifesto/audio/simulcast/hls/uk/sbr_med/ak/bbc_radio_two.m3u8"</v>
      </c>
    </row>
    <row r="6" spans="1:2" x14ac:dyDescent="0.55000000000000004">
      <c r="A6" t="str">
        <f>master!U6</f>
        <v>BBC Radio 3</v>
      </c>
      <c r="B6" t="str">
        <f>"""C:\Program Files\VideoLAN\VLC\vlc.exe"" """&amp;master!B6&amp;""""</f>
        <v>"C:\Program Files\VideoLAN\VLC\vlc.exe" "http://a.files.bbci.co.uk/media/live/manifesto/audio/simulcast/hls/uk/sbr_med/ak/bbc_radio_three.m3u8"</v>
      </c>
    </row>
    <row r="7" spans="1:2" x14ac:dyDescent="0.55000000000000004">
      <c r="A7" t="str">
        <f>master!U7</f>
        <v>BBC Radio 4 (DAB)</v>
      </c>
      <c r="B7" t="str">
        <f>"""C:\Program Files\VideoLAN\VLC\vlc.exe"" """&amp;master!B7&amp;""""</f>
        <v>"C:\Program Files\VideoLAN\VLC\vlc.exe" "http://a.files.bbci.co.uk/media/live/manifesto/audio/simulcast/hls/uk/sbr_med/ak/bbc_radio_fourfm.m3u8"</v>
      </c>
    </row>
    <row r="8" spans="1:2" x14ac:dyDescent="0.55000000000000004">
      <c r="A8" t="str">
        <f>master!U8</f>
        <v>BBC Radio 4 (LW)</v>
      </c>
      <c r="B8" t="str">
        <f>"""C:\Program Files\VideoLAN\VLC\vlc.exe"" """&amp;master!B8&amp;""""</f>
        <v>"C:\Program Files\VideoLAN\VLC\vlc.exe" "http://a.files.bbci.co.uk/media/live/manifesto/audio/simulcast/hls/uk/sbr_med/ak/bbc_radio_fourlw.m3u8"</v>
      </c>
    </row>
    <row r="9" spans="1:2" x14ac:dyDescent="0.55000000000000004">
      <c r="A9" t="str">
        <f>master!U9</f>
        <v>BBC Radio 4 Extra</v>
      </c>
      <c r="B9" t="str">
        <f>"""C:\Program Files\VideoLAN\VLC\vlc.exe"" """&amp;master!B9&amp;""""</f>
        <v>"C:\Program Files\VideoLAN\VLC\vlc.exe" "http://a.files.bbci.co.uk/media/live/manifesto/audio/simulcast/hls/uk/sbr_med/ak/bbc_radio_four_extra.m3u8"</v>
      </c>
    </row>
    <row r="10" spans="1:2" x14ac:dyDescent="0.55000000000000004">
      <c r="A10" t="str">
        <f>master!U10</f>
        <v>BBC Radio 5 Live</v>
      </c>
      <c r="B10" t="str">
        <f>"""C:\Program Files\VideoLAN\VLC\vlc.exe"" """&amp;master!B10&amp;""""</f>
        <v>"C:\Program Files\VideoLAN\VLC\vlc.exe" "http://a.files.bbci.co.uk/media/live/manifesto/audio/simulcast/hls/uk/sbr_med/ak/bbc_radio_five_live.m3u8"</v>
      </c>
    </row>
    <row r="11" spans="1:2" x14ac:dyDescent="0.55000000000000004">
      <c r="A11" t="str">
        <f>master!U11</f>
        <v>BBC Radio 5 Sports Extra</v>
      </c>
      <c r="B11" t="str">
        <f>"""C:\Program Files\VideoLAN\VLC\vlc.exe"" """&amp;master!B11&amp;""""</f>
        <v>"C:\Program Files\VideoLAN\VLC\vlc.exe" "http://a.files.bbci.co.uk/media/live/manifesto/audio/simulcast/hls/uk/sbr_med/ak/bbc_radio_five_live_sports_extra.m3u8"</v>
      </c>
    </row>
    <row r="12" spans="1:2" x14ac:dyDescent="0.55000000000000004">
      <c r="A12" t="str">
        <f>master!U12</f>
        <v>BBC Radio 6 Music</v>
      </c>
      <c r="B12" t="str">
        <f>"""C:\Program Files\VideoLAN\VLC\vlc.exe"" """&amp;master!B12&amp;""""</f>
        <v>"C:\Program Files\VideoLAN\VLC\vlc.exe" "http://a.files.bbci.co.uk/media/live/manifesto/audio/simulcast/hls/uk/sbr_med/ak/bbc_6music.m3u8"</v>
      </c>
    </row>
    <row r="13" spans="1:2" x14ac:dyDescent="0.55000000000000004">
      <c r="A13" t="str">
        <f>master!U13</f>
        <v>BBC Radio Cumbria (FM)</v>
      </c>
      <c r="B13" t="str">
        <f>"""C:\Program Files\VideoLAN\VLC\vlc.exe"" """&amp;master!B13&amp;""""</f>
        <v>"C:\Program Files\VideoLAN\VLC\vlc.exe" "http://a.files.bbci.co.uk/media/live/manifesto/audio/simulcast/hls/uk/sbr_med/ak/bbc_radio_cumbria.m3u8"</v>
      </c>
    </row>
    <row r="14" spans="1:2" x14ac:dyDescent="0.55000000000000004">
      <c r="A14" t="str">
        <f>master!U14</f>
        <v>BBC Radio Lancashire</v>
      </c>
      <c r="B14" t="str">
        <f>"""C:\Program Files\VideoLAN\VLC\vlc.exe"" """&amp;master!B14&amp;""""</f>
        <v>"C:\Program Files\VideoLAN\VLC\vlc.exe" "http://a.files.bbci.co.uk/media/live/manifesto/audio/simulcast/hls/uk/sbr_med/ak/bbc_radio_lancashire.m3u8"</v>
      </c>
    </row>
    <row r="15" spans="1:2" x14ac:dyDescent="0.55000000000000004">
      <c r="A15" t="str">
        <f>master!U15</f>
        <v>BBC Radio London (FM)</v>
      </c>
      <c r="B15" t="str">
        <f>"""C:\Program Files\VideoLAN\VLC\vlc.exe"" """&amp;master!B15&amp;""""</f>
        <v>"C:\Program Files\VideoLAN\VLC\vlc.exe" "http://a.files.bbci.co.uk/media/live/manifesto/audio/simulcast/hls/uk/sbr_med/ak/bbc_london.m3u8"</v>
      </c>
    </row>
    <row r="16" spans="1:2" x14ac:dyDescent="0.55000000000000004">
      <c r="A16" t="str">
        <f>master!U16</f>
        <v>BBC Radio Manchester (DAB)</v>
      </c>
      <c r="B16" t="str">
        <f>"""C:\Program Files\VideoLAN\VLC\vlc.exe"" """&amp;master!B16&amp;""""</f>
        <v>"C:\Program Files\VideoLAN\VLC\vlc.exe" "http://a.files.bbci.co.uk/media/live/manifesto/audio/simulcast/hls/uk/sbr_med/ak/bbc_radio_manchester.m3u8"</v>
      </c>
    </row>
    <row r="17" spans="1:2" x14ac:dyDescent="0.55000000000000004">
      <c r="A17" t="str">
        <f>master!U17</f>
        <v>CandoFM</v>
      </c>
      <c r="B17" t="str">
        <f>"""C:\Program Files\VideoLAN\VLC\vlc.exe"" """&amp;master!B17&amp;""""</f>
        <v>"C:\Program Files\VideoLAN\VLC\vlc.exe" "http://149.255.59.162:8128/stream"</v>
      </c>
    </row>
    <row r="18" spans="1:2" x14ac:dyDescent="0.55000000000000004">
      <c r="A18" t="str">
        <f>master!U18</f>
        <v>Capital (UK)</v>
      </c>
      <c r="B18" t="str">
        <f>"""C:\Program Files\VideoLAN\VLC\vlc.exe"" """&amp;master!B18&amp;""""</f>
        <v>"C:\Program Files\VideoLAN\VLC\vlc.exe" "http://icecast.thisisdax.com/CapitalUK"</v>
      </c>
    </row>
    <row r="19" spans="1:2" x14ac:dyDescent="0.55000000000000004">
      <c r="A19" t="str">
        <f>master!U19</f>
        <v>Capital Dance</v>
      </c>
      <c r="B19" t="str">
        <f>"""C:\Program Files\VideoLAN\VLC\vlc.exe"" """&amp;master!B19&amp;""""</f>
        <v>"C:\Program Files\VideoLAN\VLC\vlc.exe" "http://icecast.thisisdax.com/CapitalDance"</v>
      </c>
    </row>
    <row r="20" spans="1:2" x14ac:dyDescent="0.55000000000000004">
      <c r="A20" t="str">
        <f>master!U20</f>
        <v>Capital XTRA (UK)</v>
      </c>
      <c r="B20" t="str">
        <f>"""C:\Program Files\VideoLAN\VLC\vlc.exe"" """&amp;master!B20&amp;""""</f>
        <v>"C:\Program Files\VideoLAN\VLC\vlc.exe" "http://icecast.thisisdax.com/CapitalXTRANational"</v>
      </c>
    </row>
    <row r="21" spans="1:2" x14ac:dyDescent="0.55000000000000004">
      <c r="A21" t="str">
        <f>master!U21</f>
        <v>Capital XTRA Reloaded</v>
      </c>
      <c r="B21" t="str">
        <f>"""C:\Program Files\VideoLAN\VLC\vlc.exe"" """&amp;master!B21&amp;""""</f>
        <v>"C:\Program Files\VideoLAN\VLC\vlc.exe" "http://icecast.thisisdax.com/CapitalXTRAReloaded"</v>
      </c>
    </row>
    <row r="22" spans="1:2" x14ac:dyDescent="0.55000000000000004">
      <c r="A22" t="str">
        <f>master!U22</f>
        <v>Classic FM (UK)</v>
      </c>
      <c r="B22" t="str">
        <f>"""C:\Program Files\VideoLAN\VLC\vlc.exe"" """&amp;master!B22&amp;""""</f>
        <v>"C:\Program Files\VideoLAN\VLC\vlc.exe" "http://icecast.thisisdax.com/ClassicFM"</v>
      </c>
    </row>
    <row r="23" spans="1:2" x14ac:dyDescent="0.55000000000000004">
      <c r="A23" t="str">
        <f>master!U23</f>
        <v>Forth 1</v>
      </c>
      <c r="B23" t="str">
        <f>"""C:\Program Files\VideoLAN\VLC\vlc.exe"" """&amp;master!B23&amp;""""</f>
        <v>"C:\Program Files\VideoLAN\VLC\vlc.exe" "http://edge-bauerall-01-gos2.sharp-stream.com/forth1.mp3"</v>
      </c>
    </row>
    <row r="24" spans="1:2" x14ac:dyDescent="0.55000000000000004">
      <c r="A24" t="str">
        <f>master!U24</f>
        <v>Forth 2</v>
      </c>
      <c r="B24" t="str">
        <f>"""C:\Program Files\VideoLAN\VLC\vlc.exe"" """&amp;master!B24&amp;""""</f>
        <v>"C:\Program Files\VideoLAN\VLC\vlc.exe" "http://edge-bauerall-01-gos2.sharp-stream.com/forth2.mp3"</v>
      </c>
    </row>
    <row r="25" spans="1:2" x14ac:dyDescent="0.55000000000000004">
      <c r="A25" t="str">
        <f>master!U25</f>
        <v>Gold</v>
      </c>
      <c r="B25" t="str">
        <f>"""C:\Program Files\VideoLAN\VLC\vlc.exe"" """&amp;master!B25&amp;""""</f>
        <v>"C:\Program Files\VideoLAN\VLC\vlc.exe" "http://icecast.thisisdax.com/Gold"</v>
      </c>
    </row>
    <row r="26" spans="1:2" x14ac:dyDescent="0.55000000000000004">
      <c r="A26" t="str">
        <f>master!U26</f>
        <v>Heart (North West England) (North Lancashire &amp; Cumbria)</v>
      </c>
      <c r="B26" t="str">
        <f>"""C:\Program Files\VideoLAN\VLC\vlc.exe"" """&amp;master!B26&amp;""""</f>
        <v>"C:\Program Files\VideoLAN\VLC\vlc.exe" "http://icecast.thisisdax.com/HeartNorthLancsCumbria"</v>
      </c>
    </row>
    <row r="27" spans="1:2" x14ac:dyDescent="0.55000000000000004">
      <c r="A27" t="str">
        <f>master!U27</f>
        <v>Heart (UK)</v>
      </c>
      <c r="B27" t="str">
        <f>"""C:\Program Files\VideoLAN\VLC\vlc.exe"" """&amp;master!B27&amp;""""</f>
        <v>"C:\Program Files\VideoLAN\VLC\vlc.exe" "http://icecast.thisisdax.com/HeartUK"</v>
      </c>
    </row>
    <row r="28" spans="1:2" x14ac:dyDescent="0.55000000000000004">
      <c r="A28" t="str">
        <f>master!U28</f>
        <v>Heart 00s</v>
      </c>
      <c r="B28" t="str">
        <f>"""C:\Program Files\VideoLAN\VLC\vlc.exe"" """&amp;master!B28&amp;""""</f>
        <v>"C:\Program Files\VideoLAN\VLC\vlc.exe" "http://icecast.thisisdax.com/Heart00s"</v>
      </c>
    </row>
    <row r="29" spans="1:2" x14ac:dyDescent="0.55000000000000004">
      <c r="A29" t="str">
        <f>master!U29</f>
        <v>Heart 70s</v>
      </c>
      <c r="B29" t="str">
        <f>"""C:\Program Files\VideoLAN\VLC\vlc.exe"" """&amp;master!B29&amp;""""</f>
        <v>"C:\Program Files\VideoLAN\VLC\vlc.exe" "http://icecast.thisisdax.com/Heart70s"</v>
      </c>
    </row>
    <row r="30" spans="1:2" x14ac:dyDescent="0.55000000000000004">
      <c r="A30" t="str">
        <f>master!U30</f>
        <v>Heart 80s</v>
      </c>
      <c r="B30" t="str">
        <f>"""C:\Program Files\VideoLAN\VLC\vlc.exe"" """&amp;master!B30&amp;""""</f>
        <v>"C:\Program Files\VideoLAN\VLC\vlc.exe" "http://icecast.thisisdax.com/Heart80s"</v>
      </c>
    </row>
    <row r="31" spans="1:2" x14ac:dyDescent="0.55000000000000004">
      <c r="A31" t="str">
        <f>master!U31</f>
        <v>Heart 90s</v>
      </c>
      <c r="B31" t="str">
        <f>"""C:\Program Files\VideoLAN\VLC\vlc.exe"" """&amp;master!B31&amp;""""</f>
        <v>"C:\Program Files\VideoLAN\VLC\vlc.exe" "http://icecast.thisisdax.com/Heart90s"</v>
      </c>
    </row>
    <row r="32" spans="1:2" x14ac:dyDescent="0.55000000000000004">
      <c r="A32" t="str">
        <f>master!U32</f>
        <v>Heart Dance</v>
      </c>
      <c r="B32" t="str">
        <f>"""C:\Program Files\VideoLAN\VLC\vlc.exe"" """&amp;master!B32&amp;""""</f>
        <v>"C:\Program Files\VideoLAN\VLC\vlc.exe" "http://icecast.thisisdax.com/HeartDance"</v>
      </c>
    </row>
    <row r="33" spans="1:2" x14ac:dyDescent="0.55000000000000004">
      <c r="A33" t="str">
        <f>master!U33</f>
        <v>Heart Xmas</v>
      </c>
      <c r="B33" t="str">
        <f>"""C:\Program Files\VideoLAN\VLC\vlc.exe"" """&amp;master!B33&amp;""""</f>
        <v>"C:\Program Files\VideoLAN\VLC\vlc.exe" "http://icecast.thisisdax.com/HeartXmas"</v>
      </c>
    </row>
    <row r="34" spans="1:2" x14ac:dyDescent="0.55000000000000004">
      <c r="A34" t="str">
        <f>master!U34</f>
        <v>Lake District Radio</v>
      </c>
      <c r="B34" t="str">
        <f>"""C:\Program Files\VideoLAN\VLC\vlc.exe"" """&amp;master!B34&amp;""""</f>
        <v>"C:\Program Files\VideoLAN\VLC\vlc.exe" "https://streamer.radio.co:80/sf97bc756a/listen"</v>
      </c>
    </row>
    <row r="35" spans="1:2" x14ac:dyDescent="0.55000000000000004">
      <c r="A35" t="str">
        <f>master!U35</f>
        <v>LBC (UK)</v>
      </c>
      <c r="B35" t="str">
        <f>"""C:\Program Files\VideoLAN\VLC\vlc.exe"" """&amp;master!B35&amp;""""</f>
        <v>"C:\Program Files\VideoLAN\VLC\vlc.exe" "http://media-the.musicradio.com:80/LBCUK"</v>
      </c>
    </row>
    <row r="36" spans="1:2" x14ac:dyDescent="0.55000000000000004">
      <c r="A36" t="str">
        <f>master!U36</f>
        <v>LBC News (UK)</v>
      </c>
      <c r="B36" t="str">
        <f>"""C:\Program Files\VideoLAN\VLC\vlc.exe"" """&amp;master!B36&amp;""""</f>
        <v>"C:\Program Files\VideoLAN\VLC\vlc.exe" "http://media-the.musicradio.com:80/LBCNewsUK"</v>
      </c>
    </row>
    <row r="37" spans="1:2" x14ac:dyDescent="0.55000000000000004">
      <c r="A37" t="str">
        <f>master!U37</f>
        <v>Radio Paradise</v>
      </c>
      <c r="B37" t="str">
        <f>"""C:\Program Files\VideoLAN\VLC\vlc.exe"" """&amp;master!B37&amp;""""</f>
        <v>"C:\Program Files\VideoLAN\VLC\vlc.exe" "http://stream.radioparadise.com/mp3-192"</v>
      </c>
    </row>
    <row r="38" spans="1:2" x14ac:dyDescent="0.55000000000000004">
      <c r="A38" t="str">
        <f>master!U38</f>
        <v>Radio X (UK)</v>
      </c>
      <c r="B38" t="str">
        <f>"""C:\Program Files\VideoLAN\VLC\vlc.exe"" """&amp;master!B38&amp;""""</f>
        <v>"C:\Program Files\VideoLAN\VLC\vlc.exe" "http://icecast.thisisdax.com/RadioXUK"</v>
      </c>
    </row>
    <row r="39" spans="1:2" x14ac:dyDescent="0.55000000000000004">
      <c r="A39" t="str">
        <f>master!U39</f>
        <v>Rock FM</v>
      </c>
      <c r="B39" t="str">
        <f>"""C:\Program Files\VideoLAN\VLC\vlc.exe"" """&amp;master!B39&amp;""""</f>
        <v>"C:\Program Files\VideoLAN\VLC\vlc.exe" "http://edge-bauerall-01-gos2.sharp-stream.com/rock.mp3"</v>
      </c>
    </row>
    <row r="40" spans="1:2" x14ac:dyDescent="0.55000000000000004">
      <c r="A40" t="str">
        <f>master!U40</f>
        <v>Smooth Chill</v>
      </c>
      <c r="B40" t="str">
        <f>"""C:\Program Files\VideoLAN\VLC\vlc.exe"" """&amp;master!B40&amp;""""</f>
        <v>"C:\Program Files\VideoLAN\VLC\vlc.exe" "http://icecast.thisisdax.com/SmoothChill"</v>
      </c>
    </row>
    <row r="41" spans="1:2" x14ac:dyDescent="0.55000000000000004">
      <c r="A41" t="str">
        <f>master!U41</f>
        <v>Smooth Country</v>
      </c>
      <c r="B41" t="str">
        <f>"""C:\Program Files\VideoLAN\VLC\vlc.exe"" """&amp;master!B41&amp;""""</f>
        <v>"C:\Program Files\VideoLAN\VLC\vlc.exe" "http://icecast.thisisdax.com/SmoothCountry"</v>
      </c>
    </row>
    <row r="42" spans="1:2" x14ac:dyDescent="0.55000000000000004">
      <c r="A42" t="str">
        <f>master!U42</f>
        <v>Smooth Radio (Lake District)</v>
      </c>
      <c r="B42" t="str">
        <f>"""C:\Program Files\VideoLAN\VLC\vlc.exe"" """&amp;master!B42&amp;""""</f>
        <v>"C:\Program Files\VideoLAN\VLC\vlc.exe" "http://icecast.thisisdax.com/SmoothLakeDistrict"</v>
      </c>
    </row>
    <row r="43" spans="1:2" x14ac:dyDescent="0.55000000000000004">
      <c r="A43" t="str">
        <f>master!U43</f>
        <v>Smooth Radio (UK)</v>
      </c>
      <c r="B43" t="str">
        <f>"""C:\Program Files\VideoLAN\VLC\vlc.exe"" """&amp;master!B43&amp;""""</f>
        <v>"C:\Program Files\VideoLAN\VLC\vlc.exe" "http://icecast.thisisdax.com/SmoothUK"</v>
      </c>
    </row>
    <row r="44" spans="1:2" x14ac:dyDescent="0.55000000000000004">
      <c r="A44" t="str">
        <f>master!U44</f>
        <v>TalkRadio</v>
      </c>
      <c r="B44" t="str">
        <f>"""C:\Program Files\VideoLAN\VLC\vlc.exe"" """&amp;master!B44&amp;""""</f>
        <v>"C:\Program Files\VideoLAN\VLC\vlc.exe" "http://radio.talkradio.co.uk/stream-mobile?ref=rf"</v>
      </c>
    </row>
    <row r="45" spans="1:2" x14ac:dyDescent="0.55000000000000004">
      <c r="A45" t="str">
        <f>master!U45</f>
        <v>talkSPORT (UK)</v>
      </c>
      <c r="B45" t="str">
        <f>"""C:\Program Files\VideoLAN\VLC\vlc.exe"" """&amp;master!B45&amp;""""</f>
        <v>"C:\Program Files\VideoLAN\VLC\vlc.exe" "http://radio.talksport.com/stream-mobile?ref=rf"</v>
      </c>
    </row>
    <row r="46" spans="1:2" x14ac:dyDescent="0.55000000000000004">
      <c r="A46" t="str">
        <f>master!U46</f>
        <v>talkSPORT 2</v>
      </c>
      <c r="B46" t="str">
        <f>"""C:\Program Files\VideoLAN\VLC\vlc.exe"" """&amp;master!B46&amp;""""</f>
        <v>"C:\Program Files\VideoLAN\VLC\vlc.exe" "http://radio.talksport.com/stream2?ref=rf"</v>
      </c>
    </row>
    <row r="47" spans="1:2" x14ac:dyDescent="0.55000000000000004">
      <c r="A47" t="str">
        <f>master!U47</f>
        <v>Virgin Radio</v>
      </c>
      <c r="B47" t="str">
        <f>"""C:\Program Files\VideoLAN\VLC\vlc.exe"" """&amp;master!B47&amp;""""</f>
        <v>"C:\Program Files\VideoLAN\VLC\vlc.exe" "http://radio.virginradio.co.uk/stream?ref=rf"</v>
      </c>
    </row>
    <row r="48" spans="1:2" x14ac:dyDescent="0.55000000000000004">
      <c r="A48" t="str">
        <f>master!U48</f>
        <v>Virgin Radio 80s PLUS</v>
      </c>
      <c r="B48" t="str">
        <f>"""C:\Program Files\VideoLAN\VLC\vlc.exe"" """&amp;master!B48&amp;""""</f>
        <v>"C:\Program Files\VideoLAN\VLC\vlc.exe" "http://radio.virginradio.co.uk/stream-pride?ref=rf"</v>
      </c>
    </row>
    <row r="49" spans="1:2" x14ac:dyDescent="0.55000000000000004">
      <c r="A49" t="str">
        <f>master!U49</f>
        <v>Virgin Radio Anthems</v>
      </c>
      <c r="B49" t="str">
        <f>"""C:\Program Files\VideoLAN\VLC\vlc.exe"" """&amp;master!B49&amp;""""</f>
        <v>"C:\Program Files\VideoLAN\VLC\vlc.exe" "http://radio.virginradio.co.uk/stream-anthems?ref=rf"</v>
      </c>
    </row>
    <row r="50" spans="1:2" x14ac:dyDescent="0.55000000000000004">
      <c r="A50" t="str">
        <f>master!U50</f>
        <v>Virgin Radio Chilled</v>
      </c>
      <c r="B50" t="str">
        <f>"""C:\Program Files\VideoLAN\VLC\vlc.exe"" """&amp;master!B50&amp;""""</f>
        <v>"C:\Program Files\VideoLAN\VLC\vlc.exe" "http://radio.virginradio.co.uk/stream-chilled?ref=rf"</v>
      </c>
    </row>
    <row r="51" spans="1:2" x14ac:dyDescent="0.55000000000000004">
      <c r="A51" t="str">
        <f>master!U51</f>
        <v>Absolute Classic Rock</v>
      </c>
      <c r="B51" t="str">
        <f>"""C:\Program Files\VideoLAN\VLC\vlc.exe"" """&amp;master!B51&amp;""""</f>
        <v>"C:\Program Files\VideoLAN\VLC\vlc.exe" "http://edge-bauerall-01-gos2.sharp-stream.com/absoluteclassicrock.aac"</v>
      </c>
    </row>
    <row r="52" spans="1:2" x14ac:dyDescent="0.55000000000000004">
      <c r="A52" t="str">
        <f>master!U52</f>
        <v>Absolute Radio</v>
      </c>
      <c r="B52" t="str">
        <f>"""C:\Program Files\VideoLAN\VLC\vlc.exe"" """&amp;master!B52&amp;""""</f>
        <v>"C:\Program Files\VideoLAN\VLC\vlc.exe" "http://edge-bauerall-01-gos2.sharp-stream.com/absoluteradio.aac"</v>
      </c>
    </row>
    <row r="53" spans="1:2" x14ac:dyDescent="0.55000000000000004">
      <c r="A53" t="str">
        <f>master!U53</f>
        <v>Absolute Radio 00s</v>
      </c>
      <c r="B53" t="str">
        <f>"""C:\Program Files\VideoLAN\VLC\vlc.exe"" """&amp;master!B53&amp;""""</f>
        <v>"C:\Program Files\VideoLAN\VLC\vlc.exe" "http://edge-bauerall-01-gos2.sharp-stream.com/absolute00s.aac"</v>
      </c>
    </row>
    <row r="54" spans="1:2" x14ac:dyDescent="0.55000000000000004">
      <c r="A54" t="str">
        <f>master!U54</f>
        <v>Absolute Radio 60s</v>
      </c>
      <c r="B54" t="str">
        <f>"""C:\Program Files\VideoLAN\VLC\vlc.exe"" """&amp;master!B54&amp;""""</f>
        <v>"C:\Program Files\VideoLAN\VLC\vlc.exe" "http://edge-bauerall-01-gos2.sharp-stream.com/absolute60s.aac"</v>
      </c>
    </row>
    <row r="55" spans="1:2" x14ac:dyDescent="0.55000000000000004">
      <c r="A55" t="str">
        <f>master!U55</f>
        <v>Absolute Radio 70s</v>
      </c>
      <c r="B55" t="str">
        <f>"""C:\Program Files\VideoLAN\VLC\vlc.exe"" """&amp;master!B55&amp;""""</f>
        <v>"C:\Program Files\VideoLAN\VLC\vlc.exe" "http://edge-bauerall-01-gos2.sharp-stream.com/absolute70s.aac"</v>
      </c>
    </row>
    <row r="56" spans="1:2" x14ac:dyDescent="0.55000000000000004">
      <c r="A56" t="str">
        <f>master!U56</f>
        <v>Absolute Radio 80s</v>
      </c>
      <c r="B56" t="str">
        <f>"""C:\Program Files\VideoLAN\VLC\vlc.exe"" """&amp;master!B56&amp;""""</f>
        <v>"C:\Program Files\VideoLAN\VLC\vlc.exe" "http://edge-bauerall-01-gos2.sharp-stream.com/absolute80s.aac"</v>
      </c>
    </row>
    <row r="57" spans="1:2" x14ac:dyDescent="0.55000000000000004">
      <c r="A57" t="str">
        <f>master!U57</f>
        <v>Absolute Radio 90s</v>
      </c>
      <c r="B57" t="str">
        <f>"""C:\Program Files\VideoLAN\VLC\vlc.exe"" """&amp;master!B57&amp;""""</f>
        <v>"C:\Program Files\VideoLAN\VLC\vlc.exe" "http://edge-bauerall-01-gos2.sharp-stream.com/absolute90s.aac"</v>
      </c>
    </row>
    <row r="58" spans="1:2" x14ac:dyDescent="0.55000000000000004">
      <c r="A58" t="str">
        <f>master!U58</f>
        <v>Absolute Radio Country</v>
      </c>
      <c r="B58" t="str">
        <f>"""C:\Program Files\VideoLAN\VLC\vlc.exe"" """&amp;master!B58&amp;""""</f>
        <v>"C:\Program Files\VideoLAN\VLC\vlc.exe" "http://edge-bauerall-01-gos2.sharp-stream.com/countryhits.aac"</v>
      </c>
    </row>
    <row r="59" spans="1:2" x14ac:dyDescent="0.55000000000000004">
      <c r="A59" t="str">
        <f>master!U59</f>
        <v>Scala Radio</v>
      </c>
      <c r="B59" t="str">
        <f>"""C:\Program Files\VideoLAN\VLC\vlc.exe"" """&amp;master!B59&amp;""""</f>
        <v>"C:\Program Files\VideoLAN\VLC\vlc.exe" "http://edge-bauerall-01-gos2.sharp-stream.com/scala.aac"</v>
      </c>
    </row>
    <row r="60" spans="1:2" x14ac:dyDescent="0.55000000000000004">
      <c r="A60" t="str">
        <f>master!U60</f>
        <v>Magic (London)</v>
      </c>
      <c r="B60" t="str">
        <f>"""C:\Program Files\VideoLAN\VLC\vlc.exe"" """&amp;master!B60&amp;""""</f>
        <v>"C:\Program Files\VideoLAN\VLC\vlc.exe" "http://edge-bauerall-01-gos2.sharp-stream.com/magic1054.aac"</v>
      </c>
    </row>
    <row r="61" spans="1:2" x14ac:dyDescent="0.55000000000000004">
      <c r="A61" t="str">
        <f>master!U61</f>
        <v>Magic Chilled</v>
      </c>
      <c r="B61" t="str">
        <f>"""C:\Program Files\VideoLAN\VLC\vlc.exe"" """&amp;master!B61&amp;""""</f>
        <v>"C:\Program Files\VideoLAN\VLC\vlc.exe" "http://edge-bauerall-01-gos2.sharp-stream.com/magicchilled.aac"</v>
      </c>
    </row>
    <row r="62" spans="1:2" x14ac:dyDescent="0.55000000000000004">
      <c r="A62" t="str">
        <f>master!U62</f>
        <v>Magic Soul</v>
      </c>
      <c r="B62" t="str">
        <f>"""C:\Program Files\VideoLAN\VLC\vlc.exe"" """&amp;master!B62&amp;""""</f>
        <v>"C:\Program Files\VideoLAN\VLC\vlc.exe" "http://edge-bauerall-01-gos2.sharp-stream.com/magicsoul.aac"</v>
      </c>
    </row>
    <row r="63" spans="1:2" x14ac:dyDescent="0.55000000000000004">
      <c r="A63" t="str">
        <f>master!U63</f>
        <v>Mellow Magic</v>
      </c>
      <c r="B63" t="str">
        <f>"""C:\Program Files\VideoLAN\VLC\vlc.exe"" """&amp;master!B63&amp;""""</f>
        <v>"C:\Program Files\VideoLAN\VLC\vlc.exe" "http://edge-bauerall-01-gos2.sharp-stream.com/magicmellow.aac"</v>
      </c>
    </row>
    <row r="64" spans="1:2" x14ac:dyDescent="0.55000000000000004">
      <c r="A64" t="str">
        <f>master!U64</f>
        <v>heat Radio</v>
      </c>
      <c r="B64" t="str">
        <f>"""C:\Program Files\VideoLAN\VLC\vlc.exe"" """&amp;master!B64&amp;""""</f>
        <v>"C:\Program Files\VideoLAN\VLC\vlc.exe" "http://edge-bauerall-01-gos2.sharp-stream.com/heat.aac"</v>
      </c>
    </row>
    <row r="65" spans="1:2" x14ac:dyDescent="0.55000000000000004">
      <c r="A65" t="str">
        <f>master!U65</f>
        <v>Jazz FM</v>
      </c>
      <c r="B65" t="str">
        <f>"""C:\Program Files\VideoLAN\VLC\vlc.exe"" """&amp;master!B65&amp;""""</f>
        <v>"C:\Program Files\VideoLAN\VLC\vlc.exe" "http://edge-bauerall-01-gos2.sharp-stream.com/jazz.aac"</v>
      </c>
    </row>
    <row r="66" spans="1:2" x14ac:dyDescent="0.55000000000000004">
      <c r="A66" t="str">
        <f>master!U66</f>
        <v>Kerrang! Radio</v>
      </c>
      <c r="B66" t="str">
        <f>"""C:\Program Files\VideoLAN\VLC\vlc.exe"" """&amp;master!B66&amp;""""</f>
        <v>"C:\Program Files\VideoLAN\VLC\vlc.exe" "http://edge-bauerall-01-gos2.sharp-stream.com/kerrang.aac"</v>
      </c>
    </row>
    <row r="67" spans="1:2" x14ac:dyDescent="0.55000000000000004">
      <c r="A67" t="str">
        <f>master!U67</f>
        <v>KISS (UK)</v>
      </c>
      <c r="B67" t="str">
        <f>"""C:\Program Files\VideoLAN\VLC\vlc.exe"" """&amp;master!B67&amp;""""</f>
        <v>"C:\Program Files\VideoLAN\VLC\vlc.exe" "http://edge-bauerall-01-gos2.sharp-stream.com/kissnational.aac"</v>
      </c>
    </row>
    <row r="68" spans="1:2" x14ac:dyDescent="0.55000000000000004">
      <c r="A68" t="str">
        <f>master!U68</f>
        <v>KISS FRESH</v>
      </c>
      <c r="B68" t="str">
        <f>"""C:\Program Files\VideoLAN\VLC\vlc.exe"" """&amp;master!B68&amp;""""</f>
        <v>"C:\Program Files\VideoLAN\VLC\vlc.exe" "http://edge-bauerall-01-gos2.sharp-stream.com/kissfresh.aac"</v>
      </c>
    </row>
    <row r="69" spans="1:2" x14ac:dyDescent="0.55000000000000004">
      <c r="A69" t="str">
        <f>master!U69</f>
        <v>KISSTORY</v>
      </c>
      <c r="B69" t="str">
        <f>"""C:\Program Files\VideoLAN\VLC\vlc.exe"" """&amp;master!B69&amp;""""</f>
        <v>"C:\Program Files\VideoLAN\VLC\vlc.exe" "http://edge-bauerall-01-gos2.sharp-stream.com/kisstory.aac"</v>
      </c>
    </row>
    <row r="70" spans="1:2" x14ac:dyDescent="0.55000000000000004">
      <c r="A70" t="str">
        <f>master!U70</f>
        <v>Planet Rock</v>
      </c>
      <c r="B70" t="str">
        <f>"""C:\Program Files\VideoLAN\VLC\vlc.exe"" """&amp;master!B70&amp;""""</f>
        <v>"C:\Program Files\VideoLAN\VLC\vlc.exe" "http://edge-bauerall-01-gos2.sharp-stream.com/planetrock.aac"</v>
      </c>
    </row>
    <row r="71" spans="1:2" x14ac:dyDescent="0.55000000000000004">
      <c r="A71" t="str">
        <f>master!U71</f>
        <v>Greatest Hits Radio (North West) (Cumbria)</v>
      </c>
      <c r="B71" t="str">
        <f>"""C:\Program Files\VideoLAN\VLC\vlc.exe"" """&amp;master!B71&amp;""""</f>
        <v>"C:\Program Files\VideoLAN\VLC\vlc.exe" "http://edge-bauerall-01-gos2.sharp-stream.com/net2cumbria.aac"</v>
      </c>
    </row>
    <row r="72" spans="1:2" x14ac:dyDescent="0.55000000000000004">
      <c r="A72" t="str">
        <f>master!U72</f>
        <v>Hits Radio (Manchester)</v>
      </c>
      <c r="B72" t="str">
        <f>"""C:\Program Files\VideoLAN\VLC\vlc.exe"" """&amp;master!B72&amp;""""</f>
        <v>"C:\Program Files\VideoLAN\VLC\vlc.exe" "http://edge-bauerall-01-gos2.sharp-stream.com/key.aac"</v>
      </c>
    </row>
    <row r="73" spans="1:2" x14ac:dyDescent="0.55000000000000004">
      <c r="A73" t="str">
        <f>master!U73</f>
        <v>Hits Radio (UK)</v>
      </c>
      <c r="B73" t="str">
        <f>"""C:\Program Files\VideoLAN\VLC\vlc.exe"" """&amp;master!B73&amp;""""</f>
        <v>"C:\Program Files\VideoLAN\VLC\vlc.exe" "http://edge-bauerall-01-gos2.sharp-stream.com/hits.aac"</v>
      </c>
    </row>
    <row r="74" spans="1:2" x14ac:dyDescent="0.55000000000000004">
      <c r="A74" t="str">
        <f>master!U74</f>
        <v>Hits Radio Pride</v>
      </c>
      <c r="B74" t="str">
        <f>"""C:\Program Files\VideoLAN\VLC\vlc.exe"" """&amp;master!B74&amp;""""</f>
        <v>"C:\Program Files\VideoLAN\VLC\vlc.exe" "http://edge-bauerall-01-gos2.sharp-stream.com/hitsradiopride.aac"</v>
      </c>
    </row>
    <row r="75" spans="1:2" x14ac:dyDescent="0.55000000000000004">
      <c r="A75" t="str">
        <f>master!U75</f>
        <v>BBC Radio 1 Dance</v>
      </c>
      <c r="B75" t="str">
        <f>"""C:\Program Files\VideoLAN\VLC\vlc.exe"" """&amp;master!B75&amp;""""</f>
        <v>"C:\Program Files\VideoLAN\VLC\vlc.exe" "http://a.files.bbci.co.uk/media/live/manifesto/audio/simulcast/hls/uk/sbr_med/ak/bbc_radio_one_dance.m3u8"</v>
      </c>
    </row>
    <row r="76" spans="1:2" x14ac:dyDescent="0.55000000000000004">
      <c r="A76" t="str">
        <f>master!U76</f>
        <v>BBC Radio 1 Relax</v>
      </c>
      <c r="B76" t="str">
        <f>"""C:\Program Files\VideoLAN\VLC\vlc.exe"" """&amp;master!B76&amp;""""</f>
        <v>"C:\Program Files\VideoLAN\VLC\vlc.exe" "http://a.files.bbci.co.uk/media/live/manifesto/audio/simulcast/hls/uk/sbr_med/ak/bbc_radio_one_relax.m3u8"</v>
      </c>
    </row>
    <row r="77" spans="1:2" x14ac:dyDescent="0.55000000000000004">
      <c r="A77" t="str">
        <f>master!U77</f>
        <v>Boom Radio</v>
      </c>
      <c r="B77" t="str">
        <f>"""C:\Program Files\VideoLAN\VLC\vlc.exe"" """&amp;master!B77&amp;""""</f>
        <v>"C:\Program Files\VideoLAN\VLC\vlc.exe" "http://listen-boomradio.sharp-stream.com/65_boom_radio_live_48?ref=RF"</v>
      </c>
    </row>
    <row r="78" spans="1:2" x14ac:dyDescent="0.55000000000000004">
      <c r="A78" t="str">
        <f>master!U78</f>
        <v>Boom Light</v>
      </c>
      <c r="B78" t="str">
        <f>"""C:\Program Files\VideoLAN\VLC\vlc.exe"" """&amp;master!B78&amp;""""</f>
        <v>"C:\Program Files\VideoLAN\VLC\vlc.exe" "http://listen-boomradio.sharp-stream.com/65_boom_light_48_aac?ref=RF"</v>
      </c>
    </row>
    <row r="79" spans="1:2" x14ac:dyDescent="0.55000000000000004">
      <c r="A79" t="str">
        <f>master!U79</f>
        <v>CFM (East)</v>
      </c>
      <c r="B79" t="str">
        <f>"""C:\Program Files\VideoLAN\VLC\vlc.exe"" """&amp;master!B79&amp;""""</f>
        <v>"C:\Program Files\VideoLAN\VLC\vlc.exe" "http://edge-bauerall-01-gos2.sharp-stream.com/cfm.aac"</v>
      </c>
    </row>
    <row r="80" spans="1:2" x14ac:dyDescent="0.55000000000000004">
      <c r="A80" t="str">
        <f>master!U80</f>
        <v>Clyde 1</v>
      </c>
      <c r="B80" t="str">
        <f>"""C:\Program Files\VideoLAN\VLC\vlc.exe"" """&amp;master!B80&amp;""""</f>
        <v>"C:\Program Files\VideoLAN\VLC\vlc.exe" "http://edge-bauerall-01-gos2.sharp-stream.com/clyde1.aac"</v>
      </c>
    </row>
    <row r="81" spans="1:2" x14ac:dyDescent="0.55000000000000004">
      <c r="A81" t="str">
        <f>master!U81</f>
        <v>Clyde 2</v>
      </c>
      <c r="B81" t="str">
        <f>"""C:\Program Files\VideoLAN\VLC\vlc.exe"" """&amp;master!B81&amp;""""</f>
        <v>"C:\Program Files\VideoLAN\VLC\vlc.exe" "http://edge-bauerall-01-gos2.sharp-stream.com/clyde2.aac"</v>
      </c>
    </row>
    <row r="82" spans="1:2" x14ac:dyDescent="0.55000000000000004">
      <c r="A82" t="str">
        <f>master!U82</f>
        <v>Cool FM</v>
      </c>
      <c r="B82" t="str">
        <f>"""C:\Program Files\VideoLAN\VLC\vlc.exe"" """&amp;master!B82&amp;""""</f>
        <v>"C:\Program Files\VideoLAN\VLC\vlc.exe" "http://edge-bauerall-01-gos2.sharp-stream.com/coolfm.aac"</v>
      </c>
    </row>
    <row r="83" spans="1:2" x14ac:dyDescent="0.55000000000000004">
      <c r="A83" t="str">
        <f>master!U83</f>
        <v>Downtown Country</v>
      </c>
      <c r="B83" t="str">
        <f>"""C:\Program Files\VideoLAN\VLC\vlc.exe"" """&amp;master!B83&amp;""""</f>
        <v>"C:\Program Files\VideoLAN\VLC\vlc.exe" "http://edge-bauerall-01-gos2.sharp-stream.com/downtowncountry.aac"</v>
      </c>
    </row>
    <row r="84" spans="1:2" x14ac:dyDescent="0.55000000000000004">
      <c r="A84" t="str">
        <f>master!U84</f>
        <v>Downtown Radio</v>
      </c>
      <c r="B84" t="str">
        <f>"""C:\Program Files\VideoLAN\VLC\vlc.exe"" """&amp;master!B84&amp;""""</f>
        <v>"C:\Program Files\VideoLAN\VLC\vlc.exe" "http://edge-bauerall-01-gos2.sharp-stream.com/downtown.aac"</v>
      </c>
    </row>
    <row r="85" spans="1:2" x14ac:dyDescent="0.55000000000000004">
      <c r="A85" t="str">
        <f>master!U85</f>
        <v>Free Radio (Birmingham)</v>
      </c>
      <c r="B85" t="str">
        <f>"""C:\Program Files\VideoLAN\VLC\vlc.exe"" """&amp;master!B85&amp;""""</f>
        <v>"C:\Program Files\VideoLAN\VLC\vlc.exe" "http://edge-bauerall-01-gos2.sharp-stream.com/freebirmingham.aac"</v>
      </c>
    </row>
    <row r="86" spans="1:2" x14ac:dyDescent="0.55000000000000004">
      <c r="A86" t="str">
        <f>master!U86</f>
        <v>Gem</v>
      </c>
      <c r="B86" t="str">
        <f>"""C:\Program Files\VideoLAN\VLC\vlc.exe"" """&amp;master!B86&amp;""""</f>
        <v>"C:\Program Files\VideoLAN\VLC\vlc.exe" "http://edge-bauerall-01-gos2.sharp-stream.com/gem106.aac"</v>
      </c>
    </row>
    <row r="87" spans="1:2" x14ac:dyDescent="0.55000000000000004">
      <c r="A87" t="str">
        <f>master!U87</f>
        <v>Hallam FM</v>
      </c>
      <c r="B87" t="str">
        <f>"""C:\Program Files\VideoLAN\VLC\vlc.exe"" """&amp;master!B87&amp;""""</f>
        <v>"C:\Program Files\VideoLAN\VLC\vlc.exe" "http://edge-bauerall-01-gos2.sharp-stream.com/hallam.aac"</v>
      </c>
    </row>
    <row r="88" spans="1:2" x14ac:dyDescent="0.55000000000000004">
      <c r="A88" t="str">
        <f>master!U88</f>
        <v>Lincs FM</v>
      </c>
      <c r="B88" t="str">
        <f>"""C:\Program Files\VideoLAN\VLC\vlc.exe"" """&amp;master!B88&amp;""""</f>
        <v>"C:\Program Files\VideoLAN\VLC\vlc.exe" "http://edge-bauerall-01-gos2.sharp-stream.com/net1lincoln.aac"</v>
      </c>
    </row>
    <row r="89" spans="1:2" x14ac:dyDescent="0.55000000000000004">
      <c r="A89" t="str">
        <f>master!U89</f>
        <v>Metro Radio</v>
      </c>
      <c r="B89" t="str">
        <f>"""C:\Program Files\VideoLAN\VLC\vlc.exe"" """&amp;master!B89&amp;""""</f>
        <v>"C:\Program Files\VideoLAN\VLC\vlc.exe" "http://edge-bauerall-01-gos2.sharp-stream.com/metro.aac"</v>
      </c>
    </row>
    <row r="90" spans="1:2" x14ac:dyDescent="0.55000000000000004">
      <c r="A90" t="str">
        <f>master!U90</f>
        <v>MFR</v>
      </c>
      <c r="B90" t="str">
        <f>"""C:\Program Files\VideoLAN\VLC\vlc.exe"" """&amp;master!B90&amp;""""</f>
        <v>"C:\Program Files\VideoLAN\VLC\vlc.exe" "http://edge-bauerall-01-gos2.sharp-stream.com/mfrfm.aac"</v>
      </c>
    </row>
    <row r="91" spans="1:2" x14ac:dyDescent="0.55000000000000004">
      <c r="A91" t="str">
        <f>master!U91</f>
        <v>MFR 2</v>
      </c>
      <c r="B91" t="str">
        <f>"""C:\Program Files\VideoLAN\VLC\vlc.exe"" """&amp;master!B91&amp;""""</f>
        <v>"C:\Program Files\VideoLAN\VLC\vlc.exe" "http://edge-bauerall-01-gos2.sharp-stream.com/mfram.aac"</v>
      </c>
    </row>
    <row r="92" spans="1:2" x14ac:dyDescent="0.55000000000000004">
      <c r="A92" t="str">
        <f>master!U92</f>
        <v>Northsound 1</v>
      </c>
      <c r="B92" t="str">
        <f>"""C:\Program Files\VideoLAN\VLC\vlc.exe"" """&amp;master!B92&amp;""""</f>
        <v>"C:\Program Files\VideoLAN\VLC\vlc.exe" "http://edge-bauerall-01-gos2.sharp-stream.com/northsound1.aac"</v>
      </c>
    </row>
    <row r="93" spans="1:2" x14ac:dyDescent="0.55000000000000004">
      <c r="A93" t="str">
        <f>master!U93</f>
        <v>Northsound 2</v>
      </c>
      <c r="B93" t="str">
        <f>"""C:\Program Files\VideoLAN\VLC\vlc.exe"" """&amp;master!B93&amp;""""</f>
        <v>"C:\Program Files\VideoLAN\VLC\vlc.exe" "http://edge-bauerall-01-gos2.sharp-stream.com/northsound2.aac"</v>
      </c>
    </row>
    <row r="94" spans="1:2" x14ac:dyDescent="0.55000000000000004">
      <c r="A94" t="str">
        <f>master!U94</f>
        <v>Pirate FM (West)</v>
      </c>
      <c r="B94" t="str">
        <f>"""C:\Program Files\VideoLAN\VLC\vlc.exe"" """&amp;master!B94&amp;""""</f>
        <v>"C:\Program Files\VideoLAN\VLC\vlc.exe" "http://edge-bauerall-01-gos2.sharp-stream.com/net1cornwall.aac"</v>
      </c>
    </row>
    <row r="95" spans="1:2" x14ac:dyDescent="0.55000000000000004">
      <c r="A95" t="str">
        <f>master!U95</f>
        <v>Pulse 1</v>
      </c>
      <c r="B95" t="str">
        <f>"""C:\Program Files\VideoLAN\VLC\vlc.exe"" """&amp;master!B95&amp;""""</f>
        <v>"C:\Program Files\VideoLAN\VLC\vlc.exe" "http://edge-bauerall-01-gos2.sharp-stream.com/net1bradford.aac"</v>
      </c>
    </row>
    <row r="96" spans="1:2" x14ac:dyDescent="0.55000000000000004">
      <c r="A96" t="str">
        <f>master!U96</f>
        <v>Radio Borders</v>
      </c>
      <c r="B96" t="str">
        <f>"""C:\Program Files\VideoLAN\VLC\vlc.exe"" """&amp;master!B96&amp;""""</f>
        <v>"C:\Program Files\VideoLAN\VLC\vlc.exe" "http://edge-bauerall-01-gos2.sharp-stream.com/borders.aac"</v>
      </c>
    </row>
    <row r="97" spans="1:2" x14ac:dyDescent="0.55000000000000004">
      <c r="A97" t="str">
        <f>master!U97</f>
        <v>Radio City</v>
      </c>
      <c r="B97" t="str">
        <f>"""C:\Program Files\VideoLAN\VLC\vlc.exe"" """&amp;master!B97&amp;""""</f>
        <v>"C:\Program Files\VideoLAN\VLC\vlc.exe" "http://edge-bauerall-01-gos2.sharp-stream.com/city.aac"</v>
      </c>
    </row>
    <row r="98" spans="1:2" x14ac:dyDescent="0.55000000000000004">
      <c r="A98" t="str">
        <f>master!U98</f>
        <v>Signal 1</v>
      </c>
      <c r="B98" t="str">
        <f>"""C:\Program Files\VideoLAN\VLC\vlc.exe"" """&amp;master!B98&amp;""""</f>
        <v>"C:\Program Files\VideoLAN\VLC\vlc.exe" "http://edge-bauerall-01-gos2.sharp-stream.com/net1stoke.aac"</v>
      </c>
    </row>
    <row r="99" spans="1:2" x14ac:dyDescent="0.55000000000000004">
      <c r="A99" t="str">
        <f>master!U99</f>
        <v>Tay 2</v>
      </c>
      <c r="B99" t="str">
        <f>"""C:\Program Files\VideoLAN\VLC\vlc.exe"" """&amp;master!B99&amp;""""</f>
        <v>"C:\Program Files\VideoLAN\VLC\vlc.exe" "http://edge-bauerall-01-gos2.sharp-stream.com/tayam.aac"</v>
      </c>
    </row>
    <row r="100" spans="1:2" x14ac:dyDescent="0.55000000000000004">
      <c r="A100" t="str">
        <f>master!U100</f>
        <v>Tay FM</v>
      </c>
      <c r="B100" t="str">
        <f>"""C:\Program Files\VideoLAN\VLC\vlc.exe"" """&amp;master!B100&amp;""""</f>
        <v>"C:\Program Files\VideoLAN\VLC\vlc.exe" "http://edge-bauerall-01-gos2.sharp-stream.com/tayfm.aac"</v>
      </c>
    </row>
    <row r="101" spans="1:2" x14ac:dyDescent="0.55000000000000004">
      <c r="A101" t="str">
        <f>master!U101</f>
        <v>TFM</v>
      </c>
      <c r="B101" t="str">
        <f>"""C:\Program Files\VideoLAN\VLC\vlc.exe"" """&amp;master!B101&amp;""""</f>
        <v>"C:\Program Files\VideoLAN\VLC\vlc.exe" "http://edge-bauerall-01-gos2.sharp-stream.com/tfm.aac"</v>
      </c>
    </row>
    <row r="102" spans="1:2" x14ac:dyDescent="0.55000000000000004">
      <c r="A102" t="str">
        <f>master!U102</f>
        <v>The Wave</v>
      </c>
      <c r="B102" t="str">
        <f>"""C:\Program Files\VideoLAN\VLC\vlc.exe"" """&amp;master!B102&amp;""""</f>
        <v>"C:\Program Files\VideoLAN\VLC\vlc.exe" "http://edge-bauerall-01-gos2.sharp-stream.com/net1swansea.aac"</v>
      </c>
    </row>
    <row r="103" spans="1:2" x14ac:dyDescent="0.55000000000000004">
      <c r="A103" t="str">
        <f>master!U103</f>
        <v>Viking FM</v>
      </c>
      <c r="B103" t="str">
        <f>"""C:\Program Files\VideoLAN\VLC\vlc.exe"" """&amp;master!B103&amp;""""</f>
        <v>"C:\Program Files\VideoLAN\VLC\vlc.exe" "http://edge-bauerall-01-gos2.sharp-stream.com/viking.aac"</v>
      </c>
    </row>
    <row r="104" spans="1:2" x14ac:dyDescent="0.55000000000000004">
      <c r="A104" t="str">
        <f>master!U104</f>
        <v>Wave 105</v>
      </c>
      <c r="B104" t="str">
        <f>"""C:\Program Files\VideoLAN\VLC\vlc.exe"" """&amp;master!B104&amp;""""</f>
        <v>"C:\Program Files\VideoLAN\VLC\vlc.exe" "http://edge-bauerall-01-gos2.sharp-stream.com/wave105.aac"</v>
      </c>
    </row>
    <row r="105" spans="1:2" x14ac:dyDescent="0.55000000000000004">
      <c r="A105" t="str">
        <f>master!U105</f>
        <v>West FM</v>
      </c>
      <c r="B105" t="str">
        <f>"""C:\Program Files\VideoLAN\VLC\vlc.exe"" """&amp;master!B105&amp;""""</f>
        <v>"C:\Program Files\VideoLAN\VLC\vlc.exe" "http://edge-bauerall-01-gos2.sharp-stream.com/westfm.aac"</v>
      </c>
    </row>
    <row r="106" spans="1:2" x14ac:dyDescent="0.55000000000000004">
      <c r="A106" t="str">
        <f>master!U106</f>
        <v>West Sound (Ayrshire)</v>
      </c>
      <c r="B106" t="str">
        <f>"""C:\Program Files\VideoLAN\VLC\vlc.exe"" """&amp;master!B106&amp;""""</f>
        <v>"C:\Program Files\VideoLAN\VLC\vlc.exe" "http://edge-bauerall-01-gos2.sharp-stream.com/westsound.aac"</v>
      </c>
    </row>
    <row r="107" spans="1:2" x14ac:dyDescent="0.55000000000000004">
      <c r="A107" t="str">
        <f>master!U107</f>
        <v>Lakeland Radio</v>
      </c>
      <c r="B107" t="str">
        <f>"""C:\Program Files\VideoLAN\VLC\vlc.exe"" """&amp;master!B107&amp;""""</f>
        <v>"C:\Program Files\VideoLAN\VLC\vlc.exe" "http://icecast.thisisdax.com/SmoothLakeDistrict"</v>
      </c>
    </row>
    <row r="108" spans="1:2" x14ac:dyDescent="0.55000000000000004">
      <c r="A108" t="str">
        <f>master!U108</f>
        <v>The Bay</v>
      </c>
      <c r="B108" t="str">
        <f>"""C:\Program Files\VideoLAN\VLC\vlc.exe"" """&amp;master!B108&amp;""""</f>
        <v>"C:\Program Files\VideoLAN\VLC\vlc.exe" "http://icecast.thisisdax.com/HeartNorthLancsCumbria"</v>
      </c>
    </row>
    <row r="109" spans="1:2" x14ac:dyDescent="0.55000000000000004">
      <c r="A109">
        <f>master!U109</f>
        <v>0</v>
      </c>
      <c r="B109" t="str">
        <f>"""C:\Program Files\VideoLAN\VLC\vlc.exe"" """&amp;master!B109&amp;""""</f>
        <v>"C:\Program Files\VideoLAN\VLC\vlc.exe" ""</v>
      </c>
    </row>
    <row r="110" spans="1:2" x14ac:dyDescent="0.55000000000000004">
      <c r="A110">
        <f>master!U110</f>
        <v>0</v>
      </c>
      <c r="B110" t="str">
        <f>"""C:\Program Files\VideoLAN\VLC\vlc.exe"" """&amp;master!B110&amp;""""</f>
        <v>"C:\Program Files\VideoLAN\VLC\vlc.exe" ""</v>
      </c>
    </row>
    <row r="111" spans="1:2" x14ac:dyDescent="0.55000000000000004">
      <c r="A111">
        <f>master!U111</f>
        <v>0</v>
      </c>
      <c r="B111" t="str">
        <f>"""C:\Program Files\VideoLAN\VLC\vlc.exe"" """&amp;master!B111&amp;""""</f>
        <v>"C:\Program Files\VideoLAN\VLC\vlc.exe" ""</v>
      </c>
    </row>
    <row r="112" spans="1:2" x14ac:dyDescent="0.55000000000000004">
      <c r="A112">
        <f>master!U112</f>
        <v>0</v>
      </c>
      <c r="B112" t="str">
        <f>"""C:\Program Files\VideoLAN\VLC\vlc.exe"" """&amp;master!B112&amp;""""</f>
        <v>"C:\Program Files\VideoLAN\VLC\vlc.exe" ""</v>
      </c>
    </row>
    <row r="113" spans="1:2" x14ac:dyDescent="0.55000000000000004">
      <c r="A113">
        <f>master!U113</f>
        <v>0</v>
      </c>
      <c r="B113" t="str">
        <f>"""C:\Program Files\VideoLAN\VLC\vlc.exe"" """&amp;master!B113&amp;""""</f>
        <v>"C:\Program Files\VideoLAN\VLC\vlc.exe" ""</v>
      </c>
    </row>
    <row r="114" spans="1:2" x14ac:dyDescent="0.55000000000000004">
      <c r="A114">
        <f>master!U114</f>
        <v>0</v>
      </c>
      <c r="B114" t="str">
        <f>"""C:\Program Files\VideoLAN\VLC\vlc.exe"" """&amp;master!B114&amp;""""</f>
        <v>"C:\Program Files\VideoLAN\VLC\vlc.exe" ""</v>
      </c>
    </row>
    <row r="115" spans="1:2" x14ac:dyDescent="0.55000000000000004">
      <c r="A115">
        <f>master!U115</f>
        <v>0</v>
      </c>
      <c r="B115" t="str">
        <f>"""C:\Program Files\VideoLAN\VLC\vlc.exe"" """&amp;master!B115&amp;""""</f>
        <v>"C:\Program Files\VideoLAN\VLC\vlc.exe" ""</v>
      </c>
    </row>
    <row r="116" spans="1:2" x14ac:dyDescent="0.55000000000000004">
      <c r="A116">
        <f>master!U116</f>
        <v>0</v>
      </c>
      <c r="B116" t="str">
        <f>"""C:\Program Files\VideoLAN\VLC\vlc.exe"" """&amp;master!B116&amp;""""</f>
        <v>"C:\Program Files\VideoLAN\VLC\vlc.exe" ""</v>
      </c>
    </row>
    <row r="117" spans="1:2" x14ac:dyDescent="0.55000000000000004">
      <c r="A117">
        <f>master!U117</f>
        <v>0</v>
      </c>
      <c r="B117" t="str">
        <f>"""C:\Program Files\VideoLAN\VLC\vlc.exe"" """&amp;master!B117&amp;""""</f>
        <v>"C:\Program Files\VideoLAN\VLC\vlc.exe" ""</v>
      </c>
    </row>
    <row r="118" spans="1:2" x14ac:dyDescent="0.55000000000000004">
      <c r="A118">
        <f>master!U118</f>
        <v>0</v>
      </c>
      <c r="B118" t="str">
        <f>"""C:\Program Files\VideoLAN\VLC\vlc.exe"" """&amp;master!B118&amp;""""</f>
        <v>"C:\Program Files\VideoLAN\VLC\vlc.exe" ""</v>
      </c>
    </row>
    <row r="119" spans="1:2" x14ac:dyDescent="0.55000000000000004">
      <c r="A119">
        <f>master!U119</f>
        <v>0</v>
      </c>
      <c r="B119" t="str">
        <f>"""C:\Program Files\VideoLAN\VLC\vlc.exe"" """&amp;master!B119&amp;""""</f>
        <v>"C:\Program Files\VideoLAN\VLC\vlc.exe" ""</v>
      </c>
    </row>
    <row r="120" spans="1:2" x14ac:dyDescent="0.55000000000000004">
      <c r="A120">
        <f>master!U120</f>
        <v>0</v>
      </c>
      <c r="B120" t="str">
        <f>"""C:\Program Files\VideoLAN\VLC\vlc.exe"" """&amp;master!B120&amp;""""</f>
        <v>"C:\Program Files\VideoLAN\VLC\vlc.exe" ""</v>
      </c>
    </row>
    <row r="121" spans="1:2" x14ac:dyDescent="0.55000000000000004">
      <c r="A121">
        <f>master!U121</f>
        <v>0</v>
      </c>
      <c r="B121" t="str">
        <f>"""C:\Program Files\VideoLAN\VLC\vlc.exe"" """&amp;master!B121&amp;""""</f>
        <v>"C:\Program Files\VideoLAN\VLC\vlc.exe" ""</v>
      </c>
    </row>
    <row r="122" spans="1:2" x14ac:dyDescent="0.55000000000000004">
      <c r="A122">
        <f>master!U122</f>
        <v>0</v>
      </c>
      <c r="B122" t="str">
        <f>"""C:\Program Files\VideoLAN\VLC\vlc.exe"" """&amp;master!B122&amp;""""</f>
        <v>"C:\Program Files\VideoLAN\VLC\vlc.exe" ""</v>
      </c>
    </row>
    <row r="123" spans="1:2" x14ac:dyDescent="0.55000000000000004">
      <c r="A123">
        <f>master!U123</f>
        <v>0</v>
      </c>
      <c r="B123" t="str">
        <f>"""C:\Program Files\VideoLAN\VLC\vlc.exe"" """&amp;master!B123&amp;""""</f>
        <v>"C:\Program Files\VideoLAN\VLC\vlc.exe" ""</v>
      </c>
    </row>
    <row r="124" spans="1:2" x14ac:dyDescent="0.55000000000000004">
      <c r="A124">
        <f>master!U124</f>
        <v>0</v>
      </c>
      <c r="B124" t="str">
        <f>"""C:\Program Files\VideoLAN\VLC\vlc.exe"" """&amp;master!B124&amp;""""</f>
        <v>"C:\Program Files\VideoLAN\VLC\vlc.exe" ""</v>
      </c>
    </row>
    <row r="125" spans="1:2" x14ac:dyDescent="0.55000000000000004">
      <c r="A125">
        <f>master!U125</f>
        <v>0</v>
      </c>
      <c r="B125" t="str">
        <f>"""C:\Program Files\VideoLAN\VLC\vlc.exe"" """&amp;master!B125&amp;""""</f>
        <v>"C:\Program Files\VideoLAN\VLC\vlc.exe" ""</v>
      </c>
    </row>
    <row r="126" spans="1:2" x14ac:dyDescent="0.55000000000000004">
      <c r="A126">
        <f>master!U126</f>
        <v>0</v>
      </c>
      <c r="B126" t="str">
        <f>"""C:\Program Files\VideoLAN\VLC\vlc.exe"" """&amp;master!B126&amp;""""</f>
        <v>"C:\Program Files\VideoLAN\VLC\vlc.exe" ""</v>
      </c>
    </row>
    <row r="127" spans="1:2" x14ac:dyDescent="0.55000000000000004">
      <c r="A127">
        <f>master!U127</f>
        <v>0</v>
      </c>
      <c r="B127" t="str">
        <f>"""C:\Program Files\VideoLAN\VLC\vlc.exe"" """&amp;master!B127&amp;""""</f>
        <v>"C:\Program Files\VideoLAN\VLC\vlc.exe" ""</v>
      </c>
    </row>
    <row r="128" spans="1:2" x14ac:dyDescent="0.55000000000000004">
      <c r="A128">
        <f>master!U128</f>
        <v>0</v>
      </c>
      <c r="B128" t="str">
        <f>"""C:\Program Files\VideoLAN\VLC\vlc.exe"" """&amp;master!B128&amp;""""</f>
        <v>"C:\Program Files\VideoLAN\VLC\vlc.exe" ""</v>
      </c>
    </row>
    <row r="129" spans="1:2" x14ac:dyDescent="0.55000000000000004">
      <c r="A129">
        <f>master!U129</f>
        <v>0</v>
      </c>
      <c r="B129" t="str">
        <f>"""C:\Program Files\VideoLAN\VLC\vlc.exe"" """&amp;master!B129&amp;""""</f>
        <v>"C:\Program Files\VideoLAN\VLC\vlc.exe" ""</v>
      </c>
    </row>
    <row r="130" spans="1:2" x14ac:dyDescent="0.55000000000000004">
      <c r="A130">
        <f>master!U130</f>
        <v>0</v>
      </c>
      <c r="B130" t="str">
        <f>"""C:\Program Files\VideoLAN\VLC\vlc.exe"" """&amp;master!B130&amp;""""</f>
        <v>"C:\Program Files\VideoLAN\VLC\vlc.exe" ""</v>
      </c>
    </row>
    <row r="131" spans="1:2" x14ac:dyDescent="0.55000000000000004">
      <c r="A131">
        <f>master!U131</f>
        <v>0</v>
      </c>
      <c r="B131" t="str">
        <f>"""C:\Program Files\VideoLAN\VLC\vlc.exe"" """&amp;master!B131&amp;""""</f>
        <v>"C:\Program Files\VideoLAN\VLC\vlc.exe" ""</v>
      </c>
    </row>
    <row r="132" spans="1:2" x14ac:dyDescent="0.55000000000000004">
      <c r="A132">
        <f>master!U132</f>
        <v>0</v>
      </c>
      <c r="B132" t="str">
        <f>"""C:\Program Files\VideoLAN\VLC\vlc.exe"" """&amp;master!B132&amp;""""</f>
        <v>"C:\Program Files\VideoLAN\VLC\vlc.exe" ""</v>
      </c>
    </row>
    <row r="133" spans="1:2" x14ac:dyDescent="0.55000000000000004">
      <c r="A133">
        <f>master!U133</f>
        <v>0</v>
      </c>
      <c r="B133" t="str">
        <f>"""C:\Program Files\VideoLAN\VLC\vlc.exe"" """&amp;master!B133&amp;""""</f>
        <v>"C:\Program Files\VideoLAN\VLC\vlc.exe" ""</v>
      </c>
    </row>
    <row r="134" spans="1:2" x14ac:dyDescent="0.55000000000000004">
      <c r="A134">
        <f>master!U134</f>
        <v>0</v>
      </c>
      <c r="B134" t="str">
        <f>"""C:\Program Files\VideoLAN\VLC\vlc.exe"" """&amp;master!B134&amp;""""</f>
        <v>"C:\Program Files\VideoLAN\VLC\vlc.exe" ""</v>
      </c>
    </row>
    <row r="135" spans="1:2" x14ac:dyDescent="0.55000000000000004">
      <c r="A135">
        <f>master!U135</f>
        <v>0</v>
      </c>
      <c r="B135" t="str">
        <f>"""C:\Program Files\VideoLAN\VLC\vlc.exe"" """&amp;master!B135&amp;""""</f>
        <v>"C:\Program Files\VideoLAN\VLC\vlc.exe" ""</v>
      </c>
    </row>
    <row r="136" spans="1:2" x14ac:dyDescent="0.55000000000000004">
      <c r="A136">
        <f>master!U136</f>
        <v>0</v>
      </c>
      <c r="B136" t="str">
        <f>"""C:\Program Files\VideoLAN\VLC\vlc.exe"" """&amp;master!B136&amp;""""</f>
        <v>"C:\Program Files\VideoLAN\VLC\vlc.exe" ""</v>
      </c>
    </row>
    <row r="137" spans="1:2" x14ac:dyDescent="0.55000000000000004">
      <c r="A137">
        <f>master!U137</f>
        <v>0</v>
      </c>
      <c r="B137" t="str">
        <f>"""C:\Program Files\VideoLAN\VLC\vlc.exe"" """&amp;master!B137&amp;""""</f>
        <v>"C:\Program Files\VideoLAN\VLC\vlc.exe" ""</v>
      </c>
    </row>
    <row r="138" spans="1:2" x14ac:dyDescent="0.55000000000000004">
      <c r="A138">
        <f>master!U138</f>
        <v>0</v>
      </c>
      <c r="B138" t="str">
        <f>"""C:\Program Files\VideoLAN\VLC\vlc.exe"" """&amp;master!B138&amp;""""</f>
        <v>"C:\Program Files\VideoLAN\VLC\vlc.exe" ""</v>
      </c>
    </row>
    <row r="139" spans="1:2" x14ac:dyDescent="0.55000000000000004">
      <c r="A139">
        <f>master!U139</f>
        <v>0</v>
      </c>
      <c r="B139" t="str">
        <f>"""C:\Program Files\VideoLAN\VLC\vlc.exe"" """&amp;master!B139&amp;""""</f>
        <v>"C:\Program Files\VideoLAN\VLC\vlc.exe" ""</v>
      </c>
    </row>
    <row r="140" spans="1:2" x14ac:dyDescent="0.55000000000000004">
      <c r="A140">
        <f>master!U140</f>
        <v>0</v>
      </c>
      <c r="B140" t="str">
        <f>"""C:\Program Files\VideoLAN\VLC\vlc.exe"" """&amp;master!B140&amp;""""</f>
        <v>"C:\Program Files\VideoLAN\VLC\vlc.exe" ""</v>
      </c>
    </row>
    <row r="141" spans="1:2" x14ac:dyDescent="0.55000000000000004">
      <c r="A141">
        <f>master!U141</f>
        <v>0</v>
      </c>
      <c r="B141" t="str">
        <f>"""C:\Program Files\VideoLAN\VLC\vlc.exe"" """&amp;master!B141&amp;""""</f>
        <v>"C:\Program Files\VideoLAN\VLC\vlc.exe" ""</v>
      </c>
    </row>
    <row r="142" spans="1:2" x14ac:dyDescent="0.55000000000000004">
      <c r="A142">
        <f>master!U142</f>
        <v>0</v>
      </c>
      <c r="B142" t="str">
        <f>"""C:\Program Files\VideoLAN\VLC\vlc.exe"" """&amp;master!B142&amp;""""</f>
        <v>"C:\Program Files\VideoLAN\VLC\vlc.exe" ""</v>
      </c>
    </row>
    <row r="143" spans="1:2" x14ac:dyDescent="0.55000000000000004">
      <c r="A143">
        <f>master!U143</f>
        <v>0</v>
      </c>
      <c r="B143" t="str">
        <f>"""C:\Program Files\VideoLAN\VLC\vlc.exe"" """&amp;master!B143&amp;""""</f>
        <v>"C:\Program Files\VideoLAN\VLC\vlc.exe" ""</v>
      </c>
    </row>
    <row r="144" spans="1:2" x14ac:dyDescent="0.55000000000000004">
      <c r="A144">
        <f>master!U144</f>
        <v>0</v>
      </c>
      <c r="B144" t="str">
        <f>"""C:\Program Files\VideoLAN\VLC\vlc.exe"" """&amp;master!B144&amp;""""</f>
        <v>"C:\Program Files\VideoLAN\VLC\vlc.exe" ""</v>
      </c>
    </row>
    <row r="145" spans="1:2" x14ac:dyDescent="0.55000000000000004">
      <c r="A145">
        <f>master!U145</f>
        <v>0</v>
      </c>
      <c r="B145" t="str">
        <f>"""C:\Program Files\VideoLAN\VLC\vlc.exe"" """&amp;master!B145&amp;""""</f>
        <v>"C:\Program Files\VideoLAN\VLC\vlc.exe" ""</v>
      </c>
    </row>
    <row r="146" spans="1:2" x14ac:dyDescent="0.55000000000000004">
      <c r="A146">
        <f>master!U146</f>
        <v>0</v>
      </c>
      <c r="B146" t="str">
        <f>"""C:\Program Files\VideoLAN\VLC\vlc.exe"" """&amp;master!B146&amp;""""</f>
        <v>"C:\Program Files\VideoLAN\VLC\vlc.exe" ""</v>
      </c>
    </row>
    <row r="147" spans="1:2" x14ac:dyDescent="0.55000000000000004">
      <c r="A147">
        <f>master!U147</f>
        <v>0</v>
      </c>
      <c r="B147" t="str">
        <f>"""C:\Program Files\VideoLAN\VLC\vlc.exe"" """&amp;master!B147&amp;""""</f>
        <v>"C:\Program Files\VideoLAN\VLC\vlc.exe" ""</v>
      </c>
    </row>
    <row r="148" spans="1:2" x14ac:dyDescent="0.55000000000000004">
      <c r="A148">
        <f>master!U148</f>
        <v>0</v>
      </c>
      <c r="B148" t="str">
        <f>"""C:\Program Files\VideoLAN\VLC\vlc.exe"" """&amp;master!B148&amp;""""</f>
        <v>"C:\Program Files\VideoLAN\VLC\vlc.exe" ""</v>
      </c>
    </row>
    <row r="149" spans="1:2" x14ac:dyDescent="0.55000000000000004">
      <c r="A149">
        <f>master!U149</f>
        <v>0</v>
      </c>
      <c r="B149" t="str">
        <f>"""C:\Program Files\VideoLAN\VLC\vlc.exe"" """&amp;master!B149&amp;""""</f>
        <v>"C:\Program Files\VideoLAN\VLC\vlc.exe" ""</v>
      </c>
    </row>
    <row r="150" spans="1:2" x14ac:dyDescent="0.55000000000000004">
      <c r="A150">
        <f>master!U150</f>
        <v>0</v>
      </c>
      <c r="B150" t="str">
        <f>"""C:\Program Files\VideoLAN\VLC\vlc.exe"" """&amp;master!B150&amp;""""</f>
        <v>"C:\Program Files\VideoLAN\VLC\vlc.exe" ""</v>
      </c>
    </row>
    <row r="151" spans="1:2" x14ac:dyDescent="0.55000000000000004">
      <c r="A151">
        <f>master!U151</f>
        <v>0</v>
      </c>
      <c r="B151" t="str">
        <f>"""C:\Program Files\VideoLAN\VLC\vlc.exe"" """&amp;master!B151&amp;""""</f>
        <v>"C:\Program Files\VideoLAN\VLC\vlc.exe" ""</v>
      </c>
    </row>
    <row r="152" spans="1:2" x14ac:dyDescent="0.55000000000000004">
      <c r="A152">
        <f>master!U152</f>
        <v>0</v>
      </c>
      <c r="B152" t="str">
        <f>"""C:\Program Files\VideoLAN\VLC\vlc.exe"" """&amp;master!B152&amp;""""</f>
        <v>"C:\Program Files\VideoLAN\VLC\vlc.exe" ""</v>
      </c>
    </row>
    <row r="153" spans="1:2" x14ac:dyDescent="0.55000000000000004">
      <c r="A153">
        <f>master!U153</f>
        <v>0</v>
      </c>
      <c r="B153" t="str">
        <f>"""C:\Program Files\VideoLAN\VLC\vlc.exe"" """&amp;master!B153&amp;""""</f>
        <v>"C:\Program Files\VideoLAN\VLC\vlc.exe" ""</v>
      </c>
    </row>
    <row r="154" spans="1:2" x14ac:dyDescent="0.55000000000000004">
      <c r="A154">
        <f>master!U154</f>
        <v>0</v>
      </c>
      <c r="B154" t="str">
        <f>"""C:\Program Files\VideoLAN\VLC\vlc.exe"" """&amp;master!B154&amp;""""</f>
        <v>"C:\Program Files\VideoLAN\VLC\vlc.exe" ""</v>
      </c>
    </row>
    <row r="155" spans="1:2" x14ac:dyDescent="0.55000000000000004">
      <c r="A155">
        <f>master!U155</f>
        <v>0</v>
      </c>
      <c r="B155" t="str">
        <f>"""C:\Program Files\VideoLAN\VLC\vlc.exe"" """&amp;master!B155&amp;""""</f>
        <v>"C:\Program Files\VideoLAN\VLC\vlc.exe" ""</v>
      </c>
    </row>
    <row r="156" spans="1:2" x14ac:dyDescent="0.55000000000000004">
      <c r="A156">
        <f>master!U156</f>
        <v>0</v>
      </c>
      <c r="B156" t="str">
        <f>"""C:\Program Files\VideoLAN\VLC\vlc.exe"" """&amp;master!B156&amp;""""</f>
        <v>"C:\Program Files\VideoLAN\VLC\vlc.exe" ""</v>
      </c>
    </row>
    <row r="157" spans="1:2" x14ac:dyDescent="0.55000000000000004">
      <c r="A157">
        <f>master!U157</f>
        <v>0</v>
      </c>
      <c r="B157" t="str">
        <f>"""C:\Program Files\VideoLAN\VLC\vlc.exe"" """&amp;master!B157&amp;""""</f>
        <v>"C:\Program Files\VideoLAN\VLC\vlc.exe" ""</v>
      </c>
    </row>
    <row r="158" spans="1:2" x14ac:dyDescent="0.55000000000000004">
      <c r="A158">
        <f>master!U158</f>
        <v>0</v>
      </c>
      <c r="B158" t="str">
        <f>"""C:\Program Files\VideoLAN\VLC\vlc.exe"" """&amp;master!B158&amp;""""</f>
        <v>"C:\Program Files\VideoLAN\VLC\vlc.exe" ""</v>
      </c>
    </row>
    <row r="159" spans="1:2" x14ac:dyDescent="0.55000000000000004">
      <c r="A159">
        <f>master!U159</f>
        <v>0</v>
      </c>
      <c r="B159" t="str">
        <f>"""C:\Program Files\VideoLAN\VLC\vlc.exe"" """&amp;master!B159&amp;""""</f>
        <v>"C:\Program Files\VideoLAN\VLC\vlc.exe" ""</v>
      </c>
    </row>
    <row r="160" spans="1:2" x14ac:dyDescent="0.55000000000000004">
      <c r="A160">
        <f>master!U160</f>
        <v>0</v>
      </c>
      <c r="B160" t="str">
        <f>"""C:\Program Files\VideoLAN\VLC\vlc.exe"" """&amp;master!B160&amp;""""</f>
        <v>"C:\Program Files\VideoLAN\VLC\vlc.exe" ""</v>
      </c>
    </row>
    <row r="161" spans="1:2" x14ac:dyDescent="0.55000000000000004">
      <c r="A161">
        <f>master!U161</f>
        <v>0</v>
      </c>
      <c r="B161" t="str">
        <f>"""C:\Program Files\VideoLAN\VLC\vlc.exe"" """&amp;master!B161&amp;""""</f>
        <v>"C:\Program Files\VideoLAN\VLC\vlc.exe" ""</v>
      </c>
    </row>
    <row r="162" spans="1:2" x14ac:dyDescent="0.55000000000000004">
      <c r="A162">
        <f>master!U162</f>
        <v>0</v>
      </c>
      <c r="B162" t="str">
        <f>"""C:\Program Files\VideoLAN\VLC\vlc.exe"" """&amp;master!B162&amp;""""</f>
        <v>"C:\Program Files\VideoLAN\VLC\vlc.exe" ""</v>
      </c>
    </row>
    <row r="163" spans="1:2" x14ac:dyDescent="0.55000000000000004">
      <c r="A163">
        <f>master!U163</f>
        <v>0</v>
      </c>
      <c r="B163" t="str">
        <f>"""C:\Program Files\VideoLAN\VLC\vlc.exe"" """&amp;master!B163&amp;""""</f>
        <v>"C:\Program Files\VideoLAN\VLC\vlc.exe" ""</v>
      </c>
    </row>
    <row r="164" spans="1:2" x14ac:dyDescent="0.55000000000000004">
      <c r="A164">
        <f>master!U164</f>
        <v>0</v>
      </c>
      <c r="B164" t="str">
        <f>"""C:\Program Files\VideoLAN\VLC\vlc.exe"" """&amp;master!B164&amp;""""</f>
        <v>"C:\Program Files\VideoLAN\VLC\vlc.exe" ""</v>
      </c>
    </row>
    <row r="165" spans="1:2" x14ac:dyDescent="0.55000000000000004">
      <c r="A165">
        <f>master!U165</f>
        <v>0</v>
      </c>
      <c r="B165" t="str">
        <f>"""C:\Program Files\VideoLAN\VLC\vlc.exe"" """&amp;master!B165&amp;""""</f>
        <v>"C:\Program Files\VideoLAN\VLC\vlc.exe" ""</v>
      </c>
    </row>
    <row r="166" spans="1:2" x14ac:dyDescent="0.55000000000000004">
      <c r="A166">
        <f>master!U166</f>
        <v>0</v>
      </c>
      <c r="B166" t="str">
        <f>"""C:\Program Files\VideoLAN\VLC\vlc.exe"" """&amp;master!B166&amp;""""</f>
        <v>"C:\Program Files\VideoLAN\VLC\vlc.exe" ""</v>
      </c>
    </row>
    <row r="167" spans="1:2" x14ac:dyDescent="0.55000000000000004">
      <c r="A167">
        <f>master!U167</f>
        <v>0</v>
      </c>
      <c r="B167" t="str">
        <f>"""C:\Program Files\VideoLAN\VLC\vlc.exe"" """&amp;master!B167&amp;""""</f>
        <v>"C:\Program Files\VideoLAN\VLC\vlc.exe" ""</v>
      </c>
    </row>
    <row r="168" spans="1:2" x14ac:dyDescent="0.55000000000000004">
      <c r="A168">
        <f>master!U168</f>
        <v>0</v>
      </c>
      <c r="B168" t="str">
        <f>"""C:\Program Files\VideoLAN\VLC\vlc.exe"" """&amp;master!B168&amp;""""</f>
        <v>"C:\Program Files\VideoLAN\VLC\vlc.exe" ""</v>
      </c>
    </row>
    <row r="169" spans="1:2" x14ac:dyDescent="0.55000000000000004">
      <c r="A169">
        <f>master!U169</f>
        <v>0</v>
      </c>
      <c r="B169" t="str">
        <f>"""C:\Program Files\VideoLAN\VLC\vlc.exe"" """&amp;master!B169&amp;""""</f>
        <v>"C:\Program Files\VideoLAN\VLC\vlc.exe" ""</v>
      </c>
    </row>
    <row r="170" spans="1:2" x14ac:dyDescent="0.55000000000000004">
      <c r="A170">
        <f>master!U170</f>
        <v>0</v>
      </c>
      <c r="B170" t="str">
        <f>"""C:\Program Files\VideoLAN\VLC\vlc.exe"" """&amp;master!B170&amp;""""</f>
        <v>"C:\Program Files\VideoLAN\VLC\vlc.exe" ""</v>
      </c>
    </row>
    <row r="171" spans="1:2" x14ac:dyDescent="0.55000000000000004">
      <c r="A171">
        <f>master!U171</f>
        <v>0</v>
      </c>
      <c r="B171" t="str">
        <f>"""C:\Program Files\VideoLAN\VLC\vlc.exe"" """&amp;master!B171&amp;""""</f>
        <v>"C:\Program Files\VideoLAN\VLC\vlc.exe" ""</v>
      </c>
    </row>
    <row r="172" spans="1:2" x14ac:dyDescent="0.55000000000000004">
      <c r="A172">
        <f>master!U172</f>
        <v>0</v>
      </c>
      <c r="B172" t="str">
        <f>"""C:\Program Files\VideoLAN\VLC\vlc.exe"" """&amp;master!B172&amp;""""</f>
        <v>"C:\Program Files\VideoLAN\VLC\vlc.exe" ""</v>
      </c>
    </row>
    <row r="173" spans="1:2" x14ac:dyDescent="0.55000000000000004">
      <c r="A173">
        <f>master!U173</f>
        <v>0</v>
      </c>
      <c r="B173" t="str">
        <f>"""C:\Program Files\VideoLAN\VLC\vlc.exe"" """&amp;master!B173&amp;""""</f>
        <v>"C:\Program Files\VideoLAN\VLC\vlc.exe" ""</v>
      </c>
    </row>
    <row r="174" spans="1:2" x14ac:dyDescent="0.55000000000000004">
      <c r="A174">
        <f>master!U174</f>
        <v>0</v>
      </c>
      <c r="B174" t="str">
        <f>"""C:\Program Files\VideoLAN\VLC\vlc.exe"" """&amp;master!B174&amp;""""</f>
        <v>"C:\Program Files\VideoLAN\VLC\vlc.exe" ""</v>
      </c>
    </row>
    <row r="175" spans="1:2" x14ac:dyDescent="0.55000000000000004">
      <c r="A175">
        <f>master!U175</f>
        <v>0</v>
      </c>
      <c r="B175" t="str">
        <f>"""C:\Program Files\VideoLAN\VLC\vlc.exe"" """&amp;master!B175&amp;""""</f>
        <v>"C:\Program Files\VideoLAN\VLC\vlc.exe" ""</v>
      </c>
    </row>
    <row r="176" spans="1:2" x14ac:dyDescent="0.55000000000000004">
      <c r="A176">
        <f>master!U176</f>
        <v>0</v>
      </c>
      <c r="B176" t="str">
        <f>"""C:\Program Files\VideoLAN\VLC\vlc.exe"" """&amp;master!B176&amp;""""</f>
        <v>"C:\Program Files\VideoLAN\VLC\vlc.exe" ""</v>
      </c>
    </row>
    <row r="177" spans="1:2" x14ac:dyDescent="0.55000000000000004">
      <c r="A177">
        <f>master!U177</f>
        <v>0</v>
      </c>
      <c r="B177" t="str">
        <f>"""C:\Program Files\VideoLAN\VLC\vlc.exe"" """&amp;master!B177&amp;""""</f>
        <v>"C:\Program Files\VideoLAN\VLC\vlc.exe" ""</v>
      </c>
    </row>
    <row r="178" spans="1:2" x14ac:dyDescent="0.55000000000000004">
      <c r="A178">
        <f>master!U178</f>
        <v>0</v>
      </c>
      <c r="B178" t="str">
        <f>"""C:\Program Files\VideoLAN\VLC\vlc.exe"" """&amp;master!B178&amp;""""</f>
        <v>"C:\Program Files\VideoLAN\VLC\vlc.exe" ""</v>
      </c>
    </row>
    <row r="179" spans="1:2" x14ac:dyDescent="0.55000000000000004">
      <c r="A179">
        <f>master!U179</f>
        <v>0</v>
      </c>
      <c r="B179" t="str">
        <f>"""C:\Program Files\VideoLAN\VLC\vlc.exe"" """&amp;master!B179&amp;""""</f>
        <v>"C:\Program Files\VideoLAN\VLC\vlc.exe" ""</v>
      </c>
    </row>
    <row r="180" spans="1:2" x14ac:dyDescent="0.55000000000000004">
      <c r="A180">
        <f>master!U180</f>
        <v>0</v>
      </c>
      <c r="B180" t="str">
        <f>"""C:\Program Files\VideoLAN\VLC\vlc.exe"" """&amp;master!B180&amp;""""</f>
        <v>"C:\Program Files\VideoLAN\VLC\vlc.exe" ""</v>
      </c>
    </row>
    <row r="181" spans="1:2" x14ac:dyDescent="0.55000000000000004">
      <c r="A181">
        <f>master!U181</f>
        <v>0</v>
      </c>
      <c r="B181" t="str">
        <f>"""C:\Program Files\VideoLAN\VLC\vlc.exe"" """&amp;master!B181&amp;""""</f>
        <v>"C:\Program Files\VideoLAN\VLC\vlc.exe" ""</v>
      </c>
    </row>
    <row r="182" spans="1:2" x14ac:dyDescent="0.55000000000000004">
      <c r="A182">
        <f>master!U182</f>
        <v>0</v>
      </c>
      <c r="B182" t="str">
        <f>"""C:\Program Files\VideoLAN\VLC\vlc.exe"" """&amp;master!B182&amp;""""</f>
        <v>"C:\Program Files\VideoLAN\VLC\vlc.exe" ""</v>
      </c>
    </row>
    <row r="183" spans="1:2" x14ac:dyDescent="0.55000000000000004">
      <c r="A183">
        <f>master!U183</f>
        <v>0</v>
      </c>
      <c r="B183" t="str">
        <f>"""C:\Program Files\VideoLAN\VLC\vlc.exe"" """&amp;master!B183&amp;""""</f>
        <v>"C:\Program Files\VideoLAN\VLC\vlc.exe" ""</v>
      </c>
    </row>
    <row r="184" spans="1:2" x14ac:dyDescent="0.55000000000000004">
      <c r="A184">
        <f>master!U184</f>
        <v>0</v>
      </c>
      <c r="B184" t="str">
        <f>"""C:\Program Files\VideoLAN\VLC\vlc.exe"" """&amp;master!B184&amp;""""</f>
        <v>"C:\Program Files\VideoLAN\VLC\vlc.exe" ""</v>
      </c>
    </row>
    <row r="185" spans="1:2" x14ac:dyDescent="0.55000000000000004">
      <c r="A185">
        <f>master!U185</f>
        <v>0</v>
      </c>
      <c r="B185" t="str">
        <f>"""C:\Program Files\VideoLAN\VLC\vlc.exe"" """&amp;master!B185&amp;""""</f>
        <v>"C:\Program Files\VideoLAN\VLC\vlc.exe" ""</v>
      </c>
    </row>
    <row r="186" spans="1:2" x14ac:dyDescent="0.55000000000000004">
      <c r="A186">
        <f>master!U186</f>
        <v>0</v>
      </c>
      <c r="B186" t="str">
        <f>"""C:\Program Files\VideoLAN\VLC\vlc.exe"" """&amp;master!B186&amp;""""</f>
        <v>"C:\Program Files\VideoLAN\VLC\vlc.exe" ""</v>
      </c>
    </row>
    <row r="187" spans="1:2" x14ac:dyDescent="0.55000000000000004">
      <c r="A187">
        <f>master!U187</f>
        <v>0</v>
      </c>
      <c r="B187" t="str">
        <f>"""C:\Program Files\VideoLAN\VLC\vlc.exe"" """&amp;master!B187&amp;""""</f>
        <v>"C:\Program Files\VideoLAN\VLC\vlc.exe" ""</v>
      </c>
    </row>
    <row r="188" spans="1:2" x14ac:dyDescent="0.55000000000000004">
      <c r="A188">
        <f>master!U188</f>
        <v>0</v>
      </c>
      <c r="B188" t="str">
        <f>"""C:\Program Files\VideoLAN\VLC\vlc.exe"" """&amp;master!B188&amp;""""</f>
        <v>"C:\Program Files\VideoLAN\VLC\vlc.exe" ""</v>
      </c>
    </row>
    <row r="189" spans="1:2" x14ac:dyDescent="0.55000000000000004">
      <c r="A189">
        <f>master!U189</f>
        <v>0</v>
      </c>
      <c r="B189" t="str">
        <f>"""C:\Program Files\VideoLAN\VLC\vlc.exe"" """&amp;master!B189&amp;""""</f>
        <v>"C:\Program Files\VideoLAN\VLC\vlc.exe" ""</v>
      </c>
    </row>
    <row r="190" spans="1:2" x14ac:dyDescent="0.55000000000000004">
      <c r="A190">
        <f>master!U190</f>
        <v>0</v>
      </c>
      <c r="B190" t="str">
        <f>"""C:\Program Files\VideoLAN\VLC\vlc.exe"" """&amp;master!B190&amp;""""</f>
        <v>"C:\Program Files\VideoLAN\VLC\vlc.exe" ""</v>
      </c>
    </row>
    <row r="191" spans="1:2" x14ac:dyDescent="0.55000000000000004">
      <c r="A191">
        <f>master!U191</f>
        <v>0</v>
      </c>
      <c r="B191" t="str">
        <f>"""C:\Program Files\VideoLAN\VLC\vlc.exe"" """&amp;master!B191&amp;""""</f>
        <v>"C:\Program Files\VideoLAN\VLC\vlc.exe" ""</v>
      </c>
    </row>
    <row r="192" spans="1:2" x14ac:dyDescent="0.55000000000000004">
      <c r="A192">
        <f>master!U192</f>
        <v>0</v>
      </c>
      <c r="B192" t="str">
        <f>"""C:\Program Files\VideoLAN\VLC\vlc.exe"" """&amp;master!B192&amp;""""</f>
        <v>"C:\Program Files\VideoLAN\VLC\vlc.exe" ""</v>
      </c>
    </row>
    <row r="193" spans="1:2" x14ac:dyDescent="0.55000000000000004">
      <c r="A193">
        <f>master!U193</f>
        <v>0</v>
      </c>
      <c r="B193" t="str">
        <f>"""C:\Program Files\VideoLAN\VLC\vlc.exe"" """&amp;master!B193&amp;""""</f>
        <v>"C:\Program Files\VideoLAN\VLC\vlc.exe" ""</v>
      </c>
    </row>
    <row r="194" spans="1:2" x14ac:dyDescent="0.55000000000000004">
      <c r="A194">
        <f>master!U194</f>
        <v>0</v>
      </c>
      <c r="B194" t="str">
        <f>"""C:\Program Files\VideoLAN\VLC\vlc.exe"" """&amp;master!B194&amp;""""</f>
        <v>"C:\Program Files\VideoLAN\VLC\vlc.exe" ""</v>
      </c>
    </row>
    <row r="195" spans="1:2" x14ac:dyDescent="0.55000000000000004">
      <c r="A195">
        <f>master!U195</f>
        <v>0</v>
      </c>
      <c r="B195" t="str">
        <f>"""C:\Program Files\VideoLAN\VLC\vlc.exe"" """&amp;master!B195&amp;""""</f>
        <v>"C:\Program Files\VideoLAN\VLC\vlc.exe" ""</v>
      </c>
    </row>
    <row r="196" spans="1:2" x14ac:dyDescent="0.55000000000000004">
      <c r="A196">
        <f>master!U196</f>
        <v>0</v>
      </c>
      <c r="B196" t="str">
        <f>"""C:\Program Files\VideoLAN\VLC\vlc.exe"" """&amp;master!B196&amp;""""</f>
        <v>"C:\Program Files\VideoLAN\VLC\vlc.exe" ""</v>
      </c>
    </row>
    <row r="197" spans="1:2" x14ac:dyDescent="0.55000000000000004">
      <c r="A197">
        <f>master!U197</f>
        <v>0</v>
      </c>
      <c r="B197" t="str">
        <f>"""C:\Program Files\VideoLAN\VLC\vlc.exe"" """&amp;master!B197&amp;""""</f>
        <v>"C:\Program Files\VideoLAN\VLC\vlc.exe" ""</v>
      </c>
    </row>
    <row r="198" spans="1:2" x14ac:dyDescent="0.55000000000000004">
      <c r="A198">
        <f>master!U198</f>
        <v>0</v>
      </c>
      <c r="B198" t="str">
        <f>"""C:\Program Files\VideoLAN\VLC\vlc.exe"" """&amp;master!B198&amp;""""</f>
        <v>"C:\Program Files\VideoLAN\VLC\vlc.exe" ""</v>
      </c>
    </row>
    <row r="199" spans="1:2" x14ac:dyDescent="0.55000000000000004">
      <c r="A199">
        <f>master!U199</f>
        <v>0</v>
      </c>
      <c r="B199" t="str">
        <f>"""C:\Program Files\VideoLAN\VLC\vlc.exe"" """&amp;master!B199&amp;""""</f>
        <v>"C:\Program Files\VideoLAN\VLC\vlc.exe" ""</v>
      </c>
    </row>
    <row r="200" spans="1:2" x14ac:dyDescent="0.55000000000000004">
      <c r="A200">
        <f>master!U200</f>
        <v>0</v>
      </c>
      <c r="B200" t="str">
        <f>"""C:\Program Files\VideoLAN\VLC\vlc.exe"" """&amp;master!B200&amp;""""</f>
        <v>"C:\Program Files\VideoLAN\VLC\vlc.exe" ""</v>
      </c>
    </row>
    <row r="201" spans="1:2" x14ac:dyDescent="0.55000000000000004">
      <c r="A201">
        <f>master!U201</f>
        <v>0</v>
      </c>
      <c r="B201" t="str">
        <f>"""C:\Program Files\VideoLAN\VLC\vlc.exe"" """&amp;master!B201&amp;""""</f>
        <v>"C:\Program Files\VideoLAN\VLC\vlc.exe" ""</v>
      </c>
    </row>
    <row r="202" spans="1:2" x14ac:dyDescent="0.55000000000000004">
      <c r="A202">
        <f>master!U202</f>
        <v>0</v>
      </c>
      <c r="B202" t="str">
        <f>"""C:\Program Files\VideoLAN\VLC\vlc.exe"" """&amp;master!B202&amp;""""</f>
        <v>"C:\Program Files\VideoLAN\VLC\vlc.exe" ""</v>
      </c>
    </row>
    <row r="203" spans="1:2" x14ac:dyDescent="0.55000000000000004">
      <c r="A203">
        <f>master!U203</f>
        <v>0</v>
      </c>
      <c r="B203" t="str">
        <f>"""C:\Program Files\VideoLAN\VLC\vlc.exe"" """&amp;master!B203&amp;""""</f>
        <v>"C:\Program Files\VideoLAN\VLC\vlc.exe" ""</v>
      </c>
    </row>
    <row r="204" spans="1:2" x14ac:dyDescent="0.55000000000000004">
      <c r="A204">
        <f>master!U204</f>
        <v>0</v>
      </c>
      <c r="B204" t="str">
        <f>"""C:\Program Files\VideoLAN\VLC\vlc.exe"" """&amp;master!B204&amp;""""</f>
        <v>"C:\Program Files\VideoLAN\VLC\vlc.exe" ""</v>
      </c>
    </row>
    <row r="205" spans="1:2" x14ac:dyDescent="0.55000000000000004">
      <c r="A205">
        <f>master!U205</f>
        <v>0</v>
      </c>
      <c r="B205" t="str">
        <f>"""C:\Program Files\VideoLAN\VLC\vlc.exe"" """&amp;master!B205&amp;""""</f>
        <v>"C:\Program Files\VideoLAN\VLC\vlc.exe" ""</v>
      </c>
    </row>
    <row r="206" spans="1:2" x14ac:dyDescent="0.55000000000000004">
      <c r="A206">
        <f>master!U206</f>
        <v>0</v>
      </c>
      <c r="B206" t="str">
        <f>"""C:\Program Files\VideoLAN\VLC\vlc.exe"" """&amp;master!B206&amp;""""</f>
        <v>"C:\Program Files\VideoLAN\VLC\vlc.exe" ""</v>
      </c>
    </row>
    <row r="207" spans="1:2" x14ac:dyDescent="0.55000000000000004">
      <c r="A207">
        <f>master!U207</f>
        <v>0</v>
      </c>
      <c r="B207" t="str">
        <f>"""C:\Program Files\VideoLAN\VLC\vlc.exe"" """&amp;master!B207&amp;""""</f>
        <v>"C:\Program Files\VideoLAN\VLC\vlc.exe" ""</v>
      </c>
    </row>
    <row r="208" spans="1:2" x14ac:dyDescent="0.55000000000000004">
      <c r="A208">
        <f>master!U208</f>
        <v>0</v>
      </c>
      <c r="B208" t="str">
        <f>"""C:\Program Files\VideoLAN\VLC\vlc.exe"" """&amp;master!B208&amp;""""</f>
        <v>"C:\Program Files\VideoLAN\VLC\vlc.exe" ""</v>
      </c>
    </row>
    <row r="209" spans="1:2" x14ac:dyDescent="0.55000000000000004">
      <c r="A209">
        <f>master!U209</f>
        <v>0</v>
      </c>
      <c r="B209" t="str">
        <f>"""C:\Program Files\VideoLAN\VLC\vlc.exe"" """&amp;master!B209&amp;""""</f>
        <v>"C:\Program Files\VideoLAN\VLC\vlc.exe" ""</v>
      </c>
    </row>
    <row r="210" spans="1:2" x14ac:dyDescent="0.55000000000000004">
      <c r="A210">
        <f>master!U210</f>
        <v>0</v>
      </c>
      <c r="B210" t="str">
        <f>"""C:\Program Files\VideoLAN\VLC\vlc.exe"" """&amp;master!B210&amp;""""</f>
        <v>"C:\Program Files\VideoLAN\VLC\vlc.exe" ""</v>
      </c>
    </row>
    <row r="211" spans="1:2" x14ac:dyDescent="0.55000000000000004">
      <c r="A211">
        <f>master!U211</f>
        <v>0</v>
      </c>
      <c r="B211" t="str">
        <f>"""C:\Program Files\VideoLAN\VLC\vlc.exe"" """&amp;master!B211&amp;""""</f>
        <v>"C:\Program Files\VideoLAN\VLC\vlc.exe" ""</v>
      </c>
    </row>
    <row r="212" spans="1:2" x14ac:dyDescent="0.55000000000000004">
      <c r="A212">
        <f>master!U212</f>
        <v>0</v>
      </c>
      <c r="B212" t="str">
        <f>"""C:\Program Files\VideoLAN\VLC\vlc.exe"" """&amp;master!B212&amp;""""</f>
        <v>"C:\Program Files\VideoLAN\VLC\vlc.exe" ""</v>
      </c>
    </row>
    <row r="213" spans="1:2" x14ac:dyDescent="0.55000000000000004">
      <c r="A213">
        <f>master!U213</f>
        <v>0</v>
      </c>
      <c r="B213" t="str">
        <f>"""C:\Program Files\VideoLAN\VLC\vlc.exe"" """&amp;master!B213&amp;""""</f>
        <v>"C:\Program Files\VideoLAN\VLC\vlc.exe" ""</v>
      </c>
    </row>
    <row r="214" spans="1:2" x14ac:dyDescent="0.55000000000000004">
      <c r="A214">
        <f>master!U214</f>
        <v>0</v>
      </c>
      <c r="B214" t="str">
        <f>"""C:\Program Files\VideoLAN\VLC\vlc.exe"" """&amp;master!B214&amp;""""</f>
        <v>"C:\Program Files\VideoLAN\VLC\vlc.exe" ""</v>
      </c>
    </row>
    <row r="215" spans="1:2" x14ac:dyDescent="0.55000000000000004">
      <c r="A215">
        <f>master!U215</f>
        <v>0</v>
      </c>
      <c r="B215" t="str">
        <f>"""C:\Program Files\VideoLAN\VLC\vlc.exe"" """&amp;master!B215&amp;""""</f>
        <v>"C:\Program Files\VideoLAN\VLC\vlc.exe" ""</v>
      </c>
    </row>
    <row r="216" spans="1:2" x14ac:dyDescent="0.55000000000000004">
      <c r="A216">
        <f>master!U216</f>
        <v>0</v>
      </c>
      <c r="B216" t="str">
        <f>"""C:\Program Files\VideoLAN\VLC\vlc.exe"" """&amp;master!B216&amp;""""</f>
        <v>"C:\Program Files\VideoLAN\VLC\vlc.exe" ""</v>
      </c>
    </row>
    <row r="217" spans="1:2" x14ac:dyDescent="0.55000000000000004">
      <c r="A217">
        <f>master!U217</f>
        <v>0</v>
      </c>
      <c r="B217" t="str">
        <f>"""C:\Program Files\VideoLAN\VLC\vlc.exe"" """&amp;master!B217&amp;""""</f>
        <v>"C:\Program Files\VideoLAN\VLC\vlc.exe" ""</v>
      </c>
    </row>
    <row r="218" spans="1:2" x14ac:dyDescent="0.55000000000000004">
      <c r="A218">
        <f>master!U218</f>
        <v>0</v>
      </c>
      <c r="B218" t="str">
        <f>"""C:\Program Files\VideoLAN\VLC\vlc.exe"" """&amp;master!B218&amp;""""</f>
        <v>"C:\Program Files\VideoLAN\VLC\vlc.exe" ""</v>
      </c>
    </row>
    <row r="219" spans="1:2" x14ac:dyDescent="0.55000000000000004">
      <c r="A219">
        <f>master!U219</f>
        <v>0</v>
      </c>
      <c r="B219" t="str">
        <f>"""C:\Program Files\VideoLAN\VLC\vlc.exe"" """&amp;master!B219&amp;""""</f>
        <v>"C:\Program Files\VideoLAN\VLC\vlc.exe" ""</v>
      </c>
    </row>
    <row r="220" spans="1:2" x14ac:dyDescent="0.55000000000000004">
      <c r="A220">
        <f>master!U220</f>
        <v>0</v>
      </c>
      <c r="B220" t="str">
        <f>"""C:\Program Files\VideoLAN\VLC\vlc.exe"" """&amp;master!B220&amp;""""</f>
        <v>"C:\Program Files\VideoLAN\VLC\vlc.exe" ""</v>
      </c>
    </row>
    <row r="221" spans="1:2" x14ac:dyDescent="0.55000000000000004">
      <c r="A221">
        <f>master!U221</f>
        <v>0</v>
      </c>
      <c r="B221" t="str">
        <f>"""C:\Program Files\VideoLAN\VLC\vlc.exe"" """&amp;master!B221&amp;""""</f>
        <v>"C:\Program Files\VideoLAN\VLC\vlc.exe" ""</v>
      </c>
    </row>
    <row r="222" spans="1:2" x14ac:dyDescent="0.55000000000000004">
      <c r="A222">
        <f>master!U222</f>
        <v>0</v>
      </c>
      <c r="B222" t="str">
        <f>"""C:\Program Files\VideoLAN\VLC\vlc.exe"" """&amp;master!B222&amp;""""</f>
        <v>"C:\Program Files\VideoLAN\VLC\vlc.exe" ""</v>
      </c>
    </row>
    <row r="223" spans="1:2" x14ac:dyDescent="0.55000000000000004">
      <c r="A223">
        <f>master!U223</f>
        <v>0</v>
      </c>
      <c r="B223" t="str">
        <f>"""C:\Program Files\VideoLAN\VLC\vlc.exe"" """&amp;master!B223&amp;""""</f>
        <v>"C:\Program Files\VideoLAN\VLC\vlc.exe" ""</v>
      </c>
    </row>
    <row r="224" spans="1:2" x14ac:dyDescent="0.55000000000000004">
      <c r="A224">
        <f>master!U224</f>
        <v>0</v>
      </c>
      <c r="B224" t="str">
        <f>"""C:\Program Files\VideoLAN\VLC\vlc.exe"" """&amp;master!B224&amp;""""</f>
        <v>"C:\Program Files\VideoLAN\VLC\vlc.exe" ""</v>
      </c>
    </row>
    <row r="225" spans="1:2" x14ac:dyDescent="0.55000000000000004">
      <c r="A225">
        <f>master!U225</f>
        <v>0</v>
      </c>
      <c r="B225" t="str">
        <f>"""C:\Program Files\VideoLAN\VLC\vlc.exe"" """&amp;master!B225&amp;""""</f>
        <v>"C:\Program Files\VideoLAN\VLC\vlc.exe" ""</v>
      </c>
    </row>
    <row r="226" spans="1:2" x14ac:dyDescent="0.55000000000000004">
      <c r="A226">
        <f>master!U226</f>
        <v>0</v>
      </c>
      <c r="B226" t="str">
        <f>"""C:\Program Files\VideoLAN\VLC\vlc.exe"" """&amp;master!B226&amp;""""</f>
        <v>"C:\Program Files\VideoLAN\VLC\vlc.exe" ""</v>
      </c>
    </row>
    <row r="227" spans="1:2" x14ac:dyDescent="0.55000000000000004">
      <c r="A227">
        <f>master!U227</f>
        <v>0</v>
      </c>
      <c r="B227" t="str">
        <f>"""C:\Program Files\VideoLAN\VLC\vlc.exe"" """&amp;master!B227&amp;""""</f>
        <v>"C:\Program Files\VideoLAN\VLC\vlc.exe" ""</v>
      </c>
    </row>
    <row r="228" spans="1:2" x14ac:dyDescent="0.55000000000000004">
      <c r="A228">
        <f>master!U228</f>
        <v>0</v>
      </c>
      <c r="B228" t="str">
        <f>"""C:\Program Files\VideoLAN\VLC\vlc.exe"" """&amp;master!B228&amp;""""</f>
        <v>"C:\Program Files\VideoLAN\VLC\vlc.exe" ""</v>
      </c>
    </row>
    <row r="229" spans="1:2" x14ac:dyDescent="0.55000000000000004">
      <c r="A229">
        <f>master!U229</f>
        <v>0</v>
      </c>
      <c r="B229" t="str">
        <f>"""C:\Program Files\VideoLAN\VLC\vlc.exe"" """&amp;master!B229&amp;""""</f>
        <v>"C:\Program Files\VideoLAN\VLC\vlc.exe" ""</v>
      </c>
    </row>
    <row r="230" spans="1:2" x14ac:dyDescent="0.55000000000000004">
      <c r="A230">
        <f>master!U230</f>
        <v>0</v>
      </c>
      <c r="B230" t="str">
        <f>"""C:\Program Files\VideoLAN\VLC\vlc.exe"" """&amp;master!B230&amp;""""</f>
        <v>"C:\Program Files\VideoLAN\VLC\vlc.exe" ""</v>
      </c>
    </row>
    <row r="231" spans="1:2" x14ac:dyDescent="0.55000000000000004">
      <c r="A231">
        <f>master!U231</f>
        <v>0</v>
      </c>
      <c r="B231" t="str">
        <f>"""C:\Program Files\VideoLAN\VLC\vlc.exe"" """&amp;master!B231&amp;""""</f>
        <v>"C:\Program Files\VideoLAN\VLC\vlc.exe" ""</v>
      </c>
    </row>
    <row r="232" spans="1:2" x14ac:dyDescent="0.55000000000000004">
      <c r="A232">
        <f>master!U232</f>
        <v>0</v>
      </c>
      <c r="B232" t="str">
        <f>"""C:\Program Files\VideoLAN\VLC\vlc.exe"" """&amp;master!B232&amp;""""</f>
        <v>"C:\Program Files\VideoLAN\VLC\vlc.exe" ""</v>
      </c>
    </row>
    <row r="233" spans="1:2" x14ac:dyDescent="0.55000000000000004">
      <c r="A233">
        <f>master!U233</f>
        <v>0</v>
      </c>
      <c r="B233" t="str">
        <f>"""C:\Program Files\VideoLAN\VLC\vlc.exe"" """&amp;master!B233&amp;""""</f>
        <v>"C:\Program Files\VideoLAN\VLC\vlc.exe" ""</v>
      </c>
    </row>
    <row r="234" spans="1:2" x14ac:dyDescent="0.55000000000000004">
      <c r="A234">
        <f>master!U234</f>
        <v>0</v>
      </c>
      <c r="B234" t="str">
        <f>"""C:\Program Files\VideoLAN\VLC\vlc.exe"" """&amp;master!B234&amp;""""</f>
        <v>"C:\Program Files\VideoLAN\VLC\vlc.exe" ""</v>
      </c>
    </row>
    <row r="235" spans="1:2" x14ac:dyDescent="0.55000000000000004">
      <c r="A235">
        <f>master!U235</f>
        <v>0</v>
      </c>
      <c r="B235" t="str">
        <f>"""C:\Program Files\VideoLAN\VLC\vlc.exe"" """&amp;master!B235&amp;""""</f>
        <v>"C:\Program Files\VideoLAN\VLC\vlc.exe" ""</v>
      </c>
    </row>
    <row r="236" spans="1:2" x14ac:dyDescent="0.55000000000000004">
      <c r="A236">
        <f>master!U236</f>
        <v>0</v>
      </c>
      <c r="B236" t="str">
        <f>"""C:\Program Files\VideoLAN\VLC\vlc.exe"" """&amp;master!B236&amp;""""</f>
        <v>"C:\Program Files\VideoLAN\VLC\vlc.exe" ""</v>
      </c>
    </row>
    <row r="237" spans="1:2" x14ac:dyDescent="0.55000000000000004">
      <c r="A237">
        <f>master!U237</f>
        <v>0</v>
      </c>
      <c r="B237" t="str">
        <f>"""C:\Program Files\VideoLAN\VLC\vlc.exe"" """&amp;master!B237&amp;""""</f>
        <v>"C:\Program Files\VideoLAN\VLC\vlc.exe" ""</v>
      </c>
    </row>
    <row r="238" spans="1:2" x14ac:dyDescent="0.55000000000000004">
      <c r="A238">
        <f>master!U238</f>
        <v>0</v>
      </c>
      <c r="B238" t="str">
        <f>"""C:\Program Files\VideoLAN\VLC\vlc.exe"" """&amp;master!B238&amp;""""</f>
        <v>"C:\Program Files\VideoLAN\VLC\vlc.exe" ""</v>
      </c>
    </row>
    <row r="239" spans="1:2" x14ac:dyDescent="0.55000000000000004">
      <c r="A239">
        <f>master!U239</f>
        <v>0</v>
      </c>
      <c r="B239" t="str">
        <f>"""C:\Program Files\VideoLAN\VLC\vlc.exe"" """&amp;master!B239&amp;""""</f>
        <v>"C:\Program Files\VideoLAN\VLC\vlc.exe" ""</v>
      </c>
    </row>
    <row r="240" spans="1:2" x14ac:dyDescent="0.55000000000000004">
      <c r="A240">
        <f>master!U240</f>
        <v>0</v>
      </c>
      <c r="B240" t="str">
        <f>"""C:\Program Files\VideoLAN\VLC\vlc.exe"" """&amp;master!B240&amp;""""</f>
        <v>"C:\Program Files\VideoLAN\VLC\vlc.exe" ""</v>
      </c>
    </row>
    <row r="241" spans="1:2" x14ac:dyDescent="0.55000000000000004">
      <c r="A241">
        <f>master!U241</f>
        <v>0</v>
      </c>
      <c r="B241" t="str">
        <f>"""C:\Program Files\VideoLAN\VLC\vlc.exe"" """&amp;master!B241&amp;""""</f>
        <v>"C:\Program Files\VideoLAN\VLC\vlc.exe" ""</v>
      </c>
    </row>
    <row r="242" spans="1:2" x14ac:dyDescent="0.55000000000000004">
      <c r="A242">
        <f>master!U242</f>
        <v>0</v>
      </c>
      <c r="B242" t="str">
        <f>"""C:\Program Files\VideoLAN\VLC\vlc.exe"" """&amp;master!B242&amp;""""</f>
        <v>"C:\Program Files\VideoLAN\VLC\vlc.exe" ""</v>
      </c>
    </row>
    <row r="243" spans="1:2" x14ac:dyDescent="0.55000000000000004">
      <c r="A243">
        <f>master!U243</f>
        <v>0</v>
      </c>
      <c r="B243" t="str">
        <f>"""C:\Program Files\VideoLAN\VLC\vlc.exe"" """&amp;master!B243&amp;""""</f>
        <v>"C:\Program Files\VideoLAN\VLC\vlc.exe" ""</v>
      </c>
    </row>
    <row r="244" spans="1:2" x14ac:dyDescent="0.55000000000000004">
      <c r="A244">
        <f>master!U244</f>
        <v>0</v>
      </c>
      <c r="B244" t="str">
        <f>"""C:\Program Files\VideoLAN\VLC\vlc.exe"" """&amp;master!B244&amp;""""</f>
        <v>"C:\Program Files\VideoLAN\VLC\vlc.exe" ""</v>
      </c>
    </row>
    <row r="245" spans="1:2" x14ac:dyDescent="0.55000000000000004">
      <c r="A245">
        <f>master!U245</f>
        <v>0</v>
      </c>
      <c r="B245" t="str">
        <f>"""C:\Program Files\VideoLAN\VLC\vlc.exe"" """&amp;master!B245&amp;""""</f>
        <v>"C:\Program Files\VideoLAN\VLC\vlc.exe" ""</v>
      </c>
    </row>
    <row r="246" spans="1:2" x14ac:dyDescent="0.55000000000000004">
      <c r="A246">
        <f>master!U246</f>
        <v>0</v>
      </c>
      <c r="B246" t="str">
        <f>"""C:\Program Files\VideoLAN\VLC\vlc.exe"" """&amp;master!B246&amp;""""</f>
        <v>"C:\Program Files\VideoLAN\VLC\vlc.exe" ""</v>
      </c>
    </row>
    <row r="247" spans="1:2" x14ac:dyDescent="0.55000000000000004">
      <c r="A247">
        <f>master!U247</f>
        <v>0</v>
      </c>
      <c r="B247" t="str">
        <f>"""C:\Program Files\VideoLAN\VLC\vlc.exe"" """&amp;master!B247&amp;""""</f>
        <v>"C:\Program Files\VideoLAN\VLC\vlc.exe" ""</v>
      </c>
    </row>
    <row r="248" spans="1:2" x14ac:dyDescent="0.55000000000000004">
      <c r="A248">
        <f>master!U248</f>
        <v>0</v>
      </c>
      <c r="B248" t="str">
        <f>"""C:\Program Files\VideoLAN\VLC\vlc.exe"" """&amp;master!B248&amp;""""</f>
        <v>"C:\Program Files\VideoLAN\VLC\vlc.exe" ""</v>
      </c>
    </row>
    <row r="249" spans="1:2" x14ac:dyDescent="0.55000000000000004">
      <c r="A249">
        <f>master!U249</f>
        <v>0</v>
      </c>
      <c r="B249" t="str">
        <f>"""C:\Program Files\VideoLAN\VLC\vlc.exe"" """&amp;master!B249&amp;""""</f>
        <v>"C:\Program Files\VideoLAN\VLC\vlc.exe" ""</v>
      </c>
    </row>
    <row r="250" spans="1:2" x14ac:dyDescent="0.55000000000000004">
      <c r="A250">
        <f>master!U250</f>
        <v>0</v>
      </c>
      <c r="B250" t="str">
        <f>"""C:\Program Files\VideoLAN\VLC\vlc.exe"" """&amp;master!B250&amp;""""</f>
        <v>"C:\Program Files\VideoLAN\VLC\vlc.exe" ""</v>
      </c>
    </row>
    <row r="251" spans="1:2" x14ac:dyDescent="0.55000000000000004">
      <c r="A251">
        <f>master!U251</f>
        <v>0</v>
      </c>
      <c r="B251" t="str">
        <f>"""C:\Program Files\VideoLAN\VLC\vlc.exe"" """&amp;master!B251&amp;""""</f>
        <v>"C:\Program Files\VideoLAN\VLC\vlc.exe" ""</v>
      </c>
    </row>
    <row r="252" spans="1:2" x14ac:dyDescent="0.55000000000000004">
      <c r="A252">
        <f>master!U252</f>
        <v>0</v>
      </c>
      <c r="B252" t="str">
        <f>"""C:\Program Files\VideoLAN\VLC\vlc.exe"" """&amp;master!B252&amp;""""</f>
        <v>"C:\Program Files\VideoLAN\VLC\vlc.exe" ""</v>
      </c>
    </row>
    <row r="253" spans="1:2" x14ac:dyDescent="0.55000000000000004">
      <c r="A253">
        <f>master!U253</f>
        <v>0</v>
      </c>
      <c r="B253" t="str">
        <f>"""C:\Program Files\VideoLAN\VLC\vlc.exe"" """&amp;master!B253&amp;""""</f>
        <v>"C:\Program Files\VideoLAN\VLC\vlc.exe" ""</v>
      </c>
    </row>
    <row r="254" spans="1:2" x14ac:dyDescent="0.55000000000000004">
      <c r="A254">
        <f>master!U254</f>
        <v>0</v>
      </c>
      <c r="B254" t="str">
        <f>"""C:\Program Files\VideoLAN\VLC\vlc.exe"" """&amp;master!B254&amp;""""</f>
        <v>"C:\Program Files\VideoLAN\VLC\vlc.exe" ""</v>
      </c>
    </row>
    <row r="255" spans="1:2" x14ac:dyDescent="0.55000000000000004">
      <c r="A255">
        <f>master!U255</f>
        <v>0</v>
      </c>
      <c r="B255" t="str">
        <f>"""C:\Program Files\VideoLAN\VLC\vlc.exe"" """&amp;master!B255&amp;""""</f>
        <v>"C:\Program Files\VideoLAN\VLC\vlc.exe" ""</v>
      </c>
    </row>
    <row r="256" spans="1:2" x14ac:dyDescent="0.55000000000000004">
      <c r="A256">
        <f>master!U256</f>
        <v>0</v>
      </c>
      <c r="B256" t="str">
        <f>"""C:\Program Files\VideoLAN\VLC\vlc.exe"" """&amp;master!B256&amp;""""</f>
        <v>"C:\Program Files\VideoLAN\VLC\vlc.exe" ""</v>
      </c>
    </row>
    <row r="257" spans="1:2" x14ac:dyDescent="0.55000000000000004">
      <c r="A257">
        <f>master!U257</f>
        <v>0</v>
      </c>
      <c r="B257" t="str">
        <f>"""C:\Program Files\VideoLAN\VLC\vlc.exe"" """&amp;master!B257&amp;""""</f>
        <v>"C:\Program Files\VideoLAN\VLC\vlc.exe" ""</v>
      </c>
    </row>
    <row r="258" spans="1:2" x14ac:dyDescent="0.55000000000000004">
      <c r="A258">
        <f>master!U258</f>
        <v>0</v>
      </c>
      <c r="B258" t="str">
        <f>"""C:\Program Files\VideoLAN\VLC\vlc.exe"" """&amp;master!B258&amp;""""</f>
        <v>"C:\Program Files\VideoLAN\VLC\vlc.exe" ""</v>
      </c>
    </row>
    <row r="259" spans="1:2" x14ac:dyDescent="0.55000000000000004">
      <c r="A259">
        <f>master!U259</f>
        <v>0</v>
      </c>
      <c r="B259" t="str">
        <f>"""C:\Program Files\VideoLAN\VLC\vlc.exe"" """&amp;master!B259&amp;""""</f>
        <v>"C:\Program Files\VideoLAN\VLC\vlc.exe" ""</v>
      </c>
    </row>
    <row r="260" spans="1:2" x14ac:dyDescent="0.55000000000000004">
      <c r="A260">
        <f>master!U260</f>
        <v>0</v>
      </c>
      <c r="B260" t="str">
        <f>"""C:\Program Files\VideoLAN\VLC\vlc.exe"" """&amp;master!B260&amp;""""</f>
        <v>"C:\Program Files\VideoLAN\VLC\vlc.exe" ""</v>
      </c>
    </row>
    <row r="261" spans="1:2" x14ac:dyDescent="0.55000000000000004">
      <c r="A261">
        <f>master!U261</f>
        <v>0</v>
      </c>
      <c r="B261" t="str">
        <f>"""C:\Program Files\VideoLAN\VLC\vlc.exe"" """&amp;master!B261&amp;""""</f>
        <v>"C:\Program Files\VideoLAN\VLC\vlc.exe" ""</v>
      </c>
    </row>
    <row r="262" spans="1:2" x14ac:dyDescent="0.55000000000000004">
      <c r="A262">
        <f>master!U262</f>
        <v>0</v>
      </c>
      <c r="B262" t="str">
        <f>"""C:\Program Files\VideoLAN\VLC\vlc.exe"" """&amp;master!B262&amp;""""</f>
        <v>"C:\Program Files\VideoLAN\VLC\vlc.exe" ""</v>
      </c>
    </row>
    <row r="263" spans="1:2" x14ac:dyDescent="0.55000000000000004">
      <c r="A263">
        <f>master!U263</f>
        <v>0</v>
      </c>
      <c r="B263" t="str">
        <f>"""C:\Program Files\VideoLAN\VLC\vlc.exe"" """&amp;master!B263&amp;""""</f>
        <v>"C:\Program Files\VideoLAN\VLC\vlc.exe" ""</v>
      </c>
    </row>
    <row r="264" spans="1:2" x14ac:dyDescent="0.55000000000000004">
      <c r="A264">
        <f>master!U264</f>
        <v>0</v>
      </c>
      <c r="B264" t="str">
        <f>"""C:\Program Files\VideoLAN\VLC\vlc.exe"" """&amp;master!B264&amp;""""</f>
        <v>"C:\Program Files\VideoLAN\VLC\vlc.exe" ""</v>
      </c>
    </row>
    <row r="265" spans="1:2" x14ac:dyDescent="0.55000000000000004">
      <c r="A265">
        <f>master!U265</f>
        <v>0</v>
      </c>
      <c r="B265" t="str">
        <f>"""C:\Program Files\VideoLAN\VLC\vlc.exe"" """&amp;master!B265&amp;""""</f>
        <v>"C:\Program Files\VideoLAN\VLC\vlc.exe" ""</v>
      </c>
    </row>
    <row r="266" spans="1:2" x14ac:dyDescent="0.55000000000000004">
      <c r="A266">
        <f>master!U266</f>
        <v>0</v>
      </c>
      <c r="B266" t="str">
        <f>"""C:\Program Files\VideoLAN\VLC\vlc.exe"" """&amp;master!B266&amp;""""</f>
        <v>"C:\Program Files\VideoLAN\VLC\vlc.exe" ""</v>
      </c>
    </row>
    <row r="267" spans="1:2" x14ac:dyDescent="0.55000000000000004">
      <c r="A267">
        <f>master!U267</f>
        <v>0</v>
      </c>
      <c r="B267" t="str">
        <f>"""C:\Program Files\VideoLAN\VLC\vlc.exe"" """&amp;master!B267&amp;""""</f>
        <v>"C:\Program Files\VideoLAN\VLC\vlc.exe" ""</v>
      </c>
    </row>
    <row r="268" spans="1:2" x14ac:dyDescent="0.55000000000000004">
      <c r="A268">
        <f>master!U268</f>
        <v>0</v>
      </c>
      <c r="B268" t="str">
        <f>"""C:\Program Files\VideoLAN\VLC\vlc.exe"" """&amp;master!B268&amp;""""</f>
        <v>"C:\Program Files\VideoLAN\VLC\vlc.exe" ""</v>
      </c>
    </row>
    <row r="269" spans="1:2" x14ac:dyDescent="0.55000000000000004">
      <c r="A269">
        <f>master!U269</f>
        <v>0</v>
      </c>
      <c r="B269" t="str">
        <f>"""C:\Program Files\VideoLAN\VLC\vlc.exe"" """&amp;master!B269&amp;""""</f>
        <v>"C:\Program Files\VideoLAN\VLC\vlc.exe" ""</v>
      </c>
    </row>
    <row r="270" spans="1:2" x14ac:dyDescent="0.55000000000000004">
      <c r="A270">
        <f>master!U270</f>
        <v>0</v>
      </c>
      <c r="B270" t="str">
        <f>"""C:\Program Files\VideoLAN\VLC\vlc.exe"" """&amp;master!B270&amp;""""</f>
        <v>"C:\Program Files\VideoLAN\VLC\vlc.exe" ""</v>
      </c>
    </row>
    <row r="271" spans="1:2" x14ac:dyDescent="0.55000000000000004">
      <c r="A271">
        <f>master!U271</f>
        <v>0</v>
      </c>
      <c r="B271" t="str">
        <f>"""C:\Program Files\VideoLAN\VLC\vlc.exe"" """&amp;master!B271&amp;""""</f>
        <v>"C:\Program Files\VideoLAN\VLC\vlc.exe" ""</v>
      </c>
    </row>
    <row r="272" spans="1:2" x14ac:dyDescent="0.55000000000000004">
      <c r="A272">
        <f>master!U272</f>
        <v>0</v>
      </c>
      <c r="B272" t="str">
        <f>"""C:\Program Files\VideoLAN\VLC\vlc.exe"" """&amp;master!B272&amp;""""</f>
        <v>"C:\Program Files\VideoLAN\VLC\vlc.exe" ""</v>
      </c>
    </row>
    <row r="273" spans="1:2" x14ac:dyDescent="0.55000000000000004">
      <c r="A273">
        <f>master!U273</f>
        <v>0</v>
      </c>
      <c r="B273" t="str">
        <f>"""C:\Program Files\VideoLAN\VLC\vlc.exe"" """&amp;master!B273&amp;""""</f>
        <v>"C:\Program Files\VideoLAN\VLC\vlc.exe" ""</v>
      </c>
    </row>
    <row r="274" spans="1:2" x14ac:dyDescent="0.55000000000000004">
      <c r="A274">
        <f>master!U274</f>
        <v>0</v>
      </c>
      <c r="B274" t="str">
        <f>"""C:\Program Files\VideoLAN\VLC\vlc.exe"" """&amp;master!B274&amp;""""</f>
        <v>"C:\Program Files\VideoLAN\VLC\vlc.exe" ""</v>
      </c>
    </row>
    <row r="275" spans="1:2" x14ac:dyDescent="0.55000000000000004">
      <c r="A275">
        <f>master!U275</f>
        <v>0</v>
      </c>
      <c r="B275" t="str">
        <f>"""C:\Program Files\VideoLAN\VLC\vlc.exe"" """&amp;master!B275&amp;""""</f>
        <v>"C:\Program Files\VideoLAN\VLC\vlc.exe" ""</v>
      </c>
    </row>
    <row r="276" spans="1:2" x14ac:dyDescent="0.55000000000000004">
      <c r="A276">
        <f>master!U276</f>
        <v>0</v>
      </c>
      <c r="B276" t="str">
        <f>"""C:\Program Files\VideoLAN\VLC\vlc.exe"" """&amp;master!B276&amp;""""</f>
        <v>"C:\Program Files\VideoLAN\VLC\vlc.exe" ""</v>
      </c>
    </row>
    <row r="277" spans="1:2" x14ac:dyDescent="0.55000000000000004">
      <c r="A277">
        <f>master!U277</f>
        <v>0</v>
      </c>
      <c r="B277" t="str">
        <f>"""C:\Program Files\VideoLAN\VLC\vlc.exe"" """&amp;master!B277&amp;""""</f>
        <v>"C:\Program Files\VideoLAN\VLC\vlc.exe" ""</v>
      </c>
    </row>
    <row r="278" spans="1:2" x14ac:dyDescent="0.55000000000000004">
      <c r="A278">
        <f>master!U278</f>
        <v>0</v>
      </c>
      <c r="B278" t="str">
        <f>"""C:\Program Files\VideoLAN\VLC\vlc.exe"" """&amp;master!B278&amp;""""</f>
        <v>"C:\Program Files\VideoLAN\VLC\vlc.exe" ""</v>
      </c>
    </row>
    <row r="279" spans="1:2" x14ac:dyDescent="0.55000000000000004">
      <c r="A279">
        <f>master!U279</f>
        <v>0</v>
      </c>
      <c r="B279" t="str">
        <f>"""C:\Program Files\VideoLAN\VLC\vlc.exe"" """&amp;master!B279&amp;""""</f>
        <v>"C:\Program Files\VideoLAN\VLC\vlc.exe" ""</v>
      </c>
    </row>
    <row r="280" spans="1:2" x14ac:dyDescent="0.55000000000000004">
      <c r="A280">
        <f>master!U280</f>
        <v>0</v>
      </c>
      <c r="B280" t="str">
        <f>"""C:\Program Files\VideoLAN\VLC\vlc.exe"" """&amp;master!B280&amp;""""</f>
        <v>"C:\Program Files\VideoLAN\VLC\vlc.exe" ""</v>
      </c>
    </row>
    <row r="281" spans="1:2" x14ac:dyDescent="0.55000000000000004">
      <c r="A281">
        <f>master!U281</f>
        <v>0</v>
      </c>
      <c r="B281" t="str">
        <f>"""C:\Program Files\VideoLAN\VLC\vlc.exe"" """&amp;master!B281&amp;""""</f>
        <v>"C:\Program Files\VideoLAN\VLC\vlc.exe" ""</v>
      </c>
    </row>
    <row r="282" spans="1:2" x14ac:dyDescent="0.55000000000000004">
      <c r="A282">
        <f>master!U282</f>
        <v>0</v>
      </c>
      <c r="B282" t="str">
        <f>"""C:\Program Files\VideoLAN\VLC\vlc.exe"" """&amp;master!B282&amp;""""</f>
        <v>"C:\Program Files\VideoLAN\VLC\vlc.exe" ""</v>
      </c>
    </row>
    <row r="283" spans="1:2" x14ac:dyDescent="0.55000000000000004">
      <c r="A283">
        <f>master!U283</f>
        <v>0</v>
      </c>
      <c r="B283" t="str">
        <f>"""C:\Program Files\VideoLAN\VLC\vlc.exe"" """&amp;master!B283&amp;""""</f>
        <v>"C:\Program Files\VideoLAN\VLC\vlc.exe" ""</v>
      </c>
    </row>
    <row r="284" spans="1:2" x14ac:dyDescent="0.55000000000000004">
      <c r="A284">
        <f>master!U284</f>
        <v>0</v>
      </c>
      <c r="B284" t="str">
        <f>"""C:\Program Files\VideoLAN\VLC\vlc.exe"" """&amp;master!B284&amp;""""</f>
        <v>"C:\Program Files\VideoLAN\VLC\vlc.exe" ""</v>
      </c>
    </row>
    <row r="285" spans="1:2" x14ac:dyDescent="0.55000000000000004">
      <c r="A285">
        <f>master!U285</f>
        <v>0</v>
      </c>
      <c r="B285" t="str">
        <f>"""C:\Program Files\VideoLAN\VLC\vlc.exe"" """&amp;master!B285&amp;""""</f>
        <v>"C:\Program Files\VideoLAN\VLC\vlc.exe" ""</v>
      </c>
    </row>
    <row r="286" spans="1:2" x14ac:dyDescent="0.55000000000000004">
      <c r="A286">
        <f>master!U286</f>
        <v>0</v>
      </c>
      <c r="B286" t="str">
        <f>"""C:\Program Files\VideoLAN\VLC\vlc.exe"" """&amp;master!B286&amp;""""</f>
        <v>"C:\Program Files\VideoLAN\VLC\vlc.exe" ""</v>
      </c>
    </row>
    <row r="287" spans="1:2" x14ac:dyDescent="0.55000000000000004">
      <c r="A287">
        <f>master!U287</f>
        <v>0</v>
      </c>
      <c r="B287" t="str">
        <f>"""C:\Program Files\VideoLAN\VLC\vlc.exe"" """&amp;master!B287&amp;""""</f>
        <v>"C:\Program Files\VideoLAN\VLC\vlc.exe" ""</v>
      </c>
    </row>
    <row r="288" spans="1:2" x14ac:dyDescent="0.55000000000000004">
      <c r="A288">
        <f>master!U288</f>
        <v>0</v>
      </c>
      <c r="B288" t="str">
        <f>"""C:\Program Files\VideoLAN\VLC\vlc.exe"" """&amp;master!B288&amp;""""</f>
        <v>"C:\Program Files\VideoLAN\VLC\vlc.exe" ""</v>
      </c>
    </row>
    <row r="289" spans="1:2" x14ac:dyDescent="0.55000000000000004">
      <c r="A289">
        <f>master!U289</f>
        <v>0</v>
      </c>
      <c r="B289" t="str">
        <f>"""C:\Program Files\VideoLAN\VLC\vlc.exe"" """&amp;master!B289&amp;""""</f>
        <v>"C:\Program Files\VideoLAN\VLC\vlc.exe" ""</v>
      </c>
    </row>
    <row r="290" spans="1:2" x14ac:dyDescent="0.55000000000000004">
      <c r="A290">
        <f>master!U290</f>
        <v>0</v>
      </c>
      <c r="B290" t="str">
        <f>"""C:\Program Files\VideoLAN\VLC\vlc.exe"" """&amp;master!B290&amp;""""</f>
        <v>"C:\Program Files\VideoLAN\VLC\vlc.exe" ""</v>
      </c>
    </row>
    <row r="291" spans="1:2" x14ac:dyDescent="0.55000000000000004">
      <c r="A291">
        <f>master!U291</f>
        <v>0</v>
      </c>
      <c r="B291" t="str">
        <f>"""C:\Program Files\VideoLAN\VLC\vlc.exe"" """&amp;master!B291&amp;""""</f>
        <v>"C:\Program Files\VideoLAN\VLC\vlc.exe" ""</v>
      </c>
    </row>
    <row r="292" spans="1:2" x14ac:dyDescent="0.55000000000000004">
      <c r="A292">
        <f>master!U292</f>
        <v>0</v>
      </c>
      <c r="B292" t="str">
        <f>"""C:\Program Files\VideoLAN\VLC\vlc.exe"" """&amp;master!B292&amp;""""</f>
        <v>"C:\Program Files\VideoLAN\VLC\vlc.exe" ""</v>
      </c>
    </row>
    <row r="293" spans="1:2" x14ac:dyDescent="0.55000000000000004">
      <c r="A293">
        <f>master!U293</f>
        <v>0</v>
      </c>
      <c r="B293" t="str">
        <f>"""C:\Program Files\VideoLAN\VLC\vlc.exe"" """&amp;master!B293&amp;""""</f>
        <v>"C:\Program Files\VideoLAN\VLC\vlc.exe" ""</v>
      </c>
    </row>
    <row r="294" spans="1:2" x14ac:dyDescent="0.55000000000000004">
      <c r="A294">
        <f>master!U294</f>
        <v>0</v>
      </c>
      <c r="B294" t="str">
        <f>"""C:\Program Files\VideoLAN\VLC\vlc.exe"" """&amp;master!B294&amp;""""</f>
        <v>"C:\Program Files\VideoLAN\VLC\vlc.exe" ""</v>
      </c>
    </row>
    <row r="295" spans="1:2" x14ac:dyDescent="0.55000000000000004">
      <c r="A295">
        <f>master!U295</f>
        <v>0</v>
      </c>
      <c r="B295" t="str">
        <f>"""C:\Program Files\VideoLAN\VLC\vlc.exe"" """&amp;master!B295&amp;""""</f>
        <v>"C:\Program Files\VideoLAN\VLC\vlc.exe" ""</v>
      </c>
    </row>
    <row r="296" spans="1:2" x14ac:dyDescent="0.55000000000000004">
      <c r="A296">
        <f>master!U296</f>
        <v>0</v>
      </c>
      <c r="B296" t="str">
        <f>"""C:\Program Files\VideoLAN\VLC\vlc.exe"" """&amp;master!B296&amp;""""</f>
        <v>"C:\Program Files\VideoLAN\VLC\vlc.exe" ""</v>
      </c>
    </row>
    <row r="297" spans="1:2" x14ac:dyDescent="0.55000000000000004">
      <c r="A297">
        <f>master!U297</f>
        <v>0</v>
      </c>
      <c r="B297" t="str">
        <f>"""C:\Program Files\VideoLAN\VLC\vlc.exe"" """&amp;master!B297&amp;""""</f>
        <v>"C:\Program Files\VideoLAN\VLC\vlc.exe" ""</v>
      </c>
    </row>
    <row r="298" spans="1:2" x14ac:dyDescent="0.55000000000000004">
      <c r="A298">
        <f>master!U298</f>
        <v>0</v>
      </c>
      <c r="B298" t="str">
        <f>"""C:\Program Files\VideoLAN\VLC\vlc.exe"" """&amp;master!B298&amp;""""</f>
        <v>"C:\Program Files\VideoLAN\VLC\vlc.exe" ""</v>
      </c>
    </row>
    <row r="299" spans="1:2" x14ac:dyDescent="0.55000000000000004">
      <c r="A299">
        <f>master!U299</f>
        <v>0</v>
      </c>
      <c r="B299" t="str">
        <f>"""C:\Program Files\VideoLAN\VLC\vlc.exe"" """&amp;master!B299&amp;""""</f>
        <v>"C:\Program Files\VideoLAN\VLC\vlc.exe" ""</v>
      </c>
    </row>
    <row r="300" spans="1:2" x14ac:dyDescent="0.55000000000000004">
      <c r="A300">
        <f>master!U300</f>
        <v>0</v>
      </c>
      <c r="B300" t="str">
        <f>"""C:\Program Files\VideoLAN\VLC\vlc.exe"" """&amp;master!B300&amp;""""</f>
        <v>"C:\Program Files\VideoLAN\VLC\vlc.exe" ""</v>
      </c>
    </row>
    <row r="301" spans="1:2" x14ac:dyDescent="0.55000000000000004">
      <c r="A301">
        <f>master!U301</f>
        <v>0</v>
      </c>
      <c r="B301" t="str">
        <f>"""C:\Program Files\VideoLAN\VLC\vlc.exe"" """&amp;master!B301&amp;""""</f>
        <v>"C:\Program Files\VideoLAN\VLC\vlc.exe" ""</v>
      </c>
    </row>
    <row r="302" spans="1:2" x14ac:dyDescent="0.55000000000000004">
      <c r="A302">
        <f>master!U302</f>
        <v>0</v>
      </c>
      <c r="B302" t="str">
        <f>"""C:\Program Files\VideoLAN\VLC\vlc.exe"" """&amp;master!B302&amp;""""</f>
        <v>"C:\Program Files\VideoLAN\VLC\vlc.exe" ""</v>
      </c>
    </row>
    <row r="303" spans="1:2" x14ac:dyDescent="0.55000000000000004">
      <c r="A303">
        <f>master!U303</f>
        <v>0</v>
      </c>
      <c r="B303" t="str">
        <f>"""C:\Program Files\VideoLAN\VLC\vlc.exe"" """&amp;master!B303&amp;""""</f>
        <v>"C:\Program Files\VideoLAN\VLC\vlc.exe" ""</v>
      </c>
    </row>
    <row r="304" spans="1:2" x14ac:dyDescent="0.55000000000000004">
      <c r="A304">
        <f>master!U304</f>
        <v>0</v>
      </c>
      <c r="B304" t="str">
        <f>"""C:\Program Files\VideoLAN\VLC\vlc.exe"" """&amp;master!B304&amp;""""</f>
        <v>"C:\Program Files\VideoLAN\VLC\vlc.exe" ""</v>
      </c>
    </row>
    <row r="305" spans="1:2" x14ac:dyDescent="0.55000000000000004">
      <c r="A305">
        <f>master!U305</f>
        <v>0</v>
      </c>
      <c r="B305" t="str">
        <f>"""C:\Program Files\VideoLAN\VLC\vlc.exe"" """&amp;master!B305&amp;""""</f>
        <v>"C:\Program Files\VideoLAN\VLC\vlc.exe" ""</v>
      </c>
    </row>
    <row r="306" spans="1:2" x14ac:dyDescent="0.55000000000000004">
      <c r="A306">
        <f>master!U306</f>
        <v>0</v>
      </c>
      <c r="B306" t="str">
        <f>"""C:\Program Files\VideoLAN\VLC\vlc.exe"" """&amp;master!B306&amp;""""</f>
        <v>"C:\Program Files\VideoLAN\VLC\vlc.exe" ""</v>
      </c>
    </row>
    <row r="307" spans="1:2" x14ac:dyDescent="0.55000000000000004">
      <c r="A307">
        <f>master!U307</f>
        <v>0</v>
      </c>
      <c r="B307" t="str">
        <f>"""C:\Program Files\VideoLAN\VLC\vlc.exe"" """&amp;master!B307&amp;""""</f>
        <v>"C:\Program Files\VideoLAN\VLC\vlc.exe" ""</v>
      </c>
    </row>
    <row r="308" spans="1:2" x14ac:dyDescent="0.55000000000000004">
      <c r="A308">
        <f>master!U308</f>
        <v>0</v>
      </c>
      <c r="B308" t="str">
        <f>"""C:\Program Files\VideoLAN\VLC\vlc.exe"" """&amp;master!B308&amp;""""</f>
        <v>"C:\Program Files\VideoLAN\VLC\vlc.exe" ""</v>
      </c>
    </row>
    <row r="309" spans="1:2" x14ac:dyDescent="0.55000000000000004">
      <c r="A309">
        <f>master!U309</f>
        <v>0</v>
      </c>
      <c r="B309" t="str">
        <f>"""C:\Program Files\VideoLAN\VLC\vlc.exe"" """&amp;master!B309&amp;""""</f>
        <v>"C:\Program Files\VideoLAN\VLC\vlc.exe" ""</v>
      </c>
    </row>
    <row r="310" spans="1:2" x14ac:dyDescent="0.55000000000000004">
      <c r="A310">
        <f>master!U310</f>
        <v>0</v>
      </c>
      <c r="B310" t="str">
        <f>"""C:\Program Files\VideoLAN\VLC\vlc.exe"" """&amp;master!B310&amp;""""</f>
        <v>"C:\Program Files\VideoLAN\VLC\vlc.exe" ""</v>
      </c>
    </row>
    <row r="311" spans="1:2" x14ac:dyDescent="0.55000000000000004">
      <c r="A311">
        <f>master!U311</f>
        <v>0</v>
      </c>
      <c r="B311" t="str">
        <f>"""C:\Program Files\VideoLAN\VLC\vlc.exe"" """&amp;master!B311&amp;""""</f>
        <v>"C:\Program Files\VideoLAN\VLC\vlc.exe" ""</v>
      </c>
    </row>
    <row r="312" spans="1:2" x14ac:dyDescent="0.55000000000000004">
      <c r="A312">
        <f>master!U312</f>
        <v>0</v>
      </c>
      <c r="B312" t="str">
        <f>"""C:\Program Files\VideoLAN\VLC\vlc.exe"" """&amp;master!B312&amp;""""</f>
        <v>"C:\Program Files\VideoLAN\VLC\vlc.exe" ""</v>
      </c>
    </row>
    <row r="313" spans="1:2" x14ac:dyDescent="0.55000000000000004">
      <c r="A313">
        <f>master!U313</f>
        <v>0</v>
      </c>
      <c r="B313" t="str">
        <f>"""C:\Program Files\VideoLAN\VLC\vlc.exe"" """&amp;master!B313&amp;""""</f>
        <v>"C:\Program Files\VideoLAN\VLC\vlc.exe" ""</v>
      </c>
    </row>
    <row r="314" spans="1:2" x14ac:dyDescent="0.55000000000000004">
      <c r="A314">
        <f>master!U314</f>
        <v>0</v>
      </c>
      <c r="B314" t="str">
        <f>"""C:\Program Files\VideoLAN\VLC\vlc.exe"" """&amp;master!B314&amp;""""</f>
        <v>"C:\Program Files\VideoLAN\VLC\vlc.exe" ""</v>
      </c>
    </row>
    <row r="315" spans="1:2" x14ac:dyDescent="0.55000000000000004">
      <c r="A315">
        <f>master!U315</f>
        <v>0</v>
      </c>
      <c r="B315" t="str">
        <f>"""C:\Program Files\VideoLAN\VLC\vlc.exe"" """&amp;master!B315&amp;""""</f>
        <v>"C:\Program Files\VideoLAN\VLC\vlc.exe" ""</v>
      </c>
    </row>
    <row r="316" spans="1:2" x14ac:dyDescent="0.55000000000000004">
      <c r="A316">
        <f>master!U316</f>
        <v>0</v>
      </c>
      <c r="B316" t="str">
        <f>"""C:\Program Files\VideoLAN\VLC\vlc.exe"" """&amp;master!B316&amp;""""</f>
        <v>"C:\Program Files\VideoLAN\VLC\vlc.exe" ""</v>
      </c>
    </row>
    <row r="317" spans="1:2" x14ac:dyDescent="0.55000000000000004">
      <c r="A317">
        <f>master!U317</f>
        <v>0</v>
      </c>
      <c r="B317" t="str">
        <f>"""C:\Program Files\VideoLAN\VLC\vlc.exe"" """&amp;master!B317&amp;""""</f>
        <v>"C:\Program Files\VideoLAN\VLC\vlc.exe" ""</v>
      </c>
    </row>
    <row r="318" spans="1:2" x14ac:dyDescent="0.55000000000000004">
      <c r="A318">
        <f>master!U318</f>
        <v>0</v>
      </c>
      <c r="B318" t="str">
        <f>"""C:\Program Files\VideoLAN\VLC\vlc.exe"" """&amp;master!B318&amp;""""</f>
        <v>"C:\Program Files\VideoLAN\VLC\vlc.exe" ""</v>
      </c>
    </row>
    <row r="319" spans="1:2" x14ac:dyDescent="0.55000000000000004">
      <c r="A319">
        <f>master!U319</f>
        <v>0</v>
      </c>
      <c r="B319" t="str">
        <f>"""C:\Program Files\VideoLAN\VLC\vlc.exe"" """&amp;master!B319&amp;""""</f>
        <v>"C:\Program Files\VideoLAN\VLC\vlc.exe" ""</v>
      </c>
    </row>
    <row r="320" spans="1:2" x14ac:dyDescent="0.55000000000000004">
      <c r="A320">
        <f>master!U320</f>
        <v>0</v>
      </c>
      <c r="B320" t="str">
        <f>"""C:\Program Files\VideoLAN\VLC\vlc.exe"" """&amp;master!B320&amp;""""</f>
        <v>"C:\Program Files\VideoLAN\VLC\vlc.exe" ""</v>
      </c>
    </row>
    <row r="321" spans="1:2" x14ac:dyDescent="0.55000000000000004">
      <c r="A321">
        <f>master!U321</f>
        <v>0</v>
      </c>
      <c r="B321" t="str">
        <f>"""C:\Program Files\VideoLAN\VLC\vlc.exe"" """&amp;master!B321&amp;""""</f>
        <v>"C:\Program Files\VideoLAN\VLC\vlc.exe" ""</v>
      </c>
    </row>
    <row r="322" spans="1:2" x14ac:dyDescent="0.55000000000000004">
      <c r="A322">
        <f>master!U322</f>
        <v>0</v>
      </c>
      <c r="B322" t="str">
        <f>"""C:\Program Files\VideoLAN\VLC\vlc.exe"" """&amp;master!B322&amp;""""</f>
        <v>"C:\Program Files\VideoLAN\VLC\vlc.exe" ""</v>
      </c>
    </row>
    <row r="323" spans="1:2" x14ac:dyDescent="0.55000000000000004">
      <c r="A323">
        <f>master!U323</f>
        <v>0</v>
      </c>
      <c r="B323" t="str">
        <f>"""C:\Program Files\VideoLAN\VLC\vlc.exe"" """&amp;master!B323&amp;""""</f>
        <v>"C:\Program Files\VideoLAN\VLC\vlc.exe" ""</v>
      </c>
    </row>
    <row r="324" spans="1:2" x14ac:dyDescent="0.55000000000000004">
      <c r="A324">
        <f>master!U324</f>
        <v>0</v>
      </c>
      <c r="B324" t="str">
        <f>"""C:\Program Files\VideoLAN\VLC\vlc.exe"" """&amp;master!B324&amp;""""</f>
        <v>"C:\Program Files\VideoLAN\VLC\vlc.exe" ""</v>
      </c>
    </row>
    <row r="325" spans="1:2" x14ac:dyDescent="0.55000000000000004">
      <c r="A325">
        <f>master!U325</f>
        <v>0</v>
      </c>
      <c r="B325" t="str">
        <f>"""C:\Program Files\VideoLAN\VLC\vlc.exe"" """&amp;master!B325&amp;""""</f>
        <v>"C:\Program Files\VideoLAN\VLC\vlc.exe" ""</v>
      </c>
    </row>
    <row r="326" spans="1:2" x14ac:dyDescent="0.55000000000000004">
      <c r="A326">
        <f>master!U326</f>
        <v>0</v>
      </c>
      <c r="B326" t="str">
        <f>"""C:\Program Files\VideoLAN\VLC\vlc.exe"" """&amp;master!B326&amp;""""</f>
        <v>"C:\Program Files\VideoLAN\VLC\vlc.exe" ""</v>
      </c>
    </row>
    <row r="327" spans="1:2" x14ac:dyDescent="0.55000000000000004">
      <c r="A327">
        <f>master!U327</f>
        <v>0</v>
      </c>
      <c r="B327" t="str">
        <f>"""C:\Program Files\VideoLAN\VLC\vlc.exe"" """&amp;master!B327&amp;""""</f>
        <v>"C:\Program Files\VideoLAN\VLC\vlc.exe" ""</v>
      </c>
    </row>
    <row r="328" spans="1:2" x14ac:dyDescent="0.55000000000000004">
      <c r="A328">
        <f>master!U328</f>
        <v>0</v>
      </c>
      <c r="B328" t="str">
        <f>"""C:\Program Files\VideoLAN\VLC\vlc.exe"" """&amp;master!B328&amp;""""</f>
        <v>"C:\Program Files\VideoLAN\VLC\vlc.exe" ""</v>
      </c>
    </row>
    <row r="329" spans="1:2" x14ac:dyDescent="0.55000000000000004">
      <c r="A329">
        <f>master!U329</f>
        <v>0</v>
      </c>
      <c r="B329" t="str">
        <f>"""C:\Program Files\VideoLAN\VLC\vlc.exe"" """&amp;master!B329&amp;""""</f>
        <v>"C:\Program Files\VideoLAN\VLC\vlc.exe" ""</v>
      </c>
    </row>
    <row r="330" spans="1:2" x14ac:dyDescent="0.55000000000000004">
      <c r="A330">
        <f>master!U330</f>
        <v>0</v>
      </c>
      <c r="B330" t="str">
        <f>"""C:\Program Files\VideoLAN\VLC\vlc.exe"" """&amp;master!B330&amp;""""</f>
        <v>"C:\Program Files\VideoLAN\VLC\vlc.exe" ""</v>
      </c>
    </row>
    <row r="331" spans="1:2" x14ac:dyDescent="0.55000000000000004">
      <c r="A331">
        <f>master!U331</f>
        <v>0</v>
      </c>
      <c r="B331" t="str">
        <f>"""C:\Program Files\VideoLAN\VLC\vlc.exe"" """&amp;master!B331&amp;""""</f>
        <v>"C:\Program Files\VideoLAN\VLC\vlc.exe" ""</v>
      </c>
    </row>
    <row r="332" spans="1:2" x14ac:dyDescent="0.55000000000000004">
      <c r="A332">
        <f>master!U332</f>
        <v>0</v>
      </c>
      <c r="B332" t="str">
        <f>"""C:\Program Files\VideoLAN\VLC\vlc.exe"" """&amp;master!B332&amp;""""</f>
        <v>"C:\Program Files\VideoLAN\VLC\vlc.exe" ""</v>
      </c>
    </row>
    <row r="333" spans="1:2" x14ac:dyDescent="0.55000000000000004">
      <c r="A333">
        <f>master!U333</f>
        <v>0</v>
      </c>
      <c r="B333" t="str">
        <f>"""C:\Program Files\VideoLAN\VLC\vlc.exe"" """&amp;master!B333&amp;""""</f>
        <v>"C:\Program Files\VideoLAN\VLC\vlc.exe" ""</v>
      </c>
    </row>
    <row r="334" spans="1:2" x14ac:dyDescent="0.55000000000000004">
      <c r="A334">
        <f>master!U334</f>
        <v>0</v>
      </c>
      <c r="B334" t="str">
        <f>"""C:\Program Files\VideoLAN\VLC\vlc.exe"" """&amp;master!B334&amp;""""</f>
        <v>"C:\Program Files\VideoLAN\VLC\vlc.exe" ""</v>
      </c>
    </row>
    <row r="335" spans="1:2" x14ac:dyDescent="0.55000000000000004">
      <c r="A335">
        <f>master!U335</f>
        <v>0</v>
      </c>
      <c r="B335" t="str">
        <f>"""C:\Program Files\VideoLAN\VLC\vlc.exe"" """&amp;master!B335&amp;""""</f>
        <v>"C:\Program Files\VideoLAN\VLC\vlc.exe" ""</v>
      </c>
    </row>
    <row r="336" spans="1:2" x14ac:dyDescent="0.55000000000000004">
      <c r="A336">
        <f>master!U336</f>
        <v>0</v>
      </c>
      <c r="B336" t="str">
        <f>"""C:\Program Files\VideoLAN\VLC\vlc.exe"" """&amp;master!B336&amp;""""</f>
        <v>"C:\Program Files\VideoLAN\VLC\vlc.exe" ""</v>
      </c>
    </row>
    <row r="337" spans="1:2" x14ac:dyDescent="0.55000000000000004">
      <c r="A337">
        <f>master!U337</f>
        <v>0</v>
      </c>
      <c r="B337" t="str">
        <f>"""C:\Program Files\VideoLAN\VLC\vlc.exe"" """&amp;master!B337&amp;""""</f>
        <v>"C:\Program Files\VideoLAN\VLC\vlc.exe" ""</v>
      </c>
    </row>
    <row r="338" spans="1:2" x14ac:dyDescent="0.55000000000000004">
      <c r="A338">
        <f>master!U338</f>
        <v>0</v>
      </c>
      <c r="B338" t="str">
        <f>"""C:\Program Files\VideoLAN\VLC\vlc.exe"" """&amp;master!B338&amp;""""</f>
        <v>"C:\Program Files\VideoLAN\VLC\vlc.exe" ""</v>
      </c>
    </row>
    <row r="339" spans="1:2" x14ac:dyDescent="0.55000000000000004">
      <c r="A339">
        <f>master!U339</f>
        <v>0</v>
      </c>
      <c r="B339" t="str">
        <f>"""C:\Program Files\VideoLAN\VLC\vlc.exe"" """&amp;master!B339&amp;""""</f>
        <v>"C:\Program Files\VideoLAN\VLC\vlc.exe" ""</v>
      </c>
    </row>
    <row r="340" spans="1:2" x14ac:dyDescent="0.55000000000000004">
      <c r="A340">
        <f>master!U340</f>
        <v>0</v>
      </c>
      <c r="B340" t="str">
        <f>"""C:\Program Files\VideoLAN\VLC\vlc.exe"" """&amp;master!B340&amp;""""</f>
        <v>"C:\Program Files\VideoLAN\VLC\vlc.exe" ""</v>
      </c>
    </row>
    <row r="341" spans="1:2" x14ac:dyDescent="0.55000000000000004">
      <c r="A341">
        <f>master!U341</f>
        <v>0</v>
      </c>
      <c r="B341" t="str">
        <f>"""C:\Program Files\VideoLAN\VLC\vlc.exe"" """&amp;master!B341&amp;""""</f>
        <v>"C:\Program Files\VideoLAN\VLC\vlc.exe" ""</v>
      </c>
    </row>
    <row r="342" spans="1:2" x14ac:dyDescent="0.55000000000000004">
      <c r="A342">
        <f>master!U342</f>
        <v>0</v>
      </c>
      <c r="B342" t="str">
        <f>"""C:\Program Files\VideoLAN\VLC\vlc.exe"" """&amp;master!B342&amp;""""</f>
        <v>"C:\Program Files\VideoLAN\VLC\vlc.exe" ""</v>
      </c>
    </row>
    <row r="343" spans="1:2" x14ac:dyDescent="0.55000000000000004">
      <c r="A343">
        <f>master!U343</f>
        <v>0</v>
      </c>
      <c r="B343" t="str">
        <f>"""C:\Program Files\VideoLAN\VLC\vlc.exe"" """&amp;master!B343&amp;""""</f>
        <v>"C:\Program Files\VideoLAN\VLC\vlc.exe" ""</v>
      </c>
    </row>
    <row r="344" spans="1:2" x14ac:dyDescent="0.55000000000000004">
      <c r="A344">
        <f>master!U344</f>
        <v>0</v>
      </c>
      <c r="B344" t="str">
        <f>"""C:\Program Files\VideoLAN\VLC\vlc.exe"" """&amp;master!B344&amp;""""</f>
        <v>"C:\Program Files\VideoLAN\VLC\vlc.exe" ""</v>
      </c>
    </row>
    <row r="345" spans="1:2" x14ac:dyDescent="0.55000000000000004">
      <c r="A345">
        <f>master!U345</f>
        <v>0</v>
      </c>
      <c r="B345" t="str">
        <f>"""C:\Program Files\VideoLAN\VLC\vlc.exe"" """&amp;master!B345&amp;""""</f>
        <v>"C:\Program Files\VideoLAN\VLC\vlc.exe" ""</v>
      </c>
    </row>
    <row r="346" spans="1:2" x14ac:dyDescent="0.55000000000000004">
      <c r="A346">
        <f>master!U346</f>
        <v>0</v>
      </c>
      <c r="B346" t="str">
        <f>"""C:\Program Files\VideoLAN\VLC\vlc.exe"" """&amp;master!B346&amp;""""</f>
        <v>"C:\Program Files\VideoLAN\VLC\vlc.exe" ""</v>
      </c>
    </row>
    <row r="347" spans="1:2" x14ac:dyDescent="0.55000000000000004">
      <c r="A347">
        <f>master!U347</f>
        <v>0</v>
      </c>
      <c r="B347" t="str">
        <f>"""C:\Program Files\VideoLAN\VLC\vlc.exe"" """&amp;master!B347&amp;""""</f>
        <v>"C:\Program Files\VideoLAN\VLC\vlc.exe" ""</v>
      </c>
    </row>
    <row r="348" spans="1:2" x14ac:dyDescent="0.55000000000000004">
      <c r="A348">
        <f>master!U348</f>
        <v>0</v>
      </c>
      <c r="B348" t="str">
        <f>"""C:\Program Files\VideoLAN\VLC\vlc.exe"" """&amp;master!B348&amp;""""</f>
        <v>"C:\Program Files\VideoLAN\VLC\vlc.exe" ""</v>
      </c>
    </row>
    <row r="349" spans="1:2" x14ac:dyDescent="0.55000000000000004">
      <c r="A349">
        <f>master!U349</f>
        <v>0</v>
      </c>
      <c r="B349" t="str">
        <f>"""C:\Program Files\VideoLAN\VLC\vlc.exe"" """&amp;master!B349&amp;""""</f>
        <v>"C:\Program Files\VideoLAN\VLC\vlc.exe" ""</v>
      </c>
    </row>
    <row r="350" spans="1:2" x14ac:dyDescent="0.55000000000000004">
      <c r="A350">
        <f>master!U350</f>
        <v>0</v>
      </c>
      <c r="B350" t="str">
        <f>"""C:\Program Files\VideoLAN\VLC\vlc.exe"" """&amp;master!B350&amp;""""</f>
        <v>"C:\Program Files\VideoLAN\VLC\vlc.exe" ""</v>
      </c>
    </row>
    <row r="351" spans="1:2" x14ac:dyDescent="0.55000000000000004">
      <c r="A351">
        <f>master!U351</f>
        <v>0</v>
      </c>
      <c r="B351" t="str">
        <f>"""C:\Program Files\VideoLAN\VLC\vlc.exe"" """&amp;master!B351&amp;""""</f>
        <v>"C:\Program Files\VideoLAN\VLC\vlc.exe" ""</v>
      </c>
    </row>
    <row r="352" spans="1:2" x14ac:dyDescent="0.55000000000000004">
      <c r="A352">
        <f>master!U352</f>
        <v>0</v>
      </c>
      <c r="B352" t="str">
        <f>"""C:\Program Files\VideoLAN\VLC\vlc.exe"" """&amp;master!B352&amp;""""</f>
        <v>"C:\Program Files\VideoLAN\VLC\vlc.exe" ""</v>
      </c>
    </row>
    <row r="353" spans="1:2" x14ac:dyDescent="0.55000000000000004">
      <c r="A353">
        <f>master!U353</f>
        <v>0</v>
      </c>
      <c r="B353" t="str">
        <f>"""C:\Program Files\VideoLAN\VLC\vlc.exe"" """&amp;master!B353&amp;""""</f>
        <v>"C:\Program Files\VideoLAN\VLC\vlc.exe" ""</v>
      </c>
    </row>
    <row r="354" spans="1:2" x14ac:dyDescent="0.55000000000000004">
      <c r="A354">
        <f>master!U354</f>
        <v>0</v>
      </c>
      <c r="B354" t="str">
        <f>"""C:\Program Files\VideoLAN\VLC\vlc.exe"" """&amp;master!B354&amp;""""</f>
        <v>"C:\Program Files\VideoLAN\VLC\vlc.exe" ""</v>
      </c>
    </row>
    <row r="355" spans="1:2" x14ac:dyDescent="0.55000000000000004">
      <c r="A355">
        <f>master!U355</f>
        <v>0</v>
      </c>
      <c r="B355" t="str">
        <f>"""C:\Program Files\VideoLAN\VLC\vlc.exe"" """&amp;master!B355&amp;""""</f>
        <v>"C:\Program Files\VideoLAN\VLC\vlc.exe" ""</v>
      </c>
    </row>
    <row r="356" spans="1:2" x14ac:dyDescent="0.55000000000000004">
      <c r="A356">
        <f>master!U356</f>
        <v>0</v>
      </c>
      <c r="B356" t="str">
        <f>"""C:\Program Files\VideoLAN\VLC\vlc.exe"" """&amp;master!B356&amp;""""</f>
        <v>"C:\Program Files\VideoLAN\VLC\vlc.exe" ""</v>
      </c>
    </row>
    <row r="357" spans="1:2" x14ac:dyDescent="0.55000000000000004">
      <c r="A357">
        <f>master!U357</f>
        <v>0</v>
      </c>
      <c r="B357" t="str">
        <f>"""C:\Program Files\VideoLAN\VLC\vlc.exe"" """&amp;master!B357&amp;""""</f>
        <v>"C:\Program Files\VideoLAN\VLC\vlc.exe" ""</v>
      </c>
    </row>
    <row r="358" spans="1:2" x14ac:dyDescent="0.55000000000000004">
      <c r="A358">
        <f>master!U358</f>
        <v>0</v>
      </c>
      <c r="B358" t="str">
        <f>"""C:\Program Files\VideoLAN\VLC\vlc.exe"" """&amp;master!B358&amp;""""</f>
        <v>"C:\Program Files\VideoLAN\VLC\vlc.exe" ""</v>
      </c>
    </row>
    <row r="359" spans="1:2" x14ac:dyDescent="0.55000000000000004">
      <c r="A359">
        <f>master!U359</f>
        <v>0</v>
      </c>
      <c r="B359" t="str">
        <f>"""C:\Program Files\VideoLAN\VLC\vlc.exe"" """&amp;master!B359&amp;""""</f>
        <v>"C:\Program Files\VideoLAN\VLC\vlc.exe" ""</v>
      </c>
    </row>
    <row r="360" spans="1:2" x14ac:dyDescent="0.55000000000000004">
      <c r="A360">
        <f>master!U360</f>
        <v>0</v>
      </c>
      <c r="B360" t="str">
        <f>"""C:\Program Files\VideoLAN\VLC\vlc.exe"" """&amp;master!B360&amp;""""</f>
        <v>"C:\Program Files\VideoLAN\VLC\vlc.exe" ""</v>
      </c>
    </row>
    <row r="361" spans="1:2" x14ac:dyDescent="0.55000000000000004">
      <c r="A361">
        <f>master!U361</f>
        <v>0</v>
      </c>
      <c r="B361" t="str">
        <f>"""C:\Program Files\VideoLAN\VLC\vlc.exe"" """&amp;master!B361&amp;""""</f>
        <v>"C:\Program Files\VideoLAN\VLC\vlc.exe" ""</v>
      </c>
    </row>
    <row r="362" spans="1:2" x14ac:dyDescent="0.55000000000000004">
      <c r="A362">
        <f>master!U362</f>
        <v>0</v>
      </c>
      <c r="B362" t="str">
        <f>"""C:\Program Files\VideoLAN\VLC\vlc.exe"" """&amp;master!B362&amp;""""</f>
        <v>"C:\Program Files\VideoLAN\VLC\vlc.exe" ""</v>
      </c>
    </row>
    <row r="363" spans="1:2" x14ac:dyDescent="0.55000000000000004">
      <c r="A363">
        <f>master!U363</f>
        <v>0</v>
      </c>
      <c r="B363" t="str">
        <f>"""C:\Program Files\VideoLAN\VLC\vlc.exe"" """&amp;master!B363&amp;""""</f>
        <v>"C:\Program Files\VideoLAN\VLC\vlc.exe" ""</v>
      </c>
    </row>
    <row r="364" spans="1:2" x14ac:dyDescent="0.55000000000000004">
      <c r="A364">
        <f>master!U364</f>
        <v>0</v>
      </c>
      <c r="B364" t="str">
        <f>"""C:\Program Files\VideoLAN\VLC\vlc.exe"" """&amp;master!B364&amp;""""</f>
        <v>"C:\Program Files\VideoLAN\VLC\vlc.exe" ""</v>
      </c>
    </row>
    <row r="365" spans="1:2" x14ac:dyDescent="0.55000000000000004">
      <c r="A365">
        <f>master!U365</f>
        <v>0</v>
      </c>
      <c r="B365" t="str">
        <f>"""C:\Program Files\VideoLAN\VLC\vlc.exe"" """&amp;master!B365&amp;""""</f>
        <v>"C:\Program Files\VideoLAN\VLC\vlc.exe" ""</v>
      </c>
    </row>
    <row r="366" spans="1:2" x14ac:dyDescent="0.55000000000000004">
      <c r="A366">
        <f>master!U366</f>
        <v>0</v>
      </c>
      <c r="B366" t="str">
        <f>"""C:\Program Files\VideoLAN\VLC\vlc.exe"" """&amp;master!B366&amp;""""</f>
        <v>"C:\Program Files\VideoLAN\VLC\vlc.exe" ""</v>
      </c>
    </row>
    <row r="367" spans="1:2" x14ac:dyDescent="0.55000000000000004">
      <c r="A367">
        <f>master!U367</f>
        <v>0</v>
      </c>
      <c r="B367" t="str">
        <f>"""C:\Program Files\VideoLAN\VLC\vlc.exe"" """&amp;master!B367&amp;""""</f>
        <v>"C:\Program Files\VideoLAN\VLC\vlc.exe" ""</v>
      </c>
    </row>
    <row r="368" spans="1:2" x14ac:dyDescent="0.55000000000000004">
      <c r="A368">
        <f>master!U368</f>
        <v>0</v>
      </c>
      <c r="B368" t="str">
        <f>"""C:\Program Files\VideoLAN\VLC\vlc.exe"" """&amp;master!B368&amp;""""</f>
        <v>"C:\Program Files\VideoLAN\VLC\vlc.exe" ""</v>
      </c>
    </row>
    <row r="369" spans="1:2" x14ac:dyDescent="0.55000000000000004">
      <c r="A369">
        <f>master!U369</f>
        <v>0</v>
      </c>
      <c r="B369" t="str">
        <f>"""C:\Program Files\VideoLAN\VLC\vlc.exe"" """&amp;master!B369&amp;""""</f>
        <v>"C:\Program Files\VideoLAN\VLC\vlc.exe" ""</v>
      </c>
    </row>
    <row r="370" spans="1:2" x14ac:dyDescent="0.55000000000000004">
      <c r="A370">
        <f>master!U370</f>
        <v>0</v>
      </c>
      <c r="B370" t="str">
        <f>"""C:\Program Files\VideoLAN\VLC\vlc.exe"" """&amp;master!B370&amp;""""</f>
        <v>"C:\Program Files\VideoLAN\VLC\vlc.exe" ""</v>
      </c>
    </row>
    <row r="371" spans="1:2" x14ac:dyDescent="0.55000000000000004">
      <c r="A371">
        <f>master!U371</f>
        <v>0</v>
      </c>
      <c r="B371" t="str">
        <f>"""C:\Program Files\VideoLAN\VLC\vlc.exe"" """&amp;master!B371&amp;""""</f>
        <v>"C:\Program Files\VideoLAN\VLC\vlc.exe" ""</v>
      </c>
    </row>
    <row r="372" spans="1:2" x14ac:dyDescent="0.55000000000000004">
      <c r="A372">
        <f>master!U372</f>
        <v>0</v>
      </c>
      <c r="B372" t="str">
        <f>"""C:\Program Files\VideoLAN\VLC\vlc.exe"" """&amp;master!B372&amp;""""</f>
        <v>"C:\Program Files\VideoLAN\VLC\vlc.exe" ""</v>
      </c>
    </row>
    <row r="373" spans="1:2" x14ac:dyDescent="0.55000000000000004">
      <c r="A373">
        <f>master!U373</f>
        <v>0</v>
      </c>
      <c r="B373" t="str">
        <f>"""C:\Program Files\VideoLAN\VLC\vlc.exe"" """&amp;master!B373&amp;""""</f>
        <v>"C:\Program Files\VideoLAN\VLC\vlc.exe" ""</v>
      </c>
    </row>
    <row r="374" spans="1:2" x14ac:dyDescent="0.55000000000000004">
      <c r="A374">
        <f>master!U374</f>
        <v>0</v>
      </c>
      <c r="B374" t="str">
        <f>"""C:\Program Files\VideoLAN\VLC\vlc.exe"" """&amp;master!B374&amp;""""</f>
        <v>"C:\Program Files\VideoLAN\VLC\vlc.exe" ""</v>
      </c>
    </row>
    <row r="375" spans="1:2" x14ac:dyDescent="0.55000000000000004">
      <c r="A375">
        <f>master!U375</f>
        <v>0</v>
      </c>
      <c r="B375" t="str">
        <f>"""C:\Program Files\VideoLAN\VLC\vlc.exe"" """&amp;master!B375&amp;""""</f>
        <v>"C:\Program Files\VideoLAN\VLC\vlc.exe" ""</v>
      </c>
    </row>
    <row r="376" spans="1:2" x14ac:dyDescent="0.55000000000000004">
      <c r="A376">
        <f>master!U376</f>
        <v>0</v>
      </c>
      <c r="B376" t="str">
        <f>"""C:\Program Files\VideoLAN\VLC\vlc.exe"" """&amp;master!B376&amp;""""</f>
        <v>"C:\Program Files\VideoLAN\VLC\vlc.exe" ""</v>
      </c>
    </row>
    <row r="377" spans="1:2" x14ac:dyDescent="0.55000000000000004">
      <c r="A377">
        <f>master!U377</f>
        <v>0</v>
      </c>
      <c r="B377" t="str">
        <f>"""C:\Program Files\VideoLAN\VLC\vlc.exe"" """&amp;master!B377&amp;""""</f>
        <v>"C:\Program Files\VideoLAN\VLC\vlc.exe" ""</v>
      </c>
    </row>
    <row r="378" spans="1:2" x14ac:dyDescent="0.55000000000000004">
      <c r="A378">
        <f>master!U378</f>
        <v>0</v>
      </c>
      <c r="B378" t="str">
        <f>"""C:\Program Files\VideoLAN\VLC\vlc.exe"" """&amp;master!B378&amp;""""</f>
        <v>"C:\Program Files\VideoLAN\VLC\vlc.exe" ""</v>
      </c>
    </row>
    <row r="379" spans="1:2" x14ac:dyDescent="0.55000000000000004">
      <c r="A379">
        <f>master!U379</f>
        <v>0</v>
      </c>
      <c r="B379" t="str">
        <f>"""C:\Program Files\VideoLAN\VLC\vlc.exe"" """&amp;master!B379&amp;""""</f>
        <v>"C:\Program Files\VideoLAN\VLC\vlc.exe" ""</v>
      </c>
    </row>
    <row r="380" spans="1:2" x14ac:dyDescent="0.55000000000000004">
      <c r="A380">
        <f>master!U380</f>
        <v>0</v>
      </c>
      <c r="B380" t="str">
        <f>"""C:\Program Files\VideoLAN\VLC\vlc.exe"" """&amp;master!B380&amp;""""</f>
        <v>"C:\Program Files\VideoLAN\VLC\vlc.exe" ""</v>
      </c>
    </row>
    <row r="381" spans="1:2" x14ac:dyDescent="0.55000000000000004">
      <c r="A381">
        <f>master!U381</f>
        <v>0</v>
      </c>
      <c r="B381" t="str">
        <f>"""C:\Program Files\VideoLAN\VLC\vlc.exe"" """&amp;master!B381&amp;""""</f>
        <v>"C:\Program Files\VideoLAN\VLC\vlc.exe" ""</v>
      </c>
    </row>
    <row r="382" spans="1:2" x14ac:dyDescent="0.55000000000000004">
      <c r="A382">
        <f>master!U382</f>
        <v>0</v>
      </c>
      <c r="B382" t="str">
        <f>"""C:\Program Files\VideoLAN\VLC\vlc.exe"" """&amp;master!B382&amp;""""</f>
        <v>"C:\Program Files\VideoLAN\VLC\vlc.exe" ""</v>
      </c>
    </row>
    <row r="383" spans="1:2" x14ac:dyDescent="0.55000000000000004">
      <c r="A383">
        <f>master!U383</f>
        <v>0</v>
      </c>
      <c r="B383" t="str">
        <f>"""C:\Program Files\VideoLAN\VLC\vlc.exe"" """&amp;master!B383&amp;""""</f>
        <v>"C:\Program Files\VideoLAN\VLC\vlc.exe" ""</v>
      </c>
    </row>
    <row r="384" spans="1:2" x14ac:dyDescent="0.55000000000000004">
      <c r="A384">
        <f>master!U384</f>
        <v>0</v>
      </c>
      <c r="B384" t="str">
        <f>"""C:\Program Files\VideoLAN\VLC\vlc.exe"" """&amp;master!B384&amp;""""</f>
        <v>"C:\Program Files\VideoLAN\VLC\vlc.exe" ""</v>
      </c>
    </row>
    <row r="385" spans="1:2" x14ac:dyDescent="0.55000000000000004">
      <c r="A385">
        <f>master!U385</f>
        <v>0</v>
      </c>
      <c r="B385" t="str">
        <f>"""C:\Program Files\VideoLAN\VLC\vlc.exe"" """&amp;master!B385&amp;""""</f>
        <v>"C:\Program Files\VideoLAN\VLC\vlc.exe" ""</v>
      </c>
    </row>
    <row r="386" spans="1:2" x14ac:dyDescent="0.55000000000000004">
      <c r="A386">
        <f>master!U386</f>
        <v>0</v>
      </c>
      <c r="B386" t="str">
        <f>"""C:\Program Files\VideoLAN\VLC\vlc.exe"" """&amp;master!B386&amp;""""</f>
        <v>"C:\Program Files\VideoLAN\VLC\vlc.exe" ""</v>
      </c>
    </row>
    <row r="387" spans="1:2" x14ac:dyDescent="0.55000000000000004">
      <c r="A387">
        <f>master!U387</f>
        <v>0</v>
      </c>
      <c r="B387" t="str">
        <f>"""C:\Program Files\VideoLAN\VLC\vlc.exe"" """&amp;master!B387&amp;""""</f>
        <v>"C:\Program Files\VideoLAN\VLC\vlc.exe" ""</v>
      </c>
    </row>
    <row r="388" spans="1:2" x14ac:dyDescent="0.55000000000000004">
      <c r="A388">
        <f>master!U388</f>
        <v>0</v>
      </c>
      <c r="B388" t="str">
        <f>"""C:\Program Files\VideoLAN\VLC\vlc.exe"" """&amp;master!B388&amp;""""</f>
        <v>"C:\Program Files\VideoLAN\VLC\vlc.exe" ""</v>
      </c>
    </row>
    <row r="389" spans="1:2" x14ac:dyDescent="0.55000000000000004">
      <c r="A389">
        <f>master!U389</f>
        <v>0</v>
      </c>
      <c r="B389" t="str">
        <f>"""C:\Program Files\VideoLAN\VLC\vlc.exe"" """&amp;master!B389&amp;""""</f>
        <v>"C:\Program Files\VideoLAN\VLC\vlc.exe" ""</v>
      </c>
    </row>
    <row r="390" spans="1:2" x14ac:dyDescent="0.55000000000000004">
      <c r="A390">
        <f>master!U390</f>
        <v>0</v>
      </c>
      <c r="B390" t="str">
        <f>"""C:\Program Files\VideoLAN\VLC\vlc.exe"" """&amp;master!B390&amp;""""</f>
        <v>"C:\Program Files\VideoLAN\VLC\vlc.exe" ""</v>
      </c>
    </row>
    <row r="391" spans="1:2" x14ac:dyDescent="0.55000000000000004">
      <c r="A391">
        <f>master!U391</f>
        <v>0</v>
      </c>
      <c r="B391" t="str">
        <f>"""C:\Program Files\VideoLAN\VLC\vlc.exe"" """&amp;master!B391&amp;""""</f>
        <v>"C:\Program Files\VideoLAN\VLC\vlc.exe" ""</v>
      </c>
    </row>
    <row r="392" spans="1:2" x14ac:dyDescent="0.55000000000000004">
      <c r="A392">
        <f>master!U392</f>
        <v>0</v>
      </c>
      <c r="B392" t="str">
        <f>"""C:\Program Files\VideoLAN\VLC\vlc.exe"" """&amp;master!B392&amp;""""</f>
        <v>"C:\Program Files\VideoLAN\VLC\vlc.exe" ""</v>
      </c>
    </row>
    <row r="393" spans="1:2" x14ac:dyDescent="0.55000000000000004">
      <c r="A393">
        <f>master!U393</f>
        <v>0</v>
      </c>
      <c r="B393" t="str">
        <f>"""C:\Program Files\VideoLAN\VLC\vlc.exe"" """&amp;master!B393&amp;""""</f>
        <v>"C:\Program Files\VideoLAN\VLC\vlc.exe" ""</v>
      </c>
    </row>
    <row r="394" spans="1:2" x14ac:dyDescent="0.55000000000000004">
      <c r="A394">
        <f>master!U394</f>
        <v>0</v>
      </c>
      <c r="B394" t="str">
        <f>"""C:\Program Files\VideoLAN\VLC\vlc.exe"" """&amp;master!B394&amp;""""</f>
        <v>"C:\Program Files\VideoLAN\VLC\vlc.exe" ""</v>
      </c>
    </row>
    <row r="395" spans="1:2" x14ac:dyDescent="0.55000000000000004">
      <c r="A395">
        <f>master!U395</f>
        <v>0</v>
      </c>
      <c r="B395" t="str">
        <f>"""C:\Program Files\VideoLAN\VLC\vlc.exe"" """&amp;master!B395&amp;""""</f>
        <v>"C:\Program Files\VideoLAN\VLC\vlc.exe" ""</v>
      </c>
    </row>
    <row r="396" spans="1:2" x14ac:dyDescent="0.55000000000000004">
      <c r="A396">
        <f>master!U396</f>
        <v>0</v>
      </c>
      <c r="B396" t="str">
        <f>"""C:\Program Files\VideoLAN\VLC\vlc.exe"" """&amp;master!B396&amp;""""</f>
        <v>"C:\Program Files\VideoLAN\VLC\vlc.exe" ""</v>
      </c>
    </row>
    <row r="397" spans="1:2" x14ac:dyDescent="0.55000000000000004">
      <c r="A397">
        <f>master!U397</f>
        <v>0</v>
      </c>
      <c r="B397" t="str">
        <f>"""C:\Program Files\VideoLAN\VLC\vlc.exe"" """&amp;master!B397&amp;""""</f>
        <v>"C:\Program Files\VideoLAN\VLC\vlc.exe" ""</v>
      </c>
    </row>
    <row r="398" spans="1:2" x14ac:dyDescent="0.55000000000000004">
      <c r="A398">
        <f>master!U398</f>
        <v>0</v>
      </c>
      <c r="B398" t="str">
        <f>"""C:\Program Files\VideoLAN\VLC\vlc.exe"" """&amp;master!B398&amp;""""</f>
        <v>"C:\Program Files\VideoLAN\VLC\vlc.exe" ""</v>
      </c>
    </row>
    <row r="399" spans="1:2" x14ac:dyDescent="0.55000000000000004">
      <c r="A399">
        <f>master!U399</f>
        <v>0</v>
      </c>
      <c r="B399" t="str">
        <f>"""C:\Program Files\VideoLAN\VLC\vlc.exe"" """&amp;master!B399&amp;""""</f>
        <v>"C:\Program Files\VideoLAN\VLC\vlc.exe" ""</v>
      </c>
    </row>
    <row r="400" spans="1:2" x14ac:dyDescent="0.55000000000000004">
      <c r="A400">
        <f>master!U400</f>
        <v>0</v>
      </c>
      <c r="B400" t="str">
        <f>"""C:\Program Files\VideoLAN\VLC\vlc.exe"" """&amp;master!B400&amp;""""</f>
        <v>"C:\Program Files\VideoLAN\VLC\vlc.exe" ""</v>
      </c>
    </row>
    <row r="401" spans="1:2" x14ac:dyDescent="0.55000000000000004">
      <c r="A401">
        <f>master!U401</f>
        <v>0</v>
      </c>
      <c r="B401" t="str">
        <f>"""C:\Program Files\VideoLAN\VLC\vlc.exe"" """&amp;master!B401&amp;""""</f>
        <v>"C:\Program Files\VideoLAN\VLC\vlc.exe" ""</v>
      </c>
    </row>
    <row r="402" spans="1:2" x14ac:dyDescent="0.55000000000000004">
      <c r="A402">
        <f>master!U402</f>
        <v>0</v>
      </c>
      <c r="B402" t="str">
        <f>"""C:\Program Files\VideoLAN\VLC\vlc.exe"" """&amp;master!B402&amp;""""</f>
        <v>"C:\Program Files\VideoLAN\VLC\vlc.exe" ""</v>
      </c>
    </row>
    <row r="403" spans="1:2" x14ac:dyDescent="0.55000000000000004">
      <c r="A403">
        <f>master!U403</f>
        <v>0</v>
      </c>
      <c r="B403" t="str">
        <f>"""C:\Program Files\VideoLAN\VLC\vlc.exe"" """&amp;master!B403&amp;""""</f>
        <v>"C:\Program Files\VideoLAN\VLC\vlc.exe" ""</v>
      </c>
    </row>
    <row r="404" spans="1:2" x14ac:dyDescent="0.55000000000000004">
      <c r="A404">
        <f>master!U404</f>
        <v>0</v>
      </c>
      <c r="B404" t="str">
        <f>"""C:\Program Files\VideoLAN\VLC\vlc.exe"" """&amp;master!B404&amp;""""</f>
        <v>"C:\Program Files\VideoLAN\VLC\vlc.exe" ""</v>
      </c>
    </row>
    <row r="405" spans="1:2" x14ac:dyDescent="0.55000000000000004">
      <c r="A405">
        <f>master!U405</f>
        <v>0</v>
      </c>
      <c r="B405" t="str">
        <f>"""C:\Program Files\VideoLAN\VLC\vlc.exe"" """&amp;master!B405&amp;""""</f>
        <v>"C:\Program Files\VideoLAN\VLC\vlc.exe" ""</v>
      </c>
    </row>
    <row r="406" spans="1:2" x14ac:dyDescent="0.55000000000000004">
      <c r="A406">
        <f>master!U406</f>
        <v>0</v>
      </c>
      <c r="B406" t="str">
        <f>"""C:\Program Files\VideoLAN\VLC\vlc.exe"" """&amp;master!B406&amp;""""</f>
        <v>"C:\Program Files\VideoLAN\VLC\vlc.exe" ""</v>
      </c>
    </row>
    <row r="407" spans="1:2" x14ac:dyDescent="0.55000000000000004">
      <c r="A407">
        <f>master!U407</f>
        <v>0</v>
      </c>
      <c r="B407" t="str">
        <f>"""C:\Program Files\VideoLAN\VLC\vlc.exe"" """&amp;master!B407&amp;""""</f>
        <v>"C:\Program Files\VideoLAN\VLC\vlc.exe" ""</v>
      </c>
    </row>
    <row r="408" spans="1:2" x14ac:dyDescent="0.55000000000000004">
      <c r="A408">
        <f>master!U408</f>
        <v>0</v>
      </c>
      <c r="B408" t="str">
        <f>"""C:\Program Files\VideoLAN\VLC\vlc.exe"" """&amp;master!B408&amp;""""</f>
        <v>"C:\Program Files\VideoLAN\VLC\vlc.exe" ""</v>
      </c>
    </row>
    <row r="409" spans="1:2" x14ac:dyDescent="0.55000000000000004">
      <c r="A409">
        <f>master!U409</f>
        <v>0</v>
      </c>
      <c r="B409" t="str">
        <f>"""C:\Program Files\VideoLAN\VLC\vlc.exe"" """&amp;master!B409&amp;""""</f>
        <v>"C:\Program Files\VideoLAN\VLC\vlc.exe" ""</v>
      </c>
    </row>
    <row r="410" spans="1:2" x14ac:dyDescent="0.55000000000000004">
      <c r="A410">
        <f>master!U410</f>
        <v>0</v>
      </c>
      <c r="B410" t="str">
        <f>"""C:\Program Files\VideoLAN\VLC\vlc.exe"" """&amp;master!B410&amp;""""</f>
        <v>"C:\Program Files\VideoLAN\VLC\vlc.exe" ""</v>
      </c>
    </row>
    <row r="411" spans="1:2" x14ac:dyDescent="0.55000000000000004">
      <c r="A411">
        <f>master!U411</f>
        <v>0</v>
      </c>
      <c r="B411" t="str">
        <f>"""C:\Program Files\VideoLAN\VLC\vlc.exe"" """&amp;master!B411&amp;""""</f>
        <v>"C:\Program Files\VideoLAN\VLC\vlc.exe" ""</v>
      </c>
    </row>
    <row r="412" spans="1:2" x14ac:dyDescent="0.55000000000000004">
      <c r="A412">
        <f>master!U412</f>
        <v>0</v>
      </c>
      <c r="B412" t="str">
        <f>"""C:\Program Files\VideoLAN\VLC\vlc.exe"" """&amp;master!B412&amp;""""</f>
        <v>"C:\Program Files\VideoLAN\VLC\vlc.exe" ""</v>
      </c>
    </row>
    <row r="413" spans="1:2" x14ac:dyDescent="0.55000000000000004">
      <c r="A413">
        <f>master!U413</f>
        <v>0</v>
      </c>
      <c r="B413" t="str">
        <f>"""C:\Program Files\VideoLAN\VLC\vlc.exe"" """&amp;master!B413&amp;""""</f>
        <v>"C:\Program Files\VideoLAN\VLC\vlc.exe" ""</v>
      </c>
    </row>
    <row r="414" spans="1:2" x14ac:dyDescent="0.55000000000000004">
      <c r="A414">
        <f>master!U414</f>
        <v>0</v>
      </c>
      <c r="B414" t="str">
        <f>"""C:\Program Files\VideoLAN\VLC\vlc.exe"" """&amp;master!B414&amp;""""</f>
        <v>"C:\Program Files\VideoLAN\VLC\vlc.exe" ""</v>
      </c>
    </row>
    <row r="415" spans="1:2" x14ac:dyDescent="0.55000000000000004">
      <c r="A415">
        <f>master!U415</f>
        <v>0</v>
      </c>
      <c r="B415" t="str">
        <f>"""C:\Program Files\VideoLAN\VLC\vlc.exe"" """&amp;master!B415&amp;""""</f>
        <v>"C:\Program Files\VideoLAN\VLC\vlc.exe" ""</v>
      </c>
    </row>
    <row r="416" spans="1:2" x14ac:dyDescent="0.55000000000000004">
      <c r="A416">
        <f>master!U416</f>
        <v>0</v>
      </c>
      <c r="B416" t="str">
        <f>"""C:\Program Files\VideoLAN\VLC\vlc.exe"" """&amp;master!B416&amp;""""</f>
        <v>"C:\Program Files\VideoLAN\VLC\vlc.exe" ""</v>
      </c>
    </row>
    <row r="417" spans="1:2" x14ac:dyDescent="0.55000000000000004">
      <c r="A417">
        <f>master!U417</f>
        <v>0</v>
      </c>
      <c r="B417" t="str">
        <f>"""C:\Program Files\VideoLAN\VLC\vlc.exe"" """&amp;master!B417&amp;""""</f>
        <v>"C:\Program Files\VideoLAN\VLC\vlc.exe" ""</v>
      </c>
    </row>
    <row r="418" spans="1:2" x14ac:dyDescent="0.55000000000000004">
      <c r="A418">
        <f>master!U418</f>
        <v>0</v>
      </c>
      <c r="B418" t="str">
        <f>"""C:\Program Files\VideoLAN\VLC\vlc.exe"" """&amp;master!B418&amp;""""</f>
        <v>"C:\Program Files\VideoLAN\VLC\vlc.exe" ""</v>
      </c>
    </row>
    <row r="419" spans="1:2" x14ac:dyDescent="0.55000000000000004">
      <c r="A419">
        <f>master!U419</f>
        <v>0</v>
      </c>
      <c r="B419" t="str">
        <f>"""C:\Program Files\VideoLAN\VLC\vlc.exe"" """&amp;master!B419&amp;""""</f>
        <v>"C:\Program Files\VideoLAN\VLC\vlc.exe" ""</v>
      </c>
    </row>
    <row r="420" spans="1:2" x14ac:dyDescent="0.55000000000000004">
      <c r="A420">
        <f>master!U420</f>
        <v>0</v>
      </c>
      <c r="B420" t="str">
        <f>"""C:\Program Files\VideoLAN\VLC\vlc.exe"" """&amp;master!B420&amp;""""</f>
        <v>"C:\Program Files\VideoLAN\VLC\vlc.exe" ""</v>
      </c>
    </row>
    <row r="421" spans="1:2" x14ac:dyDescent="0.55000000000000004">
      <c r="A421">
        <f>master!U421</f>
        <v>0</v>
      </c>
      <c r="B421" t="str">
        <f>"""C:\Program Files\VideoLAN\VLC\vlc.exe"" """&amp;master!B421&amp;""""</f>
        <v>"C:\Program Files\VideoLAN\VLC\vlc.exe" ""</v>
      </c>
    </row>
    <row r="422" spans="1:2" x14ac:dyDescent="0.55000000000000004">
      <c r="A422">
        <f>master!U422</f>
        <v>0</v>
      </c>
      <c r="B422" t="str">
        <f>"""C:\Program Files\VideoLAN\VLC\vlc.exe"" """&amp;master!B422&amp;""""</f>
        <v>"C:\Program Files\VideoLAN\VLC\vlc.exe" ""</v>
      </c>
    </row>
    <row r="423" spans="1:2" x14ac:dyDescent="0.55000000000000004">
      <c r="A423">
        <f>master!U423</f>
        <v>0</v>
      </c>
      <c r="B423" t="str">
        <f>"""C:\Program Files\VideoLAN\VLC\vlc.exe"" """&amp;master!B423&amp;""""</f>
        <v>"C:\Program Files\VideoLAN\VLC\vlc.exe" ""</v>
      </c>
    </row>
    <row r="424" spans="1:2" x14ac:dyDescent="0.55000000000000004">
      <c r="A424">
        <f>master!U424</f>
        <v>0</v>
      </c>
      <c r="B424" t="str">
        <f>"""C:\Program Files\VideoLAN\VLC\vlc.exe"" """&amp;master!B424&amp;""""</f>
        <v>"C:\Program Files\VideoLAN\VLC\vlc.exe" ""</v>
      </c>
    </row>
    <row r="425" spans="1:2" x14ac:dyDescent="0.55000000000000004">
      <c r="A425">
        <f>master!U425</f>
        <v>0</v>
      </c>
      <c r="B425" t="str">
        <f>"""C:\Program Files\VideoLAN\VLC\vlc.exe"" """&amp;master!B425&amp;""""</f>
        <v>"C:\Program Files\VideoLAN\VLC\vlc.exe" ""</v>
      </c>
    </row>
    <row r="426" spans="1:2" x14ac:dyDescent="0.55000000000000004">
      <c r="A426">
        <f>master!U426</f>
        <v>0</v>
      </c>
      <c r="B426" t="str">
        <f>"""C:\Program Files\VideoLAN\VLC\vlc.exe"" """&amp;master!B426&amp;""""</f>
        <v>"C:\Program Files\VideoLAN\VLC\vlc.exe" ""</v>
      </c>
    </row>
    <row r="427" spans="1:2" x14ac:dyDescent="0.55000000000000004">
      <c r="A427">
        <f>master!U427</f>
        <v>0</v>
      </c>
      <c r="B427" t="str">
        <f>"""C:\Program Files\VideoLAN\VLC\vlc.exe"" """&amp;master!B427&amp;""""</f>
        <v>"C:\Program Files\VideoLAN\VLC\vlc.exe" ""</v>
      </c>
    </row>
    <row r="428" spans="1:2" x14ac:dyDescent="0.55000000000000004">
      <c r="A428">
        <f>master!U428</f>
        <v>0</v>
      </c>
      <c r="B428" t="str">
        <f>"""C:\Program Files\VideoLAN\VLC\vlc.exe"" """&amp;master!B428&amp;""""</f>
        <v>"C:\Program Files\VideoLAN\VLC\vlc.exe" ""</v>
      </c>
    </row>
    <row r="429" spans="1:2" x14ac:dyDescent="0.55000000000000004">
      <c r="A429">
        <f>master!U429</f>
        <v>0</v>
      </c>
      <c r="B429" t="str">
        <f>"""C:\Program Files\VideoLAN\VLC\vlc.exe"" """&amp;master!B429&amp;""""</f>
        <v>"C:\Program Files\VideoLAN\VLC\vlc.exe" ""</v>
      </c>
    </row>
    <row r="430" spans="1:2" x14ac:dyDescent="0.55000000000000004">
      <c r="A430">
        <f>master!U430</f>
        <v>0</v>
      </c>
      <c r="B430" t="str">
        <f>"""C:\Program Files\VideoLAN\VLC\vlc.exe"" """&amp;master!B430&amp;""""</f>
        <v>"C:\Program Files\VideoLAN\VLC\vlc.exe" ""</v>
      </c>
    </row>
    <row r="431" spans="1:2" x14ac:dyDescent="0.55000000000000004">
      <c r="A431">
        <f>master!U431</f>
        <v>0</v>
      </c>
      <c r="B431" t="str">
        <f>"""C:\Program Files\VideoLAN\VLC\vlc.exe"" """&amp;master!B431&amp;""""</f>
        <v>"C:\Program Files\VideoLAN\VLC\vlc.exe" ""</v>
      </c>
    </row>
    <row r="432" spans="1:2" x14ac:dyDescent="0.55000000000000004">
      <c r="A432">
        <f>master!U432</f>
        <v>0</v>
      </c>
      <c r="B432" t="str">
        <f>"""C:\Program Files\VideoLAN\VLC\vlc.exe"" """&amp;master!B432&amp;""""</f>
        <v>"C:\Program Files\VideoLAN\VLC\vlc.exe" ""</v>
      </c>
    </row>
    <row r="433" spans="1:2" x14ac:dyDescent="0.55000000000000004">
      <c r="A433">
        <f>master!U433</f>
        <v>0</v>
      </c>
      <c r="B433" t="str">
        <f>"""C:\Program Files\VideoLAN\VLC\vlc.exe"" """&amp;master!B433&amp;""""</f>
        <v>"C:\Program Files\VideoLAN\VLC\vlc.exe" ""</v>
      </c>
    </row>
    <row r="434" spans="1:2" x14ac:dyDescent="0.55000000000000004">
      <c r="A434">
        <f>master!U434</f>
        <v>0</v>
      </c>
      <c r="B434" t="str">
        <f>"""C:\Program Files\VideoLAN\VLC\vlc.exe"" """&amp;master!B434&amp;""""</f>
        <v>"C:\Program Files\VideoLAN\VLC\vlc.exe" ""</v>
      </c>
    </row>
    <row r="435" spans="1:2" x14ac:dyDescent="0.55000000000000004">
      <c r="A435">
        <f>master!U435</f>
        <v>0</v>
      </c>
      <c r="B435" t="str">
        <f>"""C:\Program Files\VideoLAN\VLC\vlc.exe"" """&amp;master!B435&amp;""""</f>
        <v>"C:\Program Files\VideoLAN\VLC\vlc.exe" ""</v>
      </c>
    </row>
    <row r="436" spans="1:2" x14ac:dyDescent="0.55000000000000004">
      <c r="A436">
        <f>master!U436</f>
        <v>0</v>
      </c>
      <c r="B436" t="str">
        <f>"""C:\Program Files\VideoLAN\VLC\vlc.exe"" """&amp;master!B436&amp;""""</f>
        <v>"C:\Program Files\VideoLAN\VLC\vlc.exe" ""</v>
      </c>
    </row>
    <row r="437" spans="1:2" x14ac:dyDescent="0.55000000000000004">
      <c r="A437">
        <f>master!U437</f>
        <v>0</v>
      </c>
      <c r="B437" t="str">
        <f>"""C:\Program Files\VideoLAN\VLC\vlc.exe"" """&amp;master!B437&amp;""""</f>
        <v>"C:\Program Files\VideoLAN\VLC\vlc.exe" ""</v>
      </c>
    </row>
    <row r="438" spans="1:2" x14ac:dyDescent="0.55000000000000004">
      <c r="A438">
        <f>master!U438</f>
        <v>0</v>
      </c>
      <c r="B438" t="str">
        <f>"""C:\Program Files\VideoLAN\VLC\vlc.exe"" """&amp;master!B438&amp;""""</f>
        <v>"C:\Program Files\VideoLAN\VLC\vlc.exe" ""</v>
      </c>
    </row>
    <row r="439" spans="1:2" x14ac:dyDescent="0.55000000000000004">
      <c r="A439">
        <f>master!U439</f>
        <v>0</v>
      </c>
      <c r="B439" t="str">
        <f>"""C:\Program Files\VideoLAN\VLC\vlc.exe"" """&amp;master!B439&amp;""""</f>
        <v>"C:\Program Files\VideoLAN\VLC\vlc.exe" ""</v>
      </c>
    </row>
    <row r="440" spans="1:2" x14ac:dyDescent="0.55000000000000004">
      <c r="A440">
        <f>master!U440</f>
        <v>0</v>
      </c>
      <c r="B440" t="str">
        <f>"""C:\Program Files\VideoLAN\VLC\vlc.exe"" """&amp;master!B440&amp;""""</f>
        <v>"C:\Program Files\VideoLAN\VLC\vlc.exe" ""</v>
      </c>
    </row>
    <row r="441" spans="1:2" x14ac:dyDescent="0.55000000000000004">
      <c r="A441">
        <f>master!U441</f>
        <v>0</v>
      </c>
      <c r="B441" t="str">
        <f>"""C:\Program Files\VideoLAN\VLC\vlc.exe"" """&amp;master!B441&amp;""""</f>
        <v>"C:\Program Files\VideoLAN\VLC\vlc.exe" ""</v>
      </c>
    </row>
    <row r="442" spans="1:2" x14ac:dyDescent="0.55000000000000004">
      <c r="A442">
        <f>master!U442</f>
        <v>0</v>
      </c>
      <c r="B442" t="str">
        <f>"""C:\Program Files\VideoLAN\VLC\vlc.exe"" """&amp;master!B442&amp;""""</f>
        <v>"C:\Program Files\VideoLAN\VLC\vlc.exe" ""</v>
      </c>
    </row>
    <row r="443" spans="1:2" x14ac:dyDescent="0.55000000000000004">
      <c r="A443">
        <f>master!U443</f>
        <v>0</v>
      </c>
      <c r="B443" t="str">
        <f>"""C:\Program Files\VideoLAN\VLC\vlc.exe"" """&amp;master!B443&amp;""""</f>
        <v>"C:\Program Files\VideoLAN\VLC\vlc.exe" ""</v>
      </c>
    </row>
    <row r="444" spans="1:2" x14ac:dyDescent="0.55000000000000004">
      <c r="A444">
        <f>master!U444</f>
        <v>0</v>
      </c>
      <c r="B444" t="str">
        <f>"""C:\Program Files\VideoLAN\VLC\vlc.exe"" """&amp;master!B444&amp;""""</f>
        <v>"C:\Program Files\VideoLAN\VLC\vlc.exe" ""</v>
      </c>
    </row>
    <row r="445" spans="1:2" x14ac:dyDescent="0.55000000000000004">
      <c r="A445">
        <f>master!U445</f>
        <v>0</v>
      </c>
      <c r="B445" t="str">
        <f>"""C:\Program Files\VideoLAN\VLC\vlc.exe"" """&amp;master!B445&amp;""""</f>
        <v>"C:\Program Files\VideoLAN\VLC\vlc.exe" ""</v>
      </c>
    </row>
    <row r="446" spans="1:2" x14ac:dyDescent="0.55000000000000004">
      <c r="A446">
        <f>master!U446</f>
        <v>0</v>
      </c>
      <c r="B446" t="str">
        <f>"""C:\Program Files\VideoLAN\VLC\vlc.exe"" """&amp;master!B446&amp;""""</f>
        <v>"C:\Program Files\VideoLAN\VLC\vlc.exe" ""</v>
      </c>
    </row>
    <row r="447" spans="1:2" x14ac:dyDescent="0.55000000000000004">
      <c r="A447">
        <f>master!U447</f>
        <v>0</v>
      </c>
      <c r="B447" t="str">
        <f>"""C:\Program Files\VideoLAN\VLC\vlc.exe"" """&amp;master!B447&amp;""""</f>
        <v>"C:\Program Files\VideoLAN\VLC\vlc.exe" ""</v>
      </c>
    </row>
    <row r="448" spans="1:2" x14ac:dyDescent="0.55000000000000004">
      <c r="A448">
        <f>master!U448</f>
        <v>0</v>
      </c>
      <c r="B448" t="str">
        <f>"""C:\Program Files\VideoLAN\VLC\vlc.exe"" """&amp;master!B448&amp;""""</f>
        <v>"C:\Program Files\VideoLAN\VLC\vlc.exe" ""</v>
      </c>
    </row>
    <row r="449" spans="1:2" x14ac:dyDescent="0.55000000000000004">
      <c r="A449">
        <f>master!U449</f>
        <v>0</v>
      </c>
      <c r="B449" t="str">
        <f>"""C:\Program Files\VideoLAN\VLC\vlc.exe"" """&amp;master!B449&amp;""""</f>
        <v>"C:\Program Files\VideoLAN\VLC\vlc.exe" ""</v>
      </c>
    </row>
    <row r="450" spans="1:2" x14ac:dyDescent="0.55000000000000004">
      <c r="A450">
        <f>master!U450</f>
        <v>0</v>
      </c>
      <c r="B450" t="str">
        <f>"""C:\Program Files\VideoLAN\VLC\vlc.exe"" """&amp;master!B450&amp;""""</f>
        <v>"C:\Program Files\VideoLAN\VLC\vlc.exe" ""</v>
      </c>
    </row>
    <row r="451" spans="1:2" x14ac:dyDescent="0.55000000000000004">
      <c r="A451">
        <f>master!U451</f>
        <v>0</v>
      </c>
      <c r="B451" t="str">
        <f>"""C:\Program Files\VideoLAN\VLC\vlc.exe"" """&amp;master!B451&amp;""""</f>
        <v>"C:\Program Files\VideoLAN\VLC\vlc.exe" ""</v>
      </c>
    </row>
    <row r="452" spans="1:2" x14ac:dyDescent="0.55000000000000004">
      <c r="A452">
        <f>master!U452</f>
        <v>0</v>
      </c>
      <c r="B452" t="str">
        <f>"""C:\Program Files\VideoLAN\VLC\vlc.exe"" """&amp;master!B452&amp;""""</f>
        <v>"C:\Program Files\VideoLAN\VLC\vlc.exe" ""</v>
      </c>
    </row>
    <row r="453" spans="1:2" x14ac:dyDescent="0.55000000000000004">
      <c r="A453">
        <f>master!U453</f>
        <v>0</v>
      </c>
      <c r="B453" t="str">
        <f>"""C:\Program Files\VideoLAN\VLC\vlc.exe"" """&amp;master!B453&amp;""""</f>
        <v>"C:\Program Files\VideoLAN\VLC\vlc.exe" ""</v>
      </c>
    </row>
    <row r="454" spans="1:2" x14ac:dyDescent="0.55000000000000004">
      <c r="A454">
        <f>master!U454</f>
        <v>0</v>
      </c>
      <c r="B454" t="str">
        <f>"""C:\Program Files\VideoLAN\VLC\vlc.exe"" """&amp;master!B454&amp;""""</f>
        <v>"C:\Program Files\VideoLAN\VLC\vlc.exe" ""</v>
      </c>
    </row>
    <row r="455" spans="1:2" x14ac:dyDescent="0.55000000000000004">
      <c r="A455">
        <f>master!U455</f>
        <v>0</v>
      </c>
      <c r="B455" t="str">
        <f>"""C:\Program Files\VideoLAN\VLC\vlc.exe"" """&amp;master!B455&amp;""""</f>
        <v>"C:\Program Files\VideoLAN\VLC\vlc.exe" ""</v>
      </c>
    </row>
    <row r="456" spans="1:2" x14ac:dyDescent="0.55000000000000004">
      <c r="A456">
        <f>master!U456</f>
        <v>0</v>
      </c>
      <c r="B456" t="str">
        <f>"""C:\Program Files\VideoLAN\VLC\vlc.exe"" """&amp;master!B456&amp;""""</f>
        <v>"C:\Program Files\VideoLAN\VLC\vlc.exe" ""</v>
      </c>
    </row>
    <row r="457" spans="1:2" x14ac:dyDescent="0.55000000000000004">
      <c r="A457">
        <f>master!U457</f>
        <v>0</v>
      </c>
      <c r="B457" t="str">
        <f>"""C:\Program Files\VideoLAN\VLC\vlc.exe"" """&amp;master!B457&amp;""""</f>
        <v>"C:\Program Files\VideoLAN\VLC\vlc.exe" ""</v>
      </c>
    </row>
    <row r="458" spans="1:2" x14ac:dyDescent="0.55000000000000004">
      <c r="A458">
        <f>master!U458</f>
        <v>0</v>
      </c>
      <c r="B458" t="str">
        <f>"""C:\Program Files\VideoLAN\VLC\vlc.exe"" """&amp;master!B458&amp;""""</f>
        <v>"C:\Program Files\VideoLAN\VLC\vlc.exe" ""</v>
      </c>
    </row>
    <row r="459" spans="1:2" x14ac:dyDescent="0.55000000000000004">
      <c r="A459">
        <f>master!U459</f>
        <v>0</v>
      </c>
      <c r="B459" t="str">
        <f>"""C:\Program Files\VideoLAN\VLC\vlc.exe"" """&amp;master!B459&amp;""""</f>
        <v>"C:\Program Files\VideoLAN\VLC\vlc.exe" ""</v>
      </c>
    </row>
    <row r="460" spans="1:2" x14ac:dyDescent="0.55000000000000004">
      <c r="A460">
        <f>master!U460</f>
        <v>0</v>
      </c>
      <c r="B460" t="str">
        <f>"""C:\Program Files\VideoLAN\VLC\vlc.exe"" """&amp;master!B460&amp;""""</f>
        <v>"C:\Program Files\VideoLAN\VLC\vlc.exe" ""</v>
      </c>
    </row>
    <row r="461" spans="1:2" x14ac:dyDescent="0.55000000000000004">
      <c r="A461">
        <f>master!U461</f>
        <v>0</v>
      </c>
      <c r="B461" t="str">
        <f>"""C:\Program Files\VideoLAN\VLC\vlc.exe"" """&amp;master!B461&amp;""""</f>
        <v>"C:\Program Files\VideoLAN\VLC\vlc.exe" ""</v>
      </c>
    </row>
    <row r="462" spans="1:2" x14ac:dyDescent="0.55000000000000004">
      <c r="A462">
        <f>master!U462</f>
        <v>0</v>
      </c>
      <c r="B462" t="str">
        <f>"""C:\Program Files\VideoLAN\VLC\vlc.exe"" """&amp;master!B462&amp;""""</f>
        <v>"C:\Program Files\VideoLAN\VLC\vlc.exe" ""</v>
      </c>
    </row>
    <row r="463" spans="1:2" x14ac:dyDescent="0.55000000000000004">
      <c r="A463">
        <f>master!U463</f>
        <v>0</v>
      </c>
      <c r="B463" t="str">
        <f>"""C:\Program Files\VideoLAN\VLC\vlc.exe"" """&amp;master!B463&amp;""""</f>
        <v>"C:\Program Files\VideoLAN\VLC\vlc.exe" ""</v>
      </c>
    </row>
    <row r="464" spans="1:2" x14ac:dyDescent="0.55000000000000004">
      <c r="A464">
        <f>master!U464</f>
        <v>0</v>
      </c>
      <c r="B464" t="str">
        <f>"""C:\Program Files\VideoLAN\VLC\vlc.exe"" """&amp;master!B464&amp;""""</f>
        <v>"C:\Program Files\VideoLAN\VLC\vlc.exe" ""</v>
      </c>
    </row>
    <row r="465" spans="1:2" x14ac:dyDescent="0.55000000000000004">
      <c r="A465">
        <f>master!U465</f>
        <v>0</v>
      </c>
      <c r="B465" t="str">
        <f>"""C:\Program Files\VideoLAN\VLC\vlc.exe"" """&amp;master!B465&amp;""""</f>
        <v>"C:\Program Files\VideoLAN\VLC\vlc.exe" ""</v>
      </c>
    </row>
    <row r="466" spans="1:2" x14ac:dyDescent="0.55000000000000004">
      <c r="A466">
        <f>master!U466</f>
        <v>0</v>
      </c>
      <c r="B466" t="str">
        <f>"""C:\Program Files\VideoLAN\VLC\vlc.exe"" """&amp;master!B466&amp;""""</f>
        <v>"C:\Program Files\VideoLAN\VLC\vlc.exe" ""</v>
      </c>
    </row>
    <row r="467" spans="1:2" x14ac:dyDescent="0.55000000000000004">
      <c r="A467">
        <f>master!U467</f>
        <v>0</v>
      </c>
      <c r="B467" t="str">
        <f>"""C:\Program Files\VideoLAN\VLC\vlc.exe"" """&amp;master!B467&amp;""""</f>
        <v>"C:\Program Files\VideoLAN\VLC\vlc.exe" ""</v>
      </c>
    </row>
    <row r="468" spans="1:2" x14ac:dyDescent="0.55000000000000004">
      <c r="A468">
        <f>master!U468</f>
        <v>0</v>
      </c>
      <c r="B468" t="str">
        <f>"""C:\Program Files\VideoLAN\VLC\vlc.exe"" """&amp;master!B468&amp;""""</f>
        <v>"C:\Program Files\VideoLAN\VLC\vlc.exe" ""</v>
      </c>
    </row>
    <row r="469" spans="1:2" x14ac:dyDescent="0.55000000000000004">
      <c r="A469">
        <f>master!U469</f>
        <v>0</v>
      </c>
      <c r="B469" t="str">
        <f>"""C:\Program Files\VideoLAN\VLC\vlc.exe"" """&amp;master!B469&amp;""""</f>
        <v>"C:\Program Files\VideoLAN\VLC\vlc.exe" ""</v>
      </c>
    </row>
    <row r="470" spans="1:2" x14ac:dyDescent="0.55000000000000004">
      <c r="A470">
        <f>master!U470</f>
        <v>0</v>
      </c>
      <c r="B470" t="str">
        <f>"""C:\Program Files\VideoLAN\VLC\vlc.exe"" """&amp;master!B470&amp;""""</f>
        <v>"C:\Program Files\VideoLAN\VLC\vlc.exe" ""</v>
      </c>
    </row>
    <row r="471" spans="1:2" x14ac:dyDescent="0.55000000000000004">
      <c r="A471">
        <f>master!U471</f>
        <v>0</v>
      </c>
      <c r="B471" t="str">
        <f>"""C:\Program Files\VideoLAN\VLC\vlc.exe"" """&amp;master!B471&amp;""""</f>
        <v>"C:\Program Files\VideoLAN\VLC\vlc.exe" ""</v>
      </c>
    </row>
    <row r="472" spans="1:2" x14ac:dyDescent="0.55000000000000004">
      <c r="A472">
        <f>master!U472</f>
        <v>0</v>
      </c>
      <c r="B472" t="str">
        <f>"""C:\Program Files\VideoLAN\VLC\vlc.exe"" """&amp;master!B472&amp;""""</f>
        <v>"C:\Program Files\VideoLAN\VLC\vlc.exe" ""</v>
      </c>
    </row>
    <row r="473" spans="1:2" x14ac:dyDescent="0.55000000000000004">
      <c r="A473">
        <f>master!U473</f>
        <v>0</v>
      </c>
      <c r="B473" t="str">
        <f>"""C:\Program Files\VideoLAN\VLC\vlc.exe"" """&amp;master!B473&amp;""""</f>
        <v>"C:\Program Files\VideoLAN\VLC\vlc.exe" ""</v>
      </c>
    </row>
    <row r="474" spans="1:2" x14ac:dyDescent="0.55000000000000004">
      <c r="A474">
        <f>master!U474</f>
        <v>0</v>
      </c>
      <c r="B474" t="str">
        <f>"""C:\Program Files\VideoLAN\VLC\vlc.exe"" """&amp;master!B474&amp;""""</f>
        <v>"C:\Program Files\VideoLAN\VLC\vlc.exe" ""</v>
      </c>
    </row>
    <row r="475" spans="1:2" x14ac:dyDescent="0.55000000000000004">
      <c r="A475">
        <f>master!U475</f>
        <v>0</v>
      </c>
      <c r="B475" t="str">
        <f>"""C:\Program Files\VideoLAN\VLC\vlc.exe"" """&amp;master!B475&amp;""""</f>
        <v>"C:\Program Files\VideoLAN\VLC\vlc.exe" ""</v>
      </c>
    </row>
    <row r="476" spans="1:2" x14ac:dyDescent="0.55000000000000004">
      <c r="A476">
        <f>master!U476</f>
        <v>0</v>
      </c>
      <c r="B476" t="str">
        <f>"""C:\Program Files\VideoLAN\VLC\vlc.exe"" """&amp;master!B476&amp;""""</f>
        <v>"C:\Program Files\VideoLAN\VLC\vlc.exe" ""</v>
      </c>
    </row>
    <row r="477" spans="1:2" x14ac:dyDescent="0.55000000000000004">
      <c r="A477">
        <f>master!U477</f>
        <v>0</v>
      </c>
      <c r="B477" t="str">
        <f>"""C:\Program Files\VideoLAN\VLC\vlc.exe"" """&amp;master!B477&amp;""""</f>
        <v>"C:\Program Files\VideoLAN\VLC\vlc.exe" ""</v>
      </c>
    </row>
    <row r="478" spans="1:2" x14ac:dyDescent="0.55000000000000004">
      <c r="A478">
        <f>master!U478</f>
        <v>0</v>
      </c>
      <c r="B478" t="str">
        <f>"""C:\Program Files\VideoLAN\VLC\vlc.exe"" """&amp;master!B478&amp;""""</f>
        <v>"C:\Program Files\VideoLAN\VLC\vlc.exe" ""</v>
      </c>
    </row>
    <row r="479" spans="1:2" x14ac:dyDescent="0.55000000000000004">
      <c r="A479">
        <f>master!U479</f>
        <v>0</v>
      </c>
      <c r="B479" t="str">
        <f>"""C:\Program Files\VideoLAN\VLC\vlc.exe"" """&amp;master!B479&amp;""""</f>
        <v>"C:\Program Files\VideoLAN\VLC\vlc.exe" ""</v>
      </c>
    </row>
    <row r="480" spans="1:2" x14ac:dyDescent="0.55000000000000004">
      <c r="A480">
        <f>master!U480</f>
        <v>0</v>
      </c>
      <c r="B480" t="str">
        <f>"""C:\Program Files\VideoLAN\VLC\vlc.exe"" """&amp;master!B480&amp;""""</f>
        <v>"C:\Program Files\VideoLAN\VLC\vlc.exe" ""</v>
      </c>
    </row>
    <row r="481" spans="1:2" x14ac:dyDescent="0.55000000000000004">
      <c r="A481">
        <f>master!U481</f>
        <v>0</v>
      </c>
      <c r="B481" t="str">
        <f>"""C:\Program Files\VideoLAN\VLC\vlc.exe"" """&amp;master!B481&amp;""""</f>
        <v>"C:\Program Files\VideoLAN\VLC\vlc.exe" ""</v>
      </c>
    </row>
    <row r="482" spans="1:2" x14ac:dyDescent="0.55000000000000004">
      <c r="A482">
        <f>master!U482</f>
        <v>0</v>
      </c>
      <c r="B482" t="str">
        <f>"""C:\Program Files\VideoLAN\VLC\vlc.exe"" """&amp;master!B482&amp;""""</f>
        <v>"C:\Program Files\VideoLAN\VLC\vlc.exe" ""</v>
      </c>
    </row>
    <row r="483" spans="1:2" x14ac:dyDescent="0.55000000000000004">
      <c r="A483">
        <f>master!U483</f>
        <v>0</v>
      </c>
      <c r="B483" t="str">
        <f>"""C:\Program Files\VideoLAN\VLC\vlc.exe"" """&amp;master!B483&amp;""""</f>
        <v>"C:\Program Files\VideoLAN\VLC\vlc.exe" ""</v>
      </c>
    </row>
    <row r="484" spans="1:2" x14ac:dyDescent="0.55000000000000004">
      <c r="A484">
        <f>master!U484</f>
        <v>0</v>
      </c>
      <c r="B484" t="str">
        <f>"""C:\Program Files\VideoLAN\VLC\vlc.exe"" """&amp;master!B484&amp;""""</f>
        <v>"C:\Program Files\VideoLAN\VLC\vlc.exe" ""</v>
      </c>
    </row>
    <row r="485" spans="1:2" x14ac:dyDescent="0.55000000000000004">
      <c r="A485">
        <f>master!U485</f>
        <v>0</v>
      </c>
      <c r="B485" t="str">
        <f>"""C:\Program Files\VideoLAN\VLC\vlc.exe"" """&amp;master!B485&amp;""""</f>
        <v>"C:\Program Files\VideoLAN\VLC\vlc.exe" ""</v>
      </c>
    </row>
    <row r="486" spans="1:2" x14ac:dyDescent="0.55000000000000004">
      <c r="A486">
        <f>master!U486</f>
        <v>0</v>
      </c>
      <c r="B486" t="str">
        <f>"""C:\Program Files\VideoLAN\VLC\vlc.exe"" """&amp;master!B486&amp;""""</f>
        <v>"C:\Program Files\VideoLAN\VLC\vlc.exe" ""</v>
      </c>
    </row>
    <row r="487" spans="1:2" x14ac:dyDescent="0.55000000000000004">
      <c r="A487">
        <f>master!U487</f>
        <v>0</v>
      </c>
      <c r="B487" t="str">
        <f>"""C:\Program Files\VideoLAN\VLC\vlc.exe"" """&amp;master!B487&amp;""""</f>
        <v>"C:\Program Files\VideoLAN\VLC\vlc.exe" ""</v>
      </c>
    </row>
    <row r="488" spans="1:2" x14ac:dyDescent="0.55000000000000004">
      <c r="A488">
        <f>master!U488</f>
        <v>0</v>
      </c>
      <c r="B488" t="str">
        <f>"""C:\Program Files\VideoLAN\VLC\vlc.exe"" """&amp;master!B488&amp;""""</f>
        <v>"C:\Program Files\VideoLAN\VLC\vlc.exe" ""</v>
      </c>
    </row>
    <row r="489" spans="1:2" x14ac:dyDescent="0.55000000000000004">
      <c r="A489">
        <f>master!U489</f>
        <v>0</v>
      </c>
      <c r="B489" t="str">
        <f>"""C:\Program Files\VideoLAN\VLC\vlc.exe"" """&amp;master!B489&amp;""""</f>
        <v>"C:\Program Files\VideoLAN\VLC\vlc.exe" ""</v>
      </c>
    </row>
    <row r="490" spans="1:2" x14ac:dyDescent="0.55000000000000004">
      <c r="A490">
        <f>master!U490</f>
        <v>0</v>
      </c>
      <c r="B490" t="str">
        <f>"""C:\Program Files\VideoLAN\VLC\vlc.exe"" """&amp;master!B490&amp;""""</f>
        <v>"C:\Program Files\VideoLAN\VLC\vlc.exe" ""</v>
      </c>
    </row>
    <row r="491" spans="1:2" x14ac:dyDescent="0.55000000000000004">
      <c r="A491">
        <f>master!U491</f>
        <v>0</v>
      </c>
      <c r="B491" t="str">
        <f>"""C:\Program Files\VideoLAN\VLC\vlc.exe"" """&amp;master!B491&amp;""""</f>
        <v>"C:\Program Files\VideoLAN\VLC\vlc.exe" ""</v>
      </c>
    </row>
    <row r="492" spans="1:2" x14ac:dyDescent="0.55000000000000004">
      <c r="A492">
        <f>master!U492</f>
        <v>0</v>
      </c>
      <c r="B492" t="str">
        <f>"""C:\Program Files\VideoLAN\VLC\vlc.exe"" """&amp;master!B492&amp;""""</f>
        <v>"C:\Program Files\VideoLAN\VLC\vlc.exe" ""</v>
      </c>
    </row>
    <row r="493" spans="1:2" x14ac:dyDescent="0.55000000000000004">
      <c r="A493">
        <f>master!U493</f>
        <v>0</v>
      </c>
      <c r="B493" t="str">
        <f>"""C:\Program Files\VideoLAN\VLC\vlc.exe"" """&amp;master!B493&amp;""""</f>
        <v>"C:\Program Files\VideoLAN\VLC\vlc.exe" ""</v>
      </c>
    </row>
    <row r="494" spans="1:2" x14ac:dyDescent="0.55000000000000004">
      <c r="A494">
        <f>master!U494</f>
        <v>0</v>
      </c>
      <c r="B494" t="str">
        <f>"""C:\Program Files\VideoLAN\VLC\vlc.exe"" """&amp;master!B494&amp;""""</f>
        <v>"C:\Program Files\VideoLAN\VLC\vlc.exe" ""</v>
      </c>
    </row>
    <row r="495" spans="1:2" x14ac:dyDescent="0.55000000000000004">
      <c r="A495">
        <f>master!U495</f>
        <v>0</v>
      </c>
      <c r="B495" t="str">
        <f>"""C:\Program Files\VideoLAN\VLC\vlc.exe"" """&amp;master!B495&amp;""""</f>
        <v>"C:\Program Files\VideoLAN\VLC\vlc.exe" ""</v>
      </c>
    </row>
    <row r="496" spans="1:2" x14ac:dyDescent="0.55000000000000004">
      <c r="A496">
        <f>master!U496</f>
        <v>0</v>
      </c>
      <c r="B496" t="str">
        <f>"""C:\Program Files\VideoLAN\VLC\vlc.exe"" """&amp;master!B496&amp;""""</f>
        <v>"C:\Program Files\VideoLAN\VLC\vlc.exe" ""</v>
      </c>
    </row>
    <row r="497" spans="1:2" x14ac:dyDescent="0.55000000000000004">
      <c r="A497">
        <f>master!U497</f>
        <v>0</v>
      </c>
      <c r="B497" t="str">
        <f>"""C:\Program Files\VideoLAN\VLC\vlc.exe"" """&amp;master!B497&amp;""""</f>
        <v>"C:\Program Files\VideoLAN\VLC\vlc.exe" ""</v>
      </c>
    </row>
    <row r="498" spans="1:2" x14ac:dyDescent="0.55000000000000004">
      <c r="A498">
        <f>master!U498</f>
        <v>0</v>
      </c>
      <c r="B498" t="str">
        <f>"""C:\Program Files\VideoLAN\VLC\vlc.exe"" """&amp;master!B498&amp;""""</f>
        <v>"C:\Program Files\VideoLAN\VLC\vlc.exe" ""</v>
      </c>
    </row>
    <row r="499" spans="1:2" x14ac:dyDescent="0.55000000000000004">
      <c r="A499">
        <f>master!U499</f>
        <v>0</v>
      </c>
      <c r="B499" t="str">
        <f>"""C:\Program Files\VideoLAN\VLC\vlc.exe"" """&amp;master!B499&amp;""""</f>
        <v>"C:\Program Files\VideoLAN\VLC\vlc.exe" ""</v>
      </c>
    </row>
    <row r="500" spans="1:2" x14ac:dyDescent="0.55000000000000004">
      <c r="A500">
        <f>master!U500</f>
        <v>0</v>
      </c>
      <c r="B500" t="str">
        <f>"""C:\Program Files\VideoLAN\VLC\vlc.exe"" """&amp;master!B500&amp;""""</f>
        <v>"C:\Program Files\VideoLAN\VLC\vlc.exe" ""</v>
      </c>
    </row>
    <row r="501" spans="1:2" x14ac:dyDescent="0.55000000000000004">
      <c r="A501">
        <f>master!U501</f>
        <v>0</v>
      </c>
      <c r="B501" t="str">
        <f>"""C:\Program Files\VideoLAN\VLC\vlc.exe"" """&amp;master!B501&amp;""""</f>
        <v>"C:\Program Files\VideoLAN\VLC\vlc.exe" ""</v>
      </c>
    </row>
    <row r="502" spans="1:2" x14ac:dyDescent="0.55000000000000004">
      <c r="A502">
        <f>master!U502</f>
        <v>0</v>
      </c>
      <c r="B502" t="str">
        <f>"""C:\Program Files\VideoLAN\VLC\vlc.exe"" """&amp;master!B502&amp;""""</f>
        <v>"C:\Program Files\VideoLAN\VLC\vlc.exe" ""</v>
      </c>
    </row>
    <row r="503" spans="1:2" x14ac:dyDescent="0.55000000000000004">
      <c r="A503">
        <f>master!U503</f>
        <v>0</v>
      </c>
      <c r="B503" t="str">
        <f>"""C:\Program Files\VideoLAN\VLC\vlc.exe"" """&amp;master!B503&amp;""""</f>
        <v>"C:\Program Files\VideoLAN\VLC\vlc.exe" ""</v>
      </c>
    </row>
    <row r="504" spans="1:2" x14ac:dyDescent="0.55000000000000004">
      <c r="A504">
        <f>master!U504</f>
        <v>0</v>
      </c>
      <c r="B504" t="str">
        <f>"""C:\Program Files\VideoLAN\VLC\vlc.exe"" """&amp;master!B504&amp;""""</f>
        <v>"C:\Program Files\VideoLAN\VLC\vlc.exe" ""</v>
      </c>
    </row>
    <row r="505" spans="1:2" x14ac:dyDescent="0.55000000000000004">
      <c r="A505">
        <f>master!U505</f>
        <v>0</v>
      </c>
      <c r="B505" t="str">
        <f>"""C:\Program Files\VideoLAN\VLC\vlc.exe"" """&amp;master!B505&amp;""""</f>
        <v>"C:\Program Files\VideoLAN\VLC\vlc.exe" ""</v>
      </c>
    </row>
    <row r="506" spans="1:2" x14ac:dyDescent="0.55000000000000004">
      <c r="A506">
        <f>master!U506</f>
        <v>0</v>
      </c>
      <c r="B506" t="str">
        <f>"""C:\Program Files\VideoLAN\VLC\vlc.exe"" """&amp;master!B506&amp;""""</f>
        <v>"C:\Program Files\VideoLAN\VLC\vlc.exe" ""</v>
      </c>
    </row>
    <row r="507" spans="1:2" x14ac:dyDescent="0.55000000000000004">
      <c r="A507">
        <f>master!U507</f>
        <v>0</v>
      </c>
      <c r="B507" t="str">
        <f>"""C:\Program Files\VideoLAN\VLC\vlc.exe"" """&amp;master!B507&amp;""""</f>
        <v>"C:\Program Files\VideoLAN\VLC\vlc.exe" ""</v>
      </c>
    </row>
    <row r="508" spans="1:2" x14ac:dyDescent="0.55000000000000004">
      <c r="A508">
        <f>master!U508</f>
        <v>0</v>
      </c>
      <c r="B508" t="str">
        <f>"""C:\Program Files\VideoLAN\VLC\vlc.exe"" """&amp;master!B508&amp;""""</f>
        <v>"C:\Program Files\VideoLAN\VLC\vlc.exe" ""</v>
      </c>
    </row>
    <row r="509" spans="1:2" x14ac:dyDescent="0.55000000000000004">
      <c r="A509">
        <f>master!U509</f>
        <v>0</v>
      </c>
      <c r="B509" t="str">
        <f>"""C:\Program Files\VideoLAN\VLC\vlc.exe"" """&amp;master!B509&amp;""""</f>
        <v>"C:\Program Files\VideoLAN\VLC\vlc.exe" ""</v>
      </c>
    </row>
    <row r="510" spans="1:2" x14ac:dyDescent="0.55000000000000004">
      <c r="A510">
        <f>master!U510</f>
        <v>0</v>
      </c>
      <c r="B510" t="str">
        <f>"""C:\Program Files\VideoLAN\VLC\vlc.exe"" """&amp;master!B510&amp;""""</f>
        <v>"C:\Program Files\VideoLAN\VLC\vlc.exe" ""</v>
      </c>
    </row>
    <row r="511" spans="1:2" x14ac:dyDescent="0.55000000000000004">
      <c r="A511">
        <f>master!U511</f>
        <v>0</v>
      </c>
      <c r="B511" t="str">
        <f>"""C:\Program Files\VideoLAN\VLC\vlc.exe"" """&amp;master!B511&amp;""""</f>
        <v>"C:\Program Files\VideoLAN\VLC\vlc.exe" ""</v>
      </c>
    </row>
    <row r="512" spans="1:2" x14ac:dyDescent="0.55000000000000004">
      <c r="A512">
        <f>master!U512</f>
        <v>0</v>
      </c>
      <c r="B512" t="str">
        <f>"""C:\Program Files\VideoLAN\VLC\vlc.exe"" """&amp;master!B512&amp;""""</f>
        <v>"C:\Program Files\VideoLAN\VLC\vlc.exe" ""</v>
      </c>
    </row>
    <row r="513" spans="1:2" x14ac:dyDescent="0.55000000000000004">
      <c r="A513">
        <f>master!U513</f>
        <v>0</v>
      </c>
      <c r="B513" t="str">
        <f>"""C:\Program Files\VideoLAN\VLC\vlc.exe"" """&amp;master!B513&amp;""""</f>
        <v>"C:\Program Files\VideoLAN\VLC\vlc.exe" ""</v>
      </c>
    </row>
    <row r="514" spans="1:2" x14ac:dyDescent="0.55000000000000004">
      <c r="A514">
        <f>master!U514</f>
        <v>0</v>
      </c>
      <c r="B514" t="str">
        <f>"""C:\Program Files\VideoLAN\VLC\vlc.exe"" """&amp;master!B514&amp;""""</f>
        <v>"C:\Program Files\VideoLAN\VLC\vlc.exe" ""</v>
      </c>
    </row>
    <row r="515" spans="1:2" x14ac:dyDescent="0.55000000000000004">
      <c r="A515">
        <f>master!U515</f>
        <v>0</v>
      </c>
      <c r="B515" t="str">
        <f>"""C:\Program Files\VideoLAN\VLC\vlc.exe"" """&amp;master!B515&amp;""""</f>
        <v>"C:\Program Files\VideoLAN\VLC\vlc.exe" ""</v>
      </c>
    </row>
    <row r="516" spans="1:2" x14ac:dyDescent="0.55000000000000004">
      <c r="A516">
        <f>master!U516</f>
        <v>0</v>
      </c>
      <c r="B516" t="str">
        <f>"""C:\Program Files\VideoLAN\VLC\vlc.exe"" """&amp;master!B516&amp;""""</f>
        <v>"C:\Program Files\VideoLAN\VLC\vlc.exe" ""</v>
      </c>
    </row>
    <row r="517" spans="1:2" x14ac:dyDescent="0.55000000000000004">
      <c r="A517">
        <f>master!U517</f>
        <v>0</v>
      </c>
      <c r="B517" t="str">
        <f>"""C:\Program Files\VideoLAN\VLC\vlc.exe"" """&amp;master!B517&amp;""""</f>
        <v>"C:\Program Files\VideoLAN\VLC\vlc.exe" ""</v>
      </c>
    </row>
    <row r="518" spans="1:2" x14ac:dyDescent="0.55000000000000004">
      <c r="A518">
        <f>master!U518</f>
        <v>0</v>
      </c>
      <c r="B518" t="str">
        <f>"""C:\Program Files\VideoLAN\VLC\vlc.exe"" """&amp;master!B518&amp;""""</f>
        <v>"C:\Program Files\VideoLAN\VLC\vlc.exe" ""</v>
      </c>
    </row>
    <row r="519" spans="1:2" x14ac:dyDescent="0.55000000000000004">
      <c r="A519">
        <f>master!U519</f>
        <v>0</v>
      </c>
      <c r="B519" t="str">
        <f>"""C:\Program Files\VideoLAN\VLC\vlc.exe"" """&amp;master!B519&amp;""""</f>
        <v>"C:\Program Files\VideoLAN\VLC\vlc.exe" ""</v>
      </c>
    </row>
    <row r="520" spans="1:2" x14ac:dyDescent="0.55000000000000004">
      <c r="A520">
        <f>master!U520</f>
        <v>0</v>
      </c>
      <c r="B520" t="str">
        <f>"""C:\Program Files\VideoLAN\VLC\vlc.exe"" """&amp;master!B520&amp;""""</f>
        <v>"C:\Program Files\VideoLAN\VLC\vlc.exe" ""</v>
      </c>
    </row>
    <row r="521" spans="1:2" x14ac:dyDescent="0.55000000000000004">
      <c r="A521">
        <f>master!U521</f>
        <v>0</v>
      </c>
      <c r="B521" t="str">
        <f>"""C:\Program Files\VideoLAN\VLC\vlc.exe"" """&amp;master!B521&amp;""""</f>
        <v>"C:\Program Files\VideoLAN\VLC\vlc.exe" ""</v>
      </c>
    </row>
    <row r="522" spans="1:2" x14ac:dyDescent="0.55000000000000004">
      <c r="A522">
        <f>master!U522</f>
        <v>0</v>
      </c>
      <c r="B522" t="str">
        <f>"""C:\Program Files\VideoLAN\VLC\vlc.exe"" """&amp;master!B522&amp;""""</f>
        <v>"C:\Program Files\VideoLAN\VLC\vlc.exe" ""</v>
      </c>
    </row>
    <row r="523" spans="1:2" x14ac:dyDescent="0.55000000000000004">
      <c r="A523">
        <f>master!U523</f>
        <v>0</v>
      </c>
      <c r="B523" t="str">
        <f>"""C:\Program Files\VideoLAN\VLC\vlc.exe"" """&amp;master!B523&amp;""""</f>
        <v>"C:\Program Files\VideoLAN\VLC\vlc.exe" ""</v>
      </c>
    </row>
    <row r="524" spans="1:2" x14ac:dyDescent="0.55000000000000004">
      <c r="A524">
        <f>master!U524</f>
        <v>0</v>
      </c>
      <c r="B524" t="str">
        <f>"""C:\Program Files\VideoLAN\VLC\vlc.exe"" """&amp;master!B524&amp;""""</f>
        <v>"C:\Program Files\VideoLAN\VLC\vlc.exe" ""</v>
      </c>
    </row>
    <row r="525" spans="1:2" x14ac:dyDescent="0.55000000000000004">
      <c r="A525">
        <f>master!U525</f>
        <v>0</v>
      </c>
      <c r="B525" t="str">
        <f>"""C:\Program Files\VideoLAN\VLC\vlc.exe"" """&amp;master!B525&amp;""""</f>
        <v>"C:\Program Files\VideoLAN\VLC\vlc.exe" ""</v>
      </c>
    </row>
    <row r="526" spans="1:2" x14ac:dyDescent="0.55000000000000004">
      <c r="A526">
        <f>master!U526</f>
        <v>0</v>
      </c>
      <c r="B526" t="str">
        <f>"""C:\Program Files\VideoLAN\VLC\vlc.exe"" """&amp;master!B526&amp;""""</f>
        <v>"C:\Program Files\VideoLAN\VLC\vlc.exe" ""</v>
      </c>
    </row>
    <row r="527" spans="1:2" x14ac:dyDescent="0.55000000000000004">
      <c r="A527">
        <f>master!U527</f>
        <v>0</v>
      </c>
      <c r="B527" t="str">
        <f>"""C:\Program Files\VideoLAN\VLC\vlc.exe"" """&amp;master!B527&amp;""""</f>
        <v>"C:\Program Files\VideoLAN\VLC\vlc.exe" ""</v>
      </c>
    </row>
    <row r="528" spans="1:2" x14ac:dyDescent="0.55000000000000004">
      <c r="A528">
        <f>master!U528</f>
        <v>0</v>
      </c>
      <c r="B528" t="str">
        <f>"""C:\Program Files\VideoLAN\VLC\vlc.exe"" """&amp;master!B528&amp;""""</f>
        <v>"C:\Program Files\VideoLAN\VLC\vlc.exe" ""</v>
      </c>
    </row>
    <row r="529" spans="1:2" x14ac:dyDescent="0.55000000000000004">
      <c r="A529">
        <f>master!U529</f>
        <v>0</v>
      </c>
      <c r="B529" t="str">
        <f>"""C:\Program Files\VideoLAN\VLC\vlc.exe"" """&amp;master!B529&amp;""""</f>
        <v>"C:\Program Files\VideoLAN\VLC\vlc.exe" ""</v>
      </c>
    </row>
    <row r="530" spans="1:2" x14ac:dyDescent="0.55000000000000004">
      <c r="A530">
        <f>master!U530</f>
        <v>0</v>
      </c>
      <c r="B530" t="str">
        <f>"""C:\Program Files\VideoLAN\VLC\vlc.exe"" """&amp;master!B530&amp;""""</f>
        <v>"C:\Program Files\VideoLAN\VLC\vlc.exe" ""</v>
      </c>
    </row>
    <row r="531" spans="1:2" x14ac:dyDescent="0.55000000000000004">
      <c r="A531">
        <f>master!U531</f>
        <v>0</v>
      </c>
      <c r="B531" t="str">
        <f>"""C:\Program Files\VideoLAN\VLC\vlc.exe"" """&amp;master!B531&amp;""""</f>
        <v>"C:\Program Files\VideoLAN\VLC\vlc.exe" ""</v>
      </c>
    </row>
    <row r="532" spans="1:2" x14ac:dyDescent="0.55000000000000004">
      <c r="A532">
        <f>master!U532</f>
        <v>0</v>
      </c>
      <c r="B532" t="str">
        <f>"""C:\Program Files\VideoLAN\VLC\vlc.exe"" """&amp;master!B532&amp;""""</f>
        <v>"C:\Program Files\VideoLAN\VLC\vlc.exe" ""</v>
      </c>
    </row>
    <row r="533" spans="1:2" x14ac:dyDescent="0.55000000000000004">
      <c r="A533">
        <f>master!U533</f>
        <v>0</v>
      </c>
      <c r="B533" t="str">
        <f>"""C:\Program Files\VideoLAN\VLC\vlc.exe"" """&amp;master!B533&amp;""""</f>
        <v>"C:\Program Files\VideoLAN\VLC\vlc.exe" ""</v>
      </c>
    </row>
    <row r="534" spans="1:2" x14ac:dyDescent="0.55000000000000004">
      <c r="A534">
        <f>master!U534</f>
        <v>0</v>
      </c>
      <c r="B534" t="str">
        <f>"""C:\Program Files\VideoLAN\VLC\vlc.exe"" """&amp;master!B534&amp;""""</f>
        <v>"C:\Program Files\VideoLAN\VLC\vlc.exe" ""</v>
      </c>
    </row>
    <row r="535" spans="1:2" x14ac:dyDescent="0.55000000000000004">
      <c r="A535">
        <f>master!U535</f>
        <v>0</v>
      </c>
      <c r="B535" t="str">
        <f>"""C:\Program Files\VideoLAN\VLC\vlc.exe"" """&amp;master!B535&amp;""""</f>
        <v>"C:\Program Files\VideoLAN\VLC\vlc.exe" ""</v>
      </c>
    </row>
    <row r="536" spans="1:2" x14ac:dyDescent="0.55000000000000004">
      <c r="A536">
        <f>master!U536</f>
        <v>0</v>
      </c>
      <c r="B536" t="str">
        <f>"""C:\Program Files\VideoLAN\VLC\vlc.exe"" """&amp;master!B536&amp;""""</f>
        <v>"C:\Program Files\VideoLAN\VLC\vlc.exe" ""</v>
      </c>
    </row>
    <row r="537" spans="1:2" x14ac:dyDescent="0.55000000000000004">
      <c r="A537">
        <f>master!U537</f>
        <v>0</v>
      </c>
      <c r="B537" t="str">
        <f>"""C:\Program Files\VideoLAN\VLC\vlc.exe"" """&amp;master!B537&amp;""""</f>
        <v>"C:\Program Files\VideoLAN\VLC\vlc.exe" ""</v>
      </c>
    </row>
    <row r="538" spans="1:2" x14ac:dyDescent="0.55000000000000004">
      <c r="A538">
        <f>master!U538</f>
        <v>0</v>
      </c>
      <c r="B538" t="str">
        <f>"""C:\Program Files\VideoLAN\VLC\vlc.exe"" """&amp;master!B538&amp;""""</f>
        <v>"C:\Program Files\VideoLAN\VLC\vlc.exe" ""</v>
      </c>
    </row>
    <row r="539" spans="1:2" x14ac:dyDescent="0.55000000000000004">
      <c r="A539">
        <f>master!U539</f>
        <v>0</v>
      </c>
      <c r="B539" t="str">
        <f>"""C:\Program Files\VideoLAN\VLC\vlc.exe"" """&amp;master!B539&amp;""""</f>
        <v>"C:\Program Files\VideoLAN\VLC\vlc.exe" ""</v>
      </c>
    </row>
    <row r="540" spans="1:2" x14ac:dyDescent="0.55000000000000004">
      <c r="A540">
        <f>master!U540</f>
        <v>0</v>
      </c>
      <c r="B540" t="str">
        <f>"""C:\Program Files\VideoLAN\VLC\vlc.exe"" """&amp;master!B540&amp;""""</f>
        <v>"C:\Program Files\VideoLAN\VLC\vlc.exe" ""</v>
      </c>
    </row>
    <row r="541" spans="1:2" x14ac:dyDescent="0.55000000000000004">
      <c r="A541">
        <f>master!U541</f>
        <v>0</v>
      </c>
      <c r="B541" t="str">
        <f>"""C:\Program Files\VideoLAN\VLC\vlc.exe"" """&amp;master!B541&amp;""""</f>
        <v>"C:\Program Files\VideoLAN\VLC\vlc.exe" ""</v>
      </c>
    </row>
    <row r="542" spans="1:2" x14ac:dyDescent="0.55000000000000004">
      <c r="A542">
        <f>master!U542</f>
        <v>0</v>
      </c>
      <c r="B542" t="str">
        <f>"""C:\Program Files\VideoLAN\VLC\vlc.exe"" """&amp;master!B542&amp;""""</f>
        <v>"C:\Program Files\VideoLAN\VLC\vlc.exe" ""</v>
      </c>
    </row>
    <row r="543" spans="1:2" x14ac:dyDescent="0.55000000000000004">
      <c r="A543">
        <f>master!U543</f>
        <v>0</v>
      </c>
      <c r="B543" t="str">
        <f>"""C:\Program Files\VideoLAN\VLC\vlc.exe"" """&amp;master!B543&amp;""""</f>
        <v>"C:\Program Files\VideoLAN\VLC\vlc.exe" ""</v>
      </c>
    </row>
    <row r="544" spans="1:2" x14ac:dyDescent="0.55000000000000004">
      <c r="A544">
        <f>master!U544</f>
        <v>0</v>
      </c>
      <c r="B544" t="str">
        <f>"""C:\Program Files\VideoLAN\VLC\vlc.exe"" """&amp;master!B544&amp;""""</f>
        <v>"C:\Program Files\VideoLAN\VLC\vlc.exe" ""</v>
      </c>
    </row>
    <row r="545" spans="1:2" x14ac:dyDescent="0.55000000000000004">
      <c r="A545">
        <f>master!U545</f>
        <v>0</v>
      </c>
      <c r="B545" t="str">
        <f>"""C:\Program Files\VideoLAN\VLC\vlc.exe"" """&amp;master!B545&amp;""""</f>
        <v>"C:\Program Files\VideoLAN\VLC\vlc.exe" ""</v>
      </c>
    </row>
    <row r="546" spans="1:2" x14ac:dyDescent="0.55000000000000004">
      <c r="A546">
        <f>master!U546</f>
        <v>0</v>
      </c>
      <c r="B546" t="str">
        <f>"""C:\Program Files\VideoLAN\VLC\vlc.exe"" """&amp;master!B546&amp;""""</f>
        <v>"C:\Program Files\VideoLAN\VLC\vlc.exe" ""</v>
      </c>
    </row>
    <row r="547" spans="1:2" x14ac:dyDescent="0.55000000000000004">
      <c r="A547">
        <f>master!U547</f>
        <v>0</v>
      </c>
      <c r="B547" t="str">
        <f>"""C:\Program Files\VideoLAN\VLC\vlc.exe"" """&amp;master!B547&amp;""""</f>
        <v>"C:\Program Files\VideoLAN\VLC\vlc.exe" ""</v>
      </c>
    </row>
    <row r="548" spans="1:2" x14ac:dyDescent="0.55000000000000004">
      <c r="A548">
        <f>master!U548</f>
        <v>0</v>
      </c>
      <c r="B548" t="str">
        <f>"""C:\Program Files\VideoLAN\VLC\vlc.exe"" """&amp;master!B548&amp;""""</f>
        <v>"C:\Program Files\VideoLAN\VLC\vlc.exe" ""</v>
      </c>
    </row>
    <row r="549" spans="1:2" x14ac:dyDescent="0.55000000000000004">
      <c r="A549">
        <f>master!U549</f>
        <v>0</v>
      </c>
      <c r="B549" t="str">
        <f>"""C:\Program Files\VideoLAN\VLC\vlc.exe"" """&amp;master!B549&amp;""""</f>
        <v>"C:\Program Files\VideoLAN\VLC\vlc.exe" ""</v>
      </c>
    </row>
    <row r="550" spans="1:2" x14ac:dyDescent="0.55000000000000004">
      <c r="A550">
        <f>master!U550</f>
        <v>0</v>
      </c>
      <c r="B550" t="str">
        <f>"""C:\Program Files\VideoLAN\VLC\vlc.exe"" """&amp;master!B550&amp;""""</f>
        <v>"C:\Program Files\VideoLAN\VLC\vlc.exe" ""</v>
      </c>
    </row>
    <row r="551" spans="1:2" x14ac:dyDescent="0.55000000000000004">
      <c r="A551">
        <f>master!U551</f>
        <v>0</v>
      </c>
      <c r="B551" t="str">
        <f>"""C:\Program Files\VideoLAN\VLC\vlc.exe"" """&amp;master!B551&amp;""""</f>
        <v>"C:\Program Files\VideoLAN\VLC\vlc.exe" ""</v>
      </c>
    </row>
    <row r="552" spans="1:2" x14ac:dyDescent="0.55000000000000004">
      <c r="A552">
        <f>master!U552</f>
        <v>0</v>
      </c>
      <c r="B552" t="str">
        <f>"""C:\Program Files\VideoLAN\VLC\vlc.exe"" """&amp;master!B552&amp;""""</f>
        <v>"C:\Program Files\VideoLAN\VLC\vlc.exe" ""</v>
      </c>
    </row>
    <row r="553" spans="1:2" x14ac:dyDescent="0.55000000000000004">
      <c r="A553">
        <f>master!U553</f>
        <v>0</v>
      </c>
      <c r="B553" t="str">
        <f>"""C:\Program Files\VideoLAN\VLC\vlc.exe"" """&amp;master!B553&amp;""""</f>
        <v>"C:\Program Files\VideoLAN\VLC\vlc.exe" ""</v>
      </c>
    </row>
    <row r="554" spans="1:2" x14ac:dyDescent="0.55000000000000004">
      <c r="A554">
        <f>master!U554</f>
        <v>0</v>
      </c>
      <c r="B554" t="str">
        <f>"""C:\Program Files\VideoLAN\VLC\vlc.exe"" """&amp;master!B554&amp;""""</f>
        <v>"C:\Program Files\VideoLAN\VLC\vlc.exe" ""</v>
      </c>
    </row>
    <row r="555" spans="1:2" x14ac:dyDescent="0.55000000000000004">
      <c r="A555">
        <f>master!U555</f>
        <v>0</v>
      </c>
      <c r="B555" t="str">
        <f>"""C:\Program Files\VideoLAN\VLC\vlc.exe"" """&amp;master!B555&amp;""""</f>
        <v>"C:\Program Files\VideoLAN\VLC\vlc.exe" ""</v>
      </c>
    </row>
    <row r="556" spans="1:2" x14ac:dyDescent="0.55000000000000004">
      <c r="A556">
        <f>master!U556</f>
        <v>0</v>
      </c>
      <c r="B556" t="str">
        <f>"""C:\Program Files\VideoLAN\VLC\vlc.exe"" """&amp;master!B556&amp;""""</f>
        <v>"C:\Program Files\VideoLAN\VLC\vlc.exe" ""</v>
      </c>
    </row>
    <row r="557" spans="1:2" x14ac:dyDescent="0.55000000000000004">
      <c r="A557">
        <f>master!U557</f>
        <v>0</v>
      </c>
      <c r="B557" t="str">
        <f>"""C:\Program Files\VideoLAN\VLC\vlc.exe"" """&amp;master!B557&amp;""""</f>
        <v>"C:\Program Files\VideoLAN\VLC\vlc.exe" ""</v>
      </c>
    </row>
    <row r="558" spans="1:2" x14ac:dyDescent="0.55000000000000004">
      <c r="A558">
        <f>master!U558</f>
        <v>0</v>
      </c>
      <c r="B558" t="str">
        <f>"""C:\Program Files\VideoLAN\VLC\vlc.exe"" """&amp;master!B558&amp;""""</f>
        <v>"C:\Program Files\VideoLAN\VLC\vlc.exe" ""</v>
      </c>
    </row>
    <row r="559" spans="1:2" x14ac:dyDescent="0.55000000000000004">
      <c r="A559">
        <f>master!U559</f>
        <v>0</v>
      </c>
      <c r="B559" t="str">
        <f>"""C:\Program Files\VideoLAN\VLC\vlc.exe"" """&amp;master!B559&amp;""""</f>
        <v>"C:\Program Files\VideoLAN\VLC\vlc.exe" ""</v>
      </c>
    </row>
    <row r="560" spans="1:2" x14ac:dyDescent="0.55000000000000004">
      <c r="A560">
        <f>master!U560</f>
        <v>0</v>
      </c>
      <c r="B560" t="str">
        <f>"""C:\Program Files\VideoLAN\VLC\vlc.exe"" """&amp;master!B560&amp;""""</f>
        <v>"C:\Program Files\VideoLAN\VLC\vlc.exe" ""</v>
      </c>
    </row>
    <row r="561" spans="1:2" x14ac:dyDescent="0.55000000000000004">
      <c r="A561">
        <f>master!U561</f>
        <v>0</v>
      </c>
      <c r="B561" t="str">
        <f>"""C:\Program Files\VideoLAN\VLC\vlc.exe"" """&amp;master!B561&amp;""""</f>
        <v>"C:\Program Files\VideoLAN\VLC\vlc.exe" ""</v>
      </c>
    </row>
    <row r="562" spans="1:2" x14ac:dyDescent="0.55000000000000004">
      <c r="A562">
        <f>master!U562</f>
        <v>0</v>
      </c>
      <c r="B562" t="str">
        <f>"""C:\Program Files\VideoLAN\VLC\vlc.exe"" """&amp;master!B562&amp;""""</f>
        <v>"C:\Program Files\VideoLAN\VLC\vlc.exe" ""</v>
      </c>
    </row>
    <row r="563" spans="1:2" x14ac:dyDescent="0.55000000000000004">
      <c r="A563">
        <f>master!U563</f>
        <v>0</v>
      </c>
      <c r="B563" t="str">
        <f>"""C:\Program Files\VideoLAN\VLC\vlc.exe"" """&amp;master!B563&amp;""""</f>
        <v>"C:\Program Files\VideoLAN\VLC\vlc.exe" ""</v>
      </c>
    </row>
    <row r="564" spans="1:2" x14ac:dyDescent="0.55000000000000004">
      <c r="A564">
        <f>master!U564</f>
        <v>0</v>
      </c>
      <c r="B564" t="str">
        <f>"""C:\Program Files\VideoLAN\VLC\vlc.exe"" """&amp;master!B564&amp;""""</f>
        <v>"C:\Program Files\VideoLAN\VLC\vlc.exe" ""</v>
      </c>
    </row>
    <row r="565" spans="1:2" x14ac:dyDescent="0.55000000000000004">
      <c r="A565">
        <f>master!U565</f>
        <v>0</v>
      </c>
      <c r="B565" t="str">
        <f>"""C:\Program Files\VideoLAN\VLC\vlc.exe"" """&amp;master!B565&amp;""""</f>
        <v>"C:\Program Files\VideoLAN\VLC\vlc.exe" ""</v>
      </c>
    </row>
    <row r="566" spans="1:2" x14ac:dyDescent="0.55000000000000004">
      <c r="A566">
        <f>master!U566</f>
        <v>0</v>
      </c>
      <c r="B566" t="str">
        <f>"""C:\Program Files\VideoLAN\VLC\vlc.exe"" """&amp;master!B566&amp;""""</f>
        <v>"C:\Program Files\VideoLAN\VLC\vlc.exe" ""</v>
      </c>
    </row>
    <row r="567" spans="1:2" x14ac:dyDescent="0.55000000000000004">
      <c r="A567">
        <f>master!U567</f>
        <v>0</v>
      </c>
      <c r="B567" t="str">
        <f>"""C:\Program Files\VideoLAN\VLC\vlc.exe"" """&amp;master!B567&amp;""""</f>
        <v>"C:\Program Files\VideoLAN\VLC\vlc.exe" ""</v>
      </c>
    </row>
    <row r="568" spans="1:2" x14ac:dyDescent="0.55000000000000004">
      <c r="A568">
        <f>master!U568</f>
        <v>0</v>
      </c>
      <c r="B568" t="str">
        <f>"""C:\Program Files\VideoLAN\VLC\vlc.exe"" """&amp;master!B568&amp;""""</f>
        <v>"C:\Program Files\VideoLAN\VLC\vlc.exe" ""</v>
      </c>
    </row>
    <row r="569" spans="1:2" x14ac:dyDescent="0.55000000000000004">
      <c r="A569">
        <f>master!U569</f>
        <v>0</v>
      </c>
      <c r="B569" t="str">
        <f>"""C:\Program Files\VideoLAN\VLC\vlc.exe"" """&amp;master!B569&amp;""""</f>
        <v>"C:\Program Files\VideoLAN\VLC\vlc.exe" ""</v>
      </c>
    </row>
    <row r="570" spans="1:2" x14ac:dyDescent="0.55000000000000004">
      <c r="A570">
        <f>master!U570</f>
        <v>0</v>
      </c>
      <c r="B570" t="str">
        <f>"""C:\Program Files\VideoLAN\VLC\vlc.exe"" """&amp;master!B570&amp;""""</f>
        <v>"C:\Program Files\VideoLAN\VLC\vlc.exe" ""</v>
      </c>
    </row>
    <row r="571" spans="1:2" x14ac:dyDescent="0.55000000000000004">
      <c r="A571">
        <f>master!U571</f>
        <v>0</v>
      </c>
      <c r="B571" t="str">
        <f>"""C:\Program Files\VideoLAN\VLC\vlc.exe"" """&amp;master!B571&amp;""""</f>
        <v>"C:\Program Files\VideoLAN\VLC\vlc.exe" ""</v>
      </c>
    </row>
    <row r="572" spans="1:2" x14ac:dyDescent="0.55000000000000004">
      <c r="A572">
        <f>master!U572</f>
        <v>0</v>
      </c>
      <c r="B572" t="str">
        <f>"""C:\Program Files\VideoLAN\VLC\vlc.exe"" """&amp;master!B572&amp;""""</f>
        <v>"C:\Program Files\VideoLAN\VLC\vlc.exe" ""</v>
      </c>
    </row>
    <row r="573" spans="1:2" x14ac:dyDescent="0.55000000000000004">
      <c r="A573">
        <f>master!U573</f>
        <v>0</v>
      </c>
      <c r="B573" t="str">
        <f>"""C:\Program Files\VideoLAN\VLC\vlc.exe"" """&amp;master!B573&amp;""""</f>
        <v>"C:\Program Files\VideoLAN\VLC\vlc.exe" ""</v>
      </c>
    </row>
    <row r="574" spans="1:2" x14ac:dyDescent="0.55000000000000004">
      <c r="A574">
        <f>master!U574</f>
        <v>0</v>
      </c>
      <c r="B574" t="str">
        <f>"""C:\Program Files\VideoLAN\VLC\vlc.exe"" """&amp;master!B574&amp;""""</f>
        <v>"C:\Program Files\VideoLAN\VLC\vlc.exe" ""</v>
      </c>
    </row>
    <row r="575" spans="1:2" x14ac:dyDescent="0.55000000000000004">
      <c r="A575">
        <f>master!U575</f>
        <v>0</v>
      </c>
      <c r="B575" t="str">
        <f>"""C:\Program Files\VideoLAN\VLC\vlc.exe"" """&amp;master!B575&amp;""""</f>
        <v>"C:\Program Files\VideoLAN\VLC\vlc.exe" ""</v>
      </c>
    </row>
    <row r="576" spans="1:2" x14ac:dyDescent="0.55000000000000004">
      <c r="A576">
        <f>master!U576</f>
        <v>0</v>
      </c>
      <c r="B576" t="str">
        <f>"""C:\Program Files\VideoLAN\VLC\vlc.exe"" """&amp;master!B576&amp;""""</f>
        <v>"C:\Program Files\VideoLAN\VLC\vlc.exe" ""</v>
      </c>
    </row>
    <row r="577" spans="1:2" x14ac:dyDescent="0.55000000000000004">
      <c r="A577">
        <f>master!U577</f>
        <v>0</v>
      </c>
      <c r="B577" t="str">
        <f>"""C:\Program Files\VideoLAN\VLC\vlc.exe"" """&amp;master!B577&amp;""""</f>
        <v>"C:\Program Files\VideoLAN\VLC\vlc.exe" ""</v>
      </c>
    </row>
    <row r="578" spans="1:2" x14ac:dyDescent="0.55000000000000004">
      <c r="A578">
        <f>master!U578</f>
        <v>0</v>
      </c>
      <c r="B578" t="str">
        <f>"""C:\Program Files\VideoLAN\VLC\vlc.exe"" """&amp;master!B578&amp;""""</f>
        <v>"C:\Program Files\VideoLAN\VLC\vlc.exe" ""</v>
      </c>
    </row>
    <row r="579" spans="1:2" x14ac:dyDescent="0.55000000000000004">
      <c r="A579">
        <f>master!U579</f>
        <v>0</v>
      </c>
      <c r="B579" t="str">
        <f>"""C:\Program Files\VideoLAN\VLC\vlc.exe"" """&amp;master!B579&amp;""""</f>
        <v>"C:\Program Files\VideoLAN\VLC\vlc.exe" ""</v>
      </c>
    </row>
    <row r="580" spans="1:2" x14ac:dyDescent="0.55000000000000004">
      <c r="A580">
        <f>master!U580</f>
        <v>0</v>
      </c>
      <c r="B580" t="str">
        <f>"""C:\Program Files\VideoLAN\VLC\vlc.exe"" """&amp;master!B580&amp;""""</f>
        <v>"C:\Program Files\VideoLAN\VLC\vlc.exe" ""</v>
      </c>
    </row>
    <row r="581" spans="1:2" x14ac:dyDescent="0.55000000000000004">
      <c r="A581">
        <f>master!U581</f>
        <v>0</v>
      </c>
      <c r="B581" t="str">
        <f>"""C:\Program Files\VideoLAN\VLC\vlc.exe"" """&amp;master!B581&amp;""""</f>
        <v>"C:\Program Files\VideoLAN\VLC\vlc.exe" ""</v>
      </c>
    </row>
    <row r="582" spans="1:2" x14ac:dyDescent="0.55000000000000004">
      <c r="A582">
        <f>master!U582</f>
        <v>0</v>
      </c>
      <c r="B582" t="str">
        <f>"""C:\Program Files\VideoLAN\VLC\vlc.exe"" """&amp;master!B582&amp;""""</f>
        <v>"C:\Program Files\VideoLAN\VLC\vlc.exe" ""</v>
      </c>
    </row>
    <row r="583" spans="1:2" x14ac:dyDescent="0.55000000000000004">
      <c r="A583">
        <f>master!U583</f>
        <v>0</v>
      </c>
      <c r="B583" t="str">
        <f>"""C:\Program Files\VideoLAN\VLC\vlc.exe"" """&amp;master!B583&amp;""""</f>
        <v>"C:\Program Files\VideoLAN\VLC\vlc.exe" ""</v>
      </c>
    </row>
    <row r="584" spans="1:2" x14ac:dyDescent="0.55000000000000004">
      <c r="A584">
        <f>master!U584</f>
        <v>0</v>
      </c>
      <c r="B584" t="str">
        <f>"""C:\Program Files\VideoLAN\VLC\vlc.exe"" """&amp;master!B584&amp;""""</f>
        <v>"C:\Program Files\VideoLAN\VLC\vlc.exe" ""</v>
      </c>
    </row>
    <row r="585" spans="1:2" x14ac:dyDescent="0.55000000000000004">
      <c r="A585">
        <f>master!U585</f>
        <v>0</v>
      </c>
      <c r="B585" t="str">
        <f>"""C:\Program Files\VideoLAN\VLC\vlc.exe"" """&amp;master!B585&amp;""""</f>
        <v>"C:\Program Files\VideoLAN\VLC\vlc.exe" ""</v>
      </c>
    </row>
    <row r="586" spans="1:2" x14ac:dyDescent="0.55000000000000004">
      <c r="A586">
        <f>master!U586</f>
        <v>0</v>
      </c>
      <c r="B586" t="str">
        <f>"""C:\Program Files\VideoLAN\VLC\vlc.exe"" """&amp;master!B586&amp;""""</f>
        <v>"C:\Program Files\VideoLAN\VLC\vlc.exe" ""</v>
      </c>
    </row>
    <row r="587" spans="1:2" x14ac:dyDescent="0.55000000000000004">
      <c r="A587">
        <f>master!U587</f>
        <v>0</v>
      </c>
      <c r="B587" t="str">
        <f>"""C:\Program Files\VideoLAN\VLC\vlc.exe"" """&amp;master!B587&amp;""""</f>
        <v>"C:\Program Files\VideoLAN\VLC\vlc.exe" ""</v>
      </c>
    </row>
    <row r="588" spans="1:2" x14ac:dyDescent="0.55000000000000004">
      <c r="A588">
        <f>master!U588</f>
        <v>0</v>
      </c>
      <c r="B588" t="str">
        <f>"""C:\Program Files\VideoLAN\VLC\vlc.exe"" """&amp;master!B588&amp;""""</f>
        <v>"C:\Program Files\VideoLAN\VLC\vlc.exe" ""</v>
      </c>
    </row>
    <row r="589" spans="1:2" x14ac:dyDescent="0.55000000000000004">
      <c r="A589">
        <f>master!U589</f>
        <v>0</v>
      </c>
      <c r="B589" t="str">
        <f>"""C:\Program Files\VideoLAN\VLC\vlc.exe"" """&amp;master!B589&amp;""""</f>
        <v>"C:\Program Files\VideoLAN\VLC\vlc.exe" ""</v>
      </c>
    </row>
    <row r="590" spans="1:2" x14ac:dyDescent="0.55000000000000004">
      <c r="A590">
        <f>master!U590</f>
        <v>0</v>
      </c>
      <c r="B590" t="str">
        <f>"""C:\Program Files\VideoLAN\VLC\vlc.exe"" """&amp;master!B590&amp;""""</f>
        <v>"C:\Program Files\VideoLAN\VLC\vlc.exe" ""</v>
      </c>
    </row>
    <row r="591" spans="1:2" x14ac:dyDescent="0.55000000000000004">
      <c r="A591">
        <f>master!U591</f>
        <v>0</v>
      </c>
      <c r="B591" t="str">
        <f>"""C:\Program Files\VideoLAN\VLC\vlc.exe"" """&amp;master!B591&amp;""""</f>
        <v>"C:\Program Files\VideoLAN\VLC\vlc.exe" ""</v>
      </c>
    </row>
    <row r="592" spans="1:2" x14ac:dyDescent="0.55000000000000004">
      <c r="A592">
        <f>master!U592</f>
        <v>0</v>
      </c>
      <c r="B592" t="str">
        <f>"""C:\Program Files\VideoLAN\VLC\vlc.exe"" """&amp;master!B592&amp;""""</f>
        <v>"C:\Program Files\VideoLAN\VLC\vlc.exe" ""</v>
      </c>
    </row>
    <row r="593" spans="1:2" x14ac:dyDescent="0.55000000000000004">
      <c r="A593">
        <f>master!U593</f>
        <v>0</v>
      </c>
      <c r="B593" t="str">
        <f>"""C:\Program Files\VideoLAN\VLC\vlc.exe"" """&amp;master!B593&amp;""""</f>
        <v>"C:\Program Files\VideoLAN\VLC\vlc.exe" ""</v>
      </c>
    </row>
    <row r="594" spans="1:2" x14ac:dyDescent="0.55000000000000004">
      <c r="A594">
        <f>master!U594</f>
        <v>0</v>
      </c>
      <c r="B594" t="str">
        <f>"""C:\Program Files\VideoLAN\VLC\vlc.exe"" """&amp;master!B594&amp;""""</f>
        <v>"C:\Program Files\VideoLAN\VLC\vlc.exe" ""</v>
      </c>
    </row>
    <row r="595" spans="1:2" x14ac:dyDescent="0.55000000000000004">
      <c r="A595">
        <f>master!U595</f>
        <v>0</v>
      </c>
      <c r="B595" t="str">
        <f>"""C:\Program Files\VideoLAN\VLC\vlc.exe"" """&amp;master!B595&amp;""""</f>
        <v>"C:\Program Files\VideoLAN\VLC\vlc.exe" ""</v>
      </c>
    </row>
    <row r="596" spans="1:2" x14ac:dyDescent="0.55000000000000004">
      <c r="A596">
        <f>master!U596</f>
        <v>0</v>
      </c>
      <c r="B596" t="str">
        <f>"""C:\Program Files\VideoLAN\VLC\vlc.exe"" """&amp;master!B596&amp;""""</f>
        <v>"C:\Program Files\VideoLAN\VLC\vlc.exe" ""</v>
      </c>
    </row>
    <row r="597" spans="1:2" x14ac:dyDescent="0.55000000000000004">
      <c r="A597">
        <f>master!U597</f>
        <v>0</v>
      </c>
      <c r="B597" t="str">
        <f>"""C:\Program Files\VideoLAN\VLC\vlc.exe"" """&amp;master!B597&amp;""""</f>
        <v>"C:\Program Files\VideoLAN\VLC\vlc.exe" ""</v>
      </c>
    </row>
    <row r="598" spans="1:2" x14ac:dyDescent="0.55000000000000004">
      <c r="A598">
        <f>master!U598</f>
        <v>0</v>
      </c>
      <c r="B598" t="str">
        <f>"""C:\Program Files\VideoLAN\VLC\vlc.exe"" """&amp;master!B598&amp;""""</f>
        <v>"C:\Program Files\VideoLAN\VLC\vlc.exe" ""</v>
      </c>
    </row>
    <row r="599" spans="1:2" x14ac:dyDescent="0.55000000000000004">
      <c r="A599">
        <f>master!U599</f>
        <v>0</v>
      </c>
      <c r="B599" t="str">
        <f>"""C:\Program Files\VideoLAN\VLC\vlc.exe"" """&amp;master!B599&amp;""""</f>
        <v>"C:\Program Files\VideoLAN\VLC\vlc.exe" ""</v>
      </c>
    </row>
    <row r="600" spans="1:2" x14ac:dyDescent="0.55000000000000004">
      <c r="A600">
        <f>master!U600</f>
        <v>0</v>
      </c>
      <c r="B600" t="str">
        <f>"""C:\Program Files\VideoLAN\VLC\vlc.exe"" """&amp;master!B600&amp;""""</f>
        <v>"C:\Program Files\VideoLAN\VLC\vlc.exe" ""</v>
      </c>
    </row>
    <row r="601" spans="1:2" x14ac:dyDescent="0.55000000000000004">
      <c r="A601">
        <f>master!U601</f>
        <v>0</v>
      </c>
      <c r="B601" t="str">
        <f>"""C:\Program Files\VideoLAN\VLC\vlc.exe"" """&amp;master!B601&amp;""""</f>
        <v>"C:\Program Files\VideoLAN\VLC\vlc.exe" ""</v>
      </c>
    </row>
    <row r="602" spans="1:2" x14ac:dyDescent="0.55000000000000004">
      <c r="A602">
        <f>master!U602</f>
        <v>0</v>
      </c>
      <c r="B602" t="str">
        <f>"""C:\Program Files\VideoLAN\VLC\vlc.exe"" """&amp;master!B602&amp;""""</f>
        <v>"C:\Program Files\VideoLAN\VLC\vlc.exe" ""</v>
      </c>
    </row>
    <row r="603" spans="1:2" x14ac:dyDescent="0.55000000000000004">
      <c r="A603">
        <f>master!U603</f>
        <v>0</v>
      </c>
      <c r="B603" t="str">
        <f>"""C:\Program Files\VideoLAN\VLC\vlc.exe"" """&amp;master!B603&amp;""""</f>
        <v>"C:\Program Files\VideoLAN\VLC\vlc.exe" ""</v>
      </c>
    </row>
    <row r="604" spans="1:2" x14ac:dyDescent="0.55000000000000004">
      <c r="A604">
        <f>master!U604</f>
        <v>0</v>
      </c>
      <c r="B604" t="str">
        <f>"""C:\Program Files\VideoLAN\VLC\vlc.exe"" """&amp;master!B604&amp;""""</f>
        <v>"C:\Program Files\VideoLAN\VLC\vlc.exe" ""</v>
      </c>
    </row>
    <row r="605" spans="1:2" x14ac:dyDescent="0.55000000000000004">
      <c r="A605">
        <f>master!U605</f>
        <v>0</v>
      </c>
      <c r="B605" t="str">
        <f>"""C:\Program Files\VideoLAN\VLC\vlc.exe"" """&amp;master!B605&amp;""""</f>
        <v>"C:\Program Files\VideoLAN\VLC\vlc.exe" ""</v>
      </c>
    </row>
    <row r="606" spans="1:2" x14ac:dyDescent="0.55000000000000004">
      <c r="A606">
        <f>master!U606</f>
        <v>0</v>
      </c>
      <c r="B606" t="str">
        <f>"""C:\Program Files\VideoLAN\VLC\vlc.exe"" """&amp;master!B606&amp;""""</f>
        <v>"C:\Program Files\VideoLAN\VLC\vlc.exe" ""</v>
      </c>
    </row>
    <row r="607" spans="1:2" x14ac:dyDescent="0.55000000000000004">
      <c r="A607">
        <f>master!U607</f>
        <v>0</v>
      </c>
      <c r="B607" t="str">
        <f>"""C:\Program Files\VideoLAN\VLC\vlc.exe"" """&amp;master!B607&amp;""""</f>
        <v>"C:\Program Files\VideoLAN\VLC\vlc.exe" ""</v>
      </c>
    </row>
    <row r="608" spans="1:2" x14ac:dyDescent="0.55000000000000004">
      <c r="A608">
        <f>master!U608</f>
        <v>0</v>
      </c>
      <c r="B608" t="str">
        <f>"""C:\Program Files\VideoLAN\VLC\vlc.exe"" """&amp;master!B608&amp;""""</f>
        <v>"C:\Program Files\VideoLAN\VLC\vlc.exe" ""</v>
      </c>
    </row>
    <row r="609" spans="1:2" x14ac:dyDescent="0.55000000000000004">
      <c r="A609">
        <f>master!U609</f>
        <v>0</v>
      </c>
      <c r="B609" t="str">
        <f>"""C:\Program Files\VideoLAN\VLC\vlc.exe"" """&amp;master!B609&amp;""""</f>
        <v>"C:\Program Files\VideoLAN\VLC\vlc.exe" ""</v>
      </c>
    </row>
    <row r="610" spans="1:2" x14ac:dyDescent="0.55000000000000004">
      <c r="A610">
        <f>master!U610</f>
        <v>0</v>
      </c>
      <c r="B610" t="str">
        <f>"""C:\Program Files\VideoLAN\VLC\vlc.exe"" """&amp;master!B610&amp;""""</f>
        <v>"C:\Program Files\VideoLAN\VLC\vlc.exe" ""</v>
      </c>
    </row>
    <row r="611" spans="1:2" x14ac:dyDescent="0.55000000000000004">
      <c r="A611">
        <f>master!U611</f>
        <v>0</v>
      </c>
      <c r="B611" t="str">
        <f>"""C:\Program Files\VideoLAN\VLC\vlc.exe"" """&amp;master!B611&amp;""""</f>
        <v>"C:\Program Files\VideoLAN\VLC\vlc.exe" ""</v>
      </c>
    </row>
    <row r="612" spans="1:2" x14ac:dyDescent="0.55000000000000004">
      <c r="A612">
        <f>master!U612</f>
        <v>0</v>
      </c>
      <c r="B612" t="str">
        <f>"""C:\Program Files\VideoLAN\VLC\vlc.exe"" """&amp;master!B612&amp;""""</f>
        <v>"C:\Program Files\VideoLAN\VLC\vlc.exe" ""</v>
      </c>
    </row>
    <row r="613" spans="1:2" x14ac:dyDescent="0.55000000000000004">
      <c r="A613">
        <f>master!U613</f>
        <v>0</v>
      </c>
      <c r="B613" t="str">
        <f>"""C:\Program Files\VideoLAN\VLC\vlc.exe"" """&amp;master!B613&amp;""""</f>
        <v>"C:\Program Files\VideoLAN\VLC\vlc.exe" ""</v>
      </c>
    </row>
    <row r="614" spans="1:2" x14ac:dyDescent="0.55000000000000004">
      <c r="A614">
        <f>master!U614</f>
        <v>0</v>
      </c>
      <c r="B614" t="str">
        <f>"""C:\Program Files\VideoLAN\VLC\vlc.exe"" """&amp;master!B614&amp;""""</f>
        <v>"C:\Program Files\VideoLAN\VLC\vlc.exe" ""</v>
      </c>
    </row>
    <row r="615" spans="1:2" x14ac:dyDescent="0.55000000000000004">
      <c r="A615">
        <f>master!U615</f>
        <v>0</v>
      </c>
      <c r="B615" t="str">
        <f>"""C:\Program Files\VideoLAN\VLC\vlc.exe"" """&amp;master!B615&amp;""""</f>
        <v>"C:\Program Files\VideoLAN\VLC\vlc.exe" ""</v>
      </c>
    </row>
    <row r="616" spans="1:2" x14ac:dyDescent="0.55000000000000004">
      <c r="A616">
        <f>master!U616</f>
        <v>0</v>
      </c>
      <c r="B616" t="str">
        <f>"""C:\Program Files\VideoLAN\VLC\vlc.exe"" """&amp;master!B616&amp;""""</f>
        <v>"C:\Program Files\VideoLAN\VLC\vlc.exe" ""</v>
      </c>
    </row>
    <row r="617" spans="1:2" x14ac:dyDescent="0.55000000000000004">
      <c r="A617">
        <f>master!U617</f>
        <v>0</v>
      </c>
      <c r="B617" t="str">
        <f>"""C:\Program Files\VideoLAN\VLC\vlc.exe"" """&amp;master!B617&amp;""""</f>
        <v>"C:\Program Files\VideoLAN\VLC\vlc.exe" ""</v>
      </c>
    </row>
    <row r="618" spans="1:2" x14ac:dyDescent="0.55000000000000004">
      <c r="A618">
        <f>master!U618</f>
        <v>0</v>
      </c>
      <c r="B618" t="str">
        <f>"""C:\Program Files\VideoLAN\VLC\vlc.exe"" """&amp;master!B618&amp;""""</f>
        <v>"C:\Program Files\VideoLAN\VLC\vlc.exe" ""</v>
      </c>
    </row>
    <row r="619" spans="1:2" x14ac:dyDescent="0.55000000000000004">
      <c r="A619">
        <f>master!U619</f>
        <v>0</v>
      </c>
      <c r="B619" t="str">
        <f>"""C:\Program Files\VideoLAN\VLC\vlc.exe"" """&amp;master!B619&amp;""""</f>
        <v>"C:\Program Files\VideoLAN\VLC\vlc.exe" ""</v>
      </c>
    </row>
    <row r="620" spans="1:2" x14ac:dyDescent="0.55000000000000004">
      <c r="A620">
        <f>master!U620</f>
        <v>0</v>
      </c>
      <c r="B620" t="str">
        <f>"""C:\Program Files\VideoLAN\VLC\vlc.exe"" """&amp;master!B620&amp;""""</f>
        <v>"C:\Program Files\VideoLAN\VLC\vlc.exe" ""</v>
      </c>
    </row>
    <row r="621" spans="1:2" x14ac:dyDescent="0.55000000000000004">
      <c r="A621">
        <f>master!U621</f>
        <v>0</v>
      </c>
      <c r="B621" t="str">
        <f>"""C:\Program Files\VideoLAN\VLC\vlc.exe"" """&amp;master!B621&amp;""""</f>
        <v>"C:\Program Files\VideoLAN\VLC\vlc.exe" ""</v>
      </c>
    </row>
    <row r="622" spans="1:2" x14ac:dyDescent="0.55000000000000004">
      <c r="A622">
        <f>master!U622</f>
        <v>0</v>
      </c>
      <c r="B622" t="str">
        <f>"""C:\Program Files\VideoLAN\VLC\vlc.exe"" """&amp;master!B622&amp;""""</f>
        <v>"C:\Program Files\VideoLAN\VLC\vlc.exe" ""</v>
      </c>
    </row>
    <row r="623" spans="1:2" x14ac:dyDescent="0.55000000000000004">
      <c r="A623">
        <f>master!U623</f>
        <v>0</v>
      </c>
      <c r="B623" t="str">
        <f>"""C:\Program Files\VideoLAN\VLC\vlc.exe"" """&amp;master!B623&amp;""""</f>
        <v>"C:\Program Files\VideoLAN\VLC\vlc.exe" ""</v>
      </c>
    </row>
    <row r="624" spans="1:2" x14ac:dyDescent="0.55000000000000004">
      <c r="A624">
        <f>master!U624</f>
        <v>0</v>
      </c>
      <c r="B624" t="str">
        <f>"""C:\Program Files\VideoLAN\VLC\vlc.exe"" """&amp;master!B624&amp;""""</f>
        <v>"C:\Program Files\VideoLAN\VLC\vlc.exe" ""</v>
      </c>
    </row>
    <row r="625" spans="1:2" x14ac:dyDescent="0.55000000000000004">
      <c r="A625">
        <f>master!U625</f>
        <v>0</v>
      </c>
      <c r="B625" t="str">
        <f>"""C:\Program Files\VideoLAN\VLC\vlc.exe"" """&amp;master!B625&amp;""""</f>
        <v>"C:\Program Files\VideoLAN\VLC\vlc.exe" ""</v>
      </c>
    </row>
    <row r="626" spans="1:2" x14ac:dyDescent="0.55000000000000004">
      <c r="A626">
        <f>master!U626</f>
        <v>0</v>
      </c>
      <c r="B626" t="str">
        <f>"""C:\Program Files\VideoLAN\VLC\vlc.exe"" """&amp;master!B626&amp;""""</f>
        <v>"C:\Program Files\VideoLAN\VLC\vlc.exe" ""</v>
      </c>
    </row>
    <row r="627" spans="1:2" x14ac:dyDescent="0.55000000000000004">
      <c r="A627">
        <f>master!U627</f>
        <v>0</v>
      </c>
      <c r="B627" t="str">
        <f>"""C:\Program Files\VideoLAN\VLC\vlc.exe"" """&amp;master!B627&amp;""""</f>
        <v>"C:\Program Files\VideoLAN\VLC\vlc.exe" ""</v>
      </c>
    </row>
    <row r="628" spans="1:2" x14ac:dyDescent="0.55000000000000004">
      <c r="A628">
        <f>master!U628</f>
        <v>0</v>
      </c>
      <c r="B628" t="str">
        <f>"""C:\Program Files\VideoLAN\VLC\vlc.exe"" """&amp;master!B628&amp;""""</f>
        <v>"C:\Program Files\VideoLAN\VLC\vlc.exe" ""</v>
      </c>
    </row>
    <row r="629" spans="1:2" x14ac:dyDescent="0.55000000000000004">
      <c r="A629">
        <f>master!U629</f>
        <v>0</v>
      </c>
      <c r="B629" t="str">
        <f>"""C:\Program Files\VideoLAN\VLC\vlc.exe"" """&amp;master!B629&amp;""""</f>
        <v>"C:\Program Files\VideoLAN\VLC\vlc.exe" ""</v>
      </c>
    </row>
    <row r="630" spans="1:2" x14ac:dyDescent="0.55000000000000004">
      <c r="A630">
        <f>master!U630</f>
        <v>0</v>
      </c>
      <c r="B630" t="str">
        <f>"""C:\Program Files\VideoLAN\VLC\vlc.exe"" """&amp;master!B630&amp;""""</f>
        <v>"C:\Program Files\VideoLAN\VLC\vlc.exe" ""</v>
      </c>
    </row>
    <row r="631" spans="1:2" x14ac:dyDescent="0.55000000000000004">
      <c r="A631">
        <f>master!U631</f>
        <v>0</v>
      </c>
      <c r="B631" t="str">
        <f>"""C:\Program Files\VideoLAN\VLC\vlc.exe"" """&amp;master!B631&amp;""""</f>
        <v>"C:\Program Files\VideoLAN\VLC\vlc.exe" ""</v>
      </c>
    </row>
    <row r="632" spans="1:2" x14ac:dyDescent="0.55000000000000004">
      <c r="A632">
        <f>master!U632</f>
        <v>0</v>
      </c>
      <c r="B632" t="str">
        <f>"""C:\Program Files\VideoLAN\VLC\vlc.exe"" """&amp;master!B632&amp;""""</f>
        <v>"C:\Program Files\VideoLAN\VLC\vlc.exe" ""</v>
      </c>
    </row>
    <row r="633" spans="1:2" x14ac:dyDescent="0.55000000000000004">
      <c r="A633">
        <f>master!U633</f>
        <v>0</v>
      </c>
      <c r="B633" t="str">
        <f>"""C:\Program Files\VideoLAN\VLC\vlc.exe"" """&amp;master!B633&amp;""""</f>
        <v>"C:\Program Files\VideoLAN\VLC\vlc.exe" ""</v>
      </c>
    </row>
    <row r="634" spans="1:2" x14ac:dyDescent="0.55000000000000004">
      <c r="A634">
        <f>master!U634</f>
        <v>0</v>
      </c>
      <c r="B634" t="str">
        <f>"""C:\Program Files\VideoLAN\VLC\vlc.exe"" """&amp;master!B634&amp;""""</f>
        <v>"C:\Program Files\VideoLAN\VLC\vlc.exe" ""</v>
      </c>
    </row>
    <row r="635" spans="1:2" x14ac:dyDescent="0.55000000000000004">
      <c r="A635">
        <f>master!U635</f>
        <v>0</v>
      </c>
      <c r="B635" t="str">
        <f>"""C:\Program Files\VideoLAN\VLC\vlc.exe"" """&amp;master!B635&amp;""""</f>
        <v>"C:\Program Files\VideoLAN\VLC\vlc.exe" ""</v>
      </c>
    </row>
    <row r="636" spans="1:2" x14ac:dyDescent="0.55000000000000004">
      <c r="A636">
        <f>master!U636</f>
        <v>0</v>
      </c>
      <c r="B636" t="str">
        <f>"""C:\Program Files\VideoLAN\VLC\vlc.exe"" """&amp;master!B636&amp;""""</f>
        <v>"C:\Program Files\VideoLAN\VLC\vlc.exe" ""</v>
      </c>
    </row>
    <row r="637" spans="1:2" x14ac:dyDescent="0.55000000000000004">
      <c r="A637">
        <f>master!U637</f>
        <v>0</v>
      </c>
      <c r="B637" t="str">
        <f>"""C:\Program Files\VideoLAN\VLC\vlc.exe"" """&amp;master!B637&amp;""""</f>
        <v>"C:\Program Files\VideoLAN\VLC\vlc.exe" ""</v>
      </c>
    </row>
    <row r="638" spans="1:2" x14ac:dyDescent="0.55000000000000004">
      <c r="A638">
        <f>master!U638</f>
        <v>0</v>
      </c>
      <c r="B638" t="str">
        <f>"""C:\Program Files\VideoLAN\VLC\vlc.exe"" """&amp;master!B638&amp;""""</f>
        <v>"C:\Program Files\VideoLAN\VLC\vlc.exe" ""</v>
      </c>
    </row>
    <row r="639" spans="1:2" x14ac:dyDescent="0.55000000000000004">
      <c r="A639">
        <f>master!U639</f>
        <v>0</v>
      </c>
      <c r="B639" t="str">
        <f>"""C:\Program Files\VideoLAN\VLC\vlc.exe"" """&amp;master!B639&amp;""""</f>
        <v>"C:\Program Files\VideoLAN\VLC\vlc.exe" ""</v>
      </c>
    </row>
    <row r="640" spans="1:2" x14ac:dyDescent="0.55000000000000004">
      <c r="A640">
        <f>master!U640</f>
        <v>0</v>
      </c>
      <c r="B640" t="str">
        <f>"""C:\Program Files\VideoLAN\VLC\vlc.exe"" """&amp;master!B640&amp;""""</f>
        <v>"C:\Program Files\VideoLAN\VLC\vlc.exe" ""</v>
      </c>
    </row>
    <row r="641" spans="1:2" x14ac:dyDescent="0.55000000000000004">
      <c r="A641">
        <f>master!U641</f>
        <v>0</v>
      </c>
      <c r="B641" t="str">
        <f>"""C:\Program Files\VideoLAN\VLC\vlc.exe"" """&amp;master!B641&amp;""""</f>
        <v>"C:\Program Files\VideoLAN\VLC\vlc.exe" ""</v>
      </c>
    </row>
    <row r="642" spans="1:2" x14ac:dyDescent="0.55000000000000004">
      <c r="A642">
        <f>master!U642</f>
        <v>0</v>
      </c>
      <c r="B642" t="str">
        <f>"""C:\Program Files\VideoLAN\VLC\vlc.exe"" """&amp;master!B642&amp;""""</f>
        <v>"C:\Program Files\VideoLAN\VLC\vlc.exe" ""</v>
      </c>
    </row>
    <row r="643" spans="1:2" x14ac:dyDescent="0.55000000000000004">
      <c r="A643">
        <f>master!U643</f>
        <v>0</v>
      </c>
      <c r="B643" t="str">
        <f>"""C:\Program Files\VideoLAN\VLC\vlc.exe"" """&amp;master!B643&amp;""""</f>
        <v>"C:\Program Files\VideoLAN\VLC\vlc.exe" ""</v>
      </c>
    </row>
    <row r="644" spans="1:2" x14ac:dyDescent="0.55000000000000004">
      <c r="A644">
        <f>master!U644</f>
        <v>0</v>
      </c>
      <c r="B644" t="str">
        <f>"""C:\Program Files\VideoLAN\VLC\vlc.exe"" """&amp;master!B644&amp;""""</f>
        <v>"C:\Program Files\VideoLAN\VLC\vlc.exe" ""</v>
      </c>
    </row>
    <row r="645" spans="1:2" x14ac:dyDescent="0.55000000000000004">
      <c r="A645">
        <f>master!U645</f>
        <v>0</v>
      </c>
      <c r="B645" t="str">
        <f>"""C:\Program Files\VideoLAN\VLC\vlc.exe"" """&amp;master!B645&amp;""""</f>
        <v>"C:\Program Files\VideoLAN\VLC\vlc.exe" ""</v>
      </c>
    </row>
    <row r="646" spans="1:2" x14ac:dyDescent="0.55000000000000004">
      <c r="A646">
        <f>master!U646</f>
        <v>0</v>
      </c>
      <c r="B646" t="str">
        <f>"""C:\Program Files\VideoLAN\VLC\vlc.exe"" """&amp;master!B646&amp;""""</f>
        <v>"C:\Program Files\VideoLAN\VLC\vlc.exe" ""</v>
      </c>
    </row>
    <row r="647" spans="1:2" x14ac:dyDescent="0.55000000000000004">
      <c r="A647">
        <f>master!U647</f>
        <v>0</v>
      </c>
      <c r="B647" t="str">
        <f>"""C:\Program Files\VideoLAN\VLC\vlc.exe"" """&amp;master!B647&amp;""""</f>
        <v>"C:\Program Files\VideoLAN\VLC\vlc.exe" ""</v>
      </c>
    </row>
    <row r="648" spans="1:2" x14ac:dyDescent="0.55000000000000004">
      <c r="A648">
        <f>master!U648</f>
        <v>0</v>
      </c>
      <c r="B648" t="str">
        <f>"""C:\Program Files\VideoLAN\VLC\vlc.exe"" """&amp;master!B648&amp;""""</f>
        <v>"C:\Program Files\VideoLAN\VLC\vlc.exe" ""</v>
      </c>
    </row>
    <row r="649" spans="1:2" x14ac:dyDescent="0.55000000000000004">
      <c r="A649">
        <f>master!U649</f>
        <v>0</v>
      </c>
      <c r="B649" t="str">
        <f>"""C:\Program Files\VideoLAN\VLC\vlc.exe"" """&amp;master!B649&amp;""""</f>
        <v>"C:\Program Files\VideoLAN\VLC\vlc.exe" ""</v>
      </c>
    </row>
    <row r="650" spans="1:2" x14ac:dyDescent="0.55000000000000004">
      <c r="A650">
        <f>master!U650</f>
        <v>0</v>
      </c>
      <c r="B650" t="str">
        <f>"""C:\Program Files\VideoLAN\VLC\vlc.exe"" """&amp;master!B650&amp;""""</f>
        <v>"C:\Program Files\VideoLAN\VLC\vlc.exe" ""</v>
      </c>
    </row>
    <row r="651" spans="1:2" x14ac:dyDescent="0.55000000000000004">
      <c r="A651">
        <f>master!U651</f>
        <v>0</v>
      </c>
      <c r="B651" t="str">
        <f>"""C:\Program Files\VideoLAN\VLC\vlc.exe"" """&amp;master!B651&amp;""""</f>
        <v>"C:\Program Files\VideoLAN\VLC\vlc.exe" ""</v>
      </c>
    </row>
    <row r="652" spans="1:2" x14ac:dyDescent="0.55000000000000004">
      <c r="A652">
        <f>master!U652</f>
        <v>0</v>
      </c>
      <c r="B652" t="str">
        <f>"""C:\Program Files\VideoLAN\VLC\vlc.exe"" """&amp;master!B652&amp;""""</f>
        <v>"C:\Program Files\VideoLAN\VLC\vlc.exe" ""</v>
      </c>
    </row>
    <row r="653" spans="1:2" x14ac:dyDescent="0.55000000000000004">
      <c r="A653">
        <f>master!U653</f>
        <v>0</v>
      </c>
      <c r="B653" t="str">
        <f>"""C:\Program Files\VideoLAN\VLC\vlc.exe"" """&amp;master!B653&amp;""""</f>
        <v>"C:\Program Files\VideoLAN\VLC\vlc.exe" ""</v>
      </c>
    </row>
    <row r="654" spans="1:2" x14ac:dyDescent="0.55000000000000004">
      <c r="A654">
        <f>master!U654</f>
        <v>0</v>
      </c>
      <c r="B654" t="str">
        <f>"""C:\Program Files\VideoLAN\VLC\vlc.exe"" """&amp;master!B654&amp;""""</f>
        <v>"C:\Program Files\VideoLAN\VLC\vlc.exe" ""</v>
      </c>
    </row>
    <row r="655" spans="1:2" x14ac:dyDescent="0.55000000000000004">
      <c r="A655">
        <f>master!U655</f>
        <v>0</v>
      </c>
      <c r="B655" t="str">
        <f>"""C:\Program Files\VideoLAN\VLC\vlc.exe"" """&amp;master!B655&amp;""""</f>
        <v>"C:\Program Files\VideoLAN\VLC\vlc.exe" ""</v>
      </c>
    </row>
    <row r="656" spans="1:2" x14ac:dyDescent="0.55000000000000004">
      <c r="A656">
        <f>master!U656</f>
        <v>0</v>
      </c>
      <c r="B656" t="str">
        <f>"""C:\Program Files\VideoLAN\VLC\vlc.exe"" """&amp;master!B656&amp;""""</f>
        <v>"C:\Program Files\VideoLAN\VLC\vlc.exe" ""</v>
      </c>
    </row>
    <row r="657" spans="1:2" x14ac:dyDescent="0.55000000000000004">
      <c r="A657">
        <f>master!U657</f>
        <v>0</v>
      </c>
      <c r="B657" t="str">
        <f>"""C:\Program Files\VideoLAN\VLC\vlc.exe"" """&amp;master!B657&amp;""""</f>
        <v>"C:\Program Files\VideoLAN\VLC\vlc.exe" ""</v>
      </c>
    </row>
    <row r="658" spans="1:2" x14ac:dyDescent="0.55000000000000004">
      <c r="A658">
        <f>master!U658</f>
        <v>0</v>
      </c>
      <c r="B658" t="str">
        <f>"""C:\Program Files\VideoLAN\VLC\vlc.exe"" """&amp;master!B658&amp;""""</f>
        <v>"C:\Program Files\VideoLAN\VLC\vlc.exe" ""</v>
      </c>
    </row>
    <row r="659" spans="1:2" x14ac:dyDescent="0.55000000000000004">
      <c r="A659">
        <f>master!U659</f>
        <v>0</v>
      </c>
      <c r="B659" t="str">
        <f>"""C:\Program Files\VideoLAN\VLC\vlc.exe"" """&amp;master!B659&amp;""""</f>
        <v>"C:\Program Files\VideoLAN\VLC\vlc.exe" ""</v>
      </c>
    </row>
    <row r="660" spans="1:2" x14ac:dyDescent="0.55000000000000004">
      <c r="A660">
        <f>master!U660</f>
        <v>0</v>
      </c>
      <c r="B660" t="str">
        <f>"""C:\Program Files\VideoLAN\VLC\vlc.exe"" """&amp;master!B660&amp;""""</f>
        <v>"C:\Program Files\VideoLAN\VLC\vlc.exe" ""</v>
      </c>
    </row>
    <row r="661" spans="1:2" x14ac:dyDescent="0.55000000000000004">
      <c r="A661">
        <f>master!U661</f>
        <v>0</v>
      </c>
      <c r="B661" t="str">
        <f>"""C:\Program Files\VideoLAN\VLC\vlc.exe"" """&amp;master!B661&amp;""""</f>
        <v>"C:\Program Files\VideoLAN\VLC\vlc.exe" ""</v>
      </c>
    </row>
    <row r="662" spans="1:2" x14ac:dyDescent="0.55000000000000004">
      <c r="A662">
        <f>master!U662</f>
        <v>0</v>
      </c>
      <c r="B662" t="str">
        <f>"""C:\Program Files\VideoLAN\VLC\vlc.exe"" """&amp;master!B662&amp;""""</f>
        <v>"C:\Program Files\VideoLAN\VLC\vlc.exe" ""</v>
      </c>
    </row>
    <row r="663" spans="1:2" x14ac:dyDescent="0.55000000000000004">
      <c r="A663">
        <f>master!U663</f>
        <v>0</v>
      </c>
      <c r="B663" t="str">
        <f>"""C:\Program Files\VideoLAN\VLC\vlc.exe"" """&amp;master!B663&amp;""""</f>
        <v>"C:\Program Files\VideoLAN\VLC\vlc.exe" ""</v>
      </c>
    </row>
    <row r="664" spans="1:2" x14ac:dyDescent="0.55000000000000004">
      <c r="A664">
        <f>master!U664</f>
        <v>0</v>
      </c>
      <c r="B664" t="str">
        <f>"""C:\Program Files\VideoLAN\VLC\vlc.exe"" """&amp;master!B664&amp;""""</f>
        <v>"C:\Program Files\VideoLAN\VLC\vlc.exe" ""</v>
      </c>
    </row>
    <row r="665" spans="1:2" x14ac:dyDescent="0.55000000000000004">
      <c r="A665">
        <f>master!U665</f>
        <v>0</v>
      </c>
      <c r="B665" t="str">
        <f>"""C:\Program Files\VideoLAN\VLC\vlc.exe"" """&amp;master!B665&amp;""""</f>
        <v>"C:\Program Files\VideoLAN\VLC\vlc.exe" ""</v>
      </c>
    </row>
    <row r="666" spans="1:2" x14ac:dyDescent="0.55000000000000004">
      <c r="A666">
        <f>master!U666</f>
        <v>0</v>
      </c>
      <c r="B666" t="str">
        <f>"""C:\Program Files\VideoLAN\VLC\vlc.exe"" """&amp;master!B666&amp;""""</f>
        <v>"C:\Program Files\VideoLAN\VLC\vlc.exe" ""</v>
      </c>
    </row>
    <row r="667" spans="1:2" x14ac:dyDescent="0.55000000000000004">
      <c r="A667">
        <f>master!U667</f>
        <v>0</v>
      </c>
      <c r="B667" t="str">
        <f>"""C:\Program Files\VideoLAN\VLC\vlc.exe"" """&amp;master!B667&amp;""""</f>
        <v>"C:\Program Files\VideoLAN\VLC\vlc.exe" ""</v>
      </c>
    </row>
    <row r="668" spans="1:2" x14ac:dyDescent="0.55000000000000004">
      <c r="A668">
        <f>master!U668</f>
        <v>0</v>
      </c>
      <c r="B668" t="str">
        <f>"""C:\Program Files\VideoLAN\VLC\vlc.exe"" """&amp;master!B668&amp;""""</f>
        <v>"C:\Program Files\VideoLAN\VLC\vlc.exe" ""</v>
      </c>
    </row>
    <row r="669" spans="1:2" x14ac:dyDescent="0.55000000000000004">
      <c r="A669">
        <f>master!U669</f>
        <v>0</v>
      </c>
      <c r="B669" t="str">
        <f>"""C:\Program Files\VideoLAN\VLC\vlc.exe"" """&amp;master!B669&amp;""""</f>
        <v>"C:\Program Files\VideoLAN\VLC\vlc.exe" ""</v>
      </c>
    </row>
    <row r="670" spans="1:2" x14ac:dyDescent="0.55000000000000004">
      <c r="A670">
        <f>master!U670</f>
        <v>0</v>
      </c>
      <c r="B670" t="str">
        <f>"""C:\Program Files\VideoLAN\VLC\vlc.exe"" """&amp;master!B670&amp;""""</f>
        <v>"C:\Program Files\VideoLAN\VLC\vlc.exe" ""</v>
      </c>
    </row>
    <row r="671" spans="1:2" x14ac:dyDescent="0.55000000000000004">
      <c r="A671">
        <f>master!U671</f>
        <v>0</v>
      </c>
      <c r="B671" t="str">
        <f>"""C:\Program Files\VideoLAN\VLC\vlc.exe"" """&amp;master!B671&amp;""""</f>
        <v>"C:\Program Files\VideoLAN\VLC\vlc.exe" ""</v>
      </c>
    </row>
    <row r="672" spans="1:2" x14ac:dyDescent="0.55000000000000004">
      <c r="A672">
        <f>master!U672</f>
        <v>0</v>
      </c>
      <c r="B672" t="str">
        <f>"""C:\Program Files\VideoLAN\VLC\vlc.exe"" """&amp;master!B672&amp;""""</f>
        <v>"C:\Program Files\VideoLAN\VLC\vlc.exe" ""</v>
      </c>
    </row>
    <row r="673" spans="1:2" x14ac:dyDescent="0.55000000000000004">
      <c r="A673">
        <f>master!U673</f>
        <v>0</v>
      </c>
      <c r="B673" t="str">
        <f>"""C:\Program Files\VideoLAN\VLC\vlc.exe"" """&amp;master!B673&amp;""""</f>
        <v>"C:\Program Files\VideoLAN\VLC\vlc.exe" ""</v>
      </c>
    </row>
    <row r="674" spans="1:2" x14ac:dyDescent="0.55000000000000004">
      <c r="A674">
        <f>master!U674</f>
        <v>0</v>
      </c>
      <c r="B674" t="str">
        <f>"""C:\Program Files\VideoLAN\VLC\vlc.exe"" """&amp;master!B674&amp;""""</f>
        <v>"C:\Program Files\VideoLAN\VLC\vlc.exe" ""</v>
      </c>
    </row>
    <row r="675" spans="1:2" x14ac:dyDescent="0.55000000000000004">
      <c r="A675">
        <f>master!U675</f>
        <v>0</v>
      </c>
      <c r="B675" t="str">
        <f>"""C:\Program Files\VideoLAN\VLC\vlc.exe"" """&amp;master!B675&amp;""""</f>
        <v>"C:\Program Files\VideoLAN\VLC\vlc.exe" ""</v>
      </c>
    </row>
    <row r="676" spans="1:2" x14ac:dyDescent="0.55000000000000004">
      <c r="A676">
        <f>master!U676</f>
        <v>0</v>
      </c>
      <c r="B676" t="str">
        <f>"""C:\Program Files\VideoLAN\VLC\vlc.exe"" """&amp;master!B676&amp;""""</f>
        <v>"C:\Program Files\VideoLAN\VLC\vlc.exe" ""</v>
      </c>
    </row>
    <row r="677" spans="1:2" x14ac:dyDescent="0.55000000000000004">
      <c r="A677">
        <f>master!U677</f>
        <v>0</v>
      </c>
      <c r="B677" t="str">
        <f>"""C:\Program Files\VideoLAN\VLC\vlc.exe"" """&amp;master!B677&amp;""""</f>
        <v>"C:\Program Files\VideoLAN\VLC\vlc.exe" ""</v>
      </c>
    </row>
    <row r="678" spans="1:2" x14ac:dyDescent="0.55000000000000004">
      <c r="A678">
        <f>master!U678</f>
        <v>0</v>
      </c>
      <c r="B678" t="str">
        <f>"""C:\Program Files\VideoLAN\VLC\vlc.exe"" """&amp;master!B678&amp;""""</f>
        <v>"C:\Program Files\VideoLAN\VLC\vlc.exe" ""</v>
      </c>
    </row>
    <row r="679" spans="1:2" x14ac:dyDescent="0.55000000000000004">
      <c r="A679">
        <f>master!U679</f>
        <v>0</v>
      </c>
      <c r="B679" t="str">
        <f>"""C:\Program Files\VideoLAN\VLC\vlc.exe"" """&amp;master!B679&amp;""""</f>
        <v>"C:\Program Files\VideoLAN\VLC\vlc.exe" ""</v>
      </c>
    </row>
    <row r="680" spans="1:2" x14ac:dyDescent="0.55000000000000004">
      <c r="A680">
        <f>master!U680</f>
        <v>0</v>
      </c>
      <c r="B680" t="str">
        <f>"""C:\Program Files\VideoLAN\VLC\vlc.exe"" """&amp;master!B680&amp;""""</f>
        <v>"C:\Program Files\VideoLAN\VLC\vlc.exe" ""</v>
      </c>
    </row>
    <row r="681" spans="1:2" x14ac:dyDescent="0.55000000000000004">
      <c r="A681">
        <f>master!U681</f>
        <v>0</v>
      </c>
      <c r="B681" t="str">
        <f>"""C:\Program Files\VideoLAN\VLC\vlc.exe"" """&amp;master!B681&amp;""""</f>
        <v>"C:\Program Files\VideoLAN\VLC\vlc.exe" ""</v>
      </c>
    </row>
    <row r="682" spans="1:2" x14ac:dyDescent="0.55000000000000004">
      <c r="A682">
        <f>master!U682</f>
        <v>0</v>
      </c>
      <c r="B682" t="str">
        <f>"""C:\Program Files\VideoLAN\VLC\vlc.exe"" """&amp;master!B682&amp;""""</f>
        <v>"C:\Program Files\VideoLAN\VLC\vlc.exe" ""</v>
      </c>
    </row>
    <row r="683" spans="1:2" x14ac:dyDescent="0.55000000000000004">
      <c r="A683">
        <f>master!U683</f>
        <v>0</v>
      </c>
      <c r="B683" t="str">
        <f>"""C:\Program Files\VideoLAN\VLC\vlc.exe"" """&amp;master!B683&amp;""""</f>
        <v>"C:\Program Files\VideoLAN\VLC\vlc.exe" ""</v>
      </c>
    </row>
    <row r="684" spans="1:2" x14ac:dyDescent="0.55000000000000004">
      <c r="A684">
        <f>master!U684</f>
        <v>0</v>
      </c>
      <c r="B684" t="str">
        <f>"""C:\Program Files\VideoLAN\VLC\vlc.exe"" """&amp;master!B684&amp;""""</f>
        <v>"C:\Program Files\VideoLAN\VLC\vlc.exe" ""</v>
      </c>
    </row>
    <row r="685" spans="1:2" x14ac:dyDescent="0.55000000000000004">
      <c r="A685">
        <f>master!U685</f>
        <v>0</v>
      </c>
      <c r="B685" t="str">
        <f>"""C:\Program Files\VideoLAN\VLC\vlc.exe"" """&amp;master!B685&amp;""""</f>
        <v>"C:\Program Files\VideoLAN\VLC\vlc.exe" ""</v>
      </c>
    </row>
    <row r="686" spans="1:2" x14ac:dyDescent="0.55000000000000004">
      <c r="A686">
        <f>master!U686</f>
        <v>0</v>
      </c>
      <c r="B686" t="str">
        <f>"""C:\Program Files\VideoLAN\VLC\vlc.exe"" """&amp;master!B686&amp;""""</f>
        <v>"C:\Program Files\VideoLAN\VLC\vlc.exe" ""</v>
      </c>
    </row>
    <row r="687" spans="1:2" x14ac:dyDescent="0.55000000000000004">
      <c r="A687">
        <f>master!U687</f>
        <v>0</v>
      </c>
      <c r="B687" t="str">
        <f>"""C:\Program Files\VideoLAN\VLC\vlc.exe"" """&amp;master!B687&amp;""""</f>
        <v>"C:\Program Files\VideoLAN\VLC\vlc.exe" ""</v>
      </c>
    </row>
    <row r="688" spans="1:2" x14ac:dyDescent="0.55000000000000004">
      <c r="A688">
        <f>master!U688</f>
        <v>0</v>
      </c>
      <c r="B688" t="str">
        <f>"""C:\Program Files\VideoLAN\VLC\vlc.exe"" """&amp;master!B688&amp;""""</f>
        <v>"C:\Program Files\VideoLAN\VLC\vlc.exe" ""</v>
      </c>
    </row>
    <row r="689" spans="1:2" x14ac:dyDescent="0.55000000000000004">
      <c r="A689">
        <f>master!U689</f>
        <v>0</v>
      </c>
      <c r="B689" t="str">
        <f>"""C:\Program Files\VideoLAN\VLC\vlc.exe"" """&amp;master!B689&amp;""""</f>
        <v>"C:\Program Files\VideoLAN\VLC\vlc.exe" ""</v>
      </c>
    </row>
    <row r="690" spans="1:2" x14ac:dyDescent="0.55000000000000004">
      <c r="A690">
        <f>master!U690</f>
        <v>0</v>
      </c>
      <c r="B690" t="str">
        <f>"""C:\Program Files\VideoLAN\VLC\vlc.exe"" """&amp;master!B690&amp;""""</f>
        <v>"C:\Program Files\VideoLAN\VLC\vlc.exe" ""</v>
      </c>
    </row>
    <row r="691" spans="1:2" x14ac:dyDescent="0.55000000000000004">
      <c r="A691">
        <f>master!U691</f>
        <v>0</v>
      </c>
      <c r="B691" t="str">
        <f>"""C:\Program Files\VideoLAN\VLC\vlc.exe"" """&amp;master!B691&amp;""""</f>
        <v>"C:\Program Files\VideoLAN\VLC\vlc.exe" ""</v>
      </c>
    </row>
    <row r="692" spans="1:2" x14ac:dyDescent="0.55000000000000004">
      <c r="A692">
        <f>master!U692</f>
        <v>0</v>
      </c>
      <c r="B692" t="str">
        <f>"""C:\Program Files\VideoLAN\VLC\vlc.exe"" """&amp;master!B692&amp;""""</f>
        <v>"C:\Program Files\VideoLAN\VLC\vlc.exe" ""</v>
      </c>
    </row>
    <row r="693" spans="1:2" x14ac:dyDescent="0.55000000000000004">
      <c r="A693">
        <f>master!U693</f>
        <v>0</v>
      </c>
      <c r="B693" t="str">
        <f>"""C:\Program Files\VideoLAN\VLC\vlc.exe"" """&amp;master!B693&amp;""""</f>
        <v>"C:\Program Files\VideoLAN\VLC\vlc.exe" ""</v>
      </c>
    </row>
    <row r="694" spans="1:2" x14ac:dyDescent="0.55000000000000004">
      <c r="A694">
        <f>master!U694</f>
        <v>0</v>
      </c>
      <c r="B694" t="str">
        <f>"""C:\Program Files\VideoLAN\VLC\vlc.exe"" """&amp;master!B694&amp;""""</f>
        <v>"C:\Program Files\VideoLAN\VLC\vlc.exe" ""</v>
      </c>
    </row>
    <row r="695" spans="1:2" x14ac:dyDescent="0.55000000000000004">
      <c r="A695">
        <f>master!U695</f>
        <v>0</v>
      </c>
      <c r="B695" t="str">
        <f>"""C:\Program Files\VideoLAN\VLC\vlc.exe"" """&amp;master!B695&amp;""""</f>
        <v>"C:\Program Files\VideoLAN\VLC\vlc.exe" ""</v>
      </c>
    </row>
    <row r="696" spans="1:2" x14ac:dyDescent="0.55000000000000004">
      <c r="A696">
        <f>master!U696</f>
        <v>0</v>
      </c>
      <c r="B696" t="str">
        <f>"""C:\Program Files\VideoLAN\VLC\vlc.exe"" """&amp;master!B696&amp;""""</f>
        <v>"C:\Program Files\VideoLAN\VLC\vlc.exe" ""</v>
      </c>
    </row>
    <row r="697" spans="1:2" x14ac:dyDescent="0.55000000000000004">
      <c r="A697">
        <f>master!U697</f>
        <v>0</v>
      </c>
      <c r="B697" t="str">
        <f>"""C:\Program Files\VideoLAN\VLC\vlc.exe"" """&amp;master!B697&amp;""""</f>
        <v>"C:\Program Files\VideoLAN\VLC\vlc.exe" ""</v>
      </c>
    </row>
    <row r="698" spans="1:2" x14ac:dyDescent="0.55000000000000004">
      <c r="A698">
        <f>master!U698</f>
        <v>0</v>
      </c>
      <c r="B698" t="str">
        <f>"""C:\Program Files\VideoLAN\VLC\vlc.exe"" """&amp;master!B698&amp;""""</f>
        <v>"C:\Program Files\VideoLAN\VLC\vlc.exe" ""</v>
      </c>
    </row>
    <row r="699" spans="1:2" x14ac:dyDescent="0.55000000000000004">
      <c r="A699">
        <f>master!U699</f>
        <v>0</v>
      </c>
      <c r="B699" t="str">
        <f>"""C:\Program Files\VideoLAN\VLC\vlc.exe"" """&amp;master!B699&amp;""""</f>
        <v>"C:\Program Files\VideoLAN\VLC\vlc.exe" ""</v>
      </c>
    </row>
    <row r="700" spans="1:2" x14ac:dyDescent="0.55000000000000004">
      <c r="A700">
        <f>master!U700</f>
        <v>0</v>
      </c>
      <c r="B700" t="str">
        <f>"""C:\Program Files\VideoLAN\VLC\vlc.exe"" """&amp;master!B700&amp;""""</f>
        <v>"C:\Program Files\VideoLAN\VLC\vlc.exe" ""</v>
      </c>
    </row>
    <row r="701" spans="1:2" x14ac:dyDescent="0.55000000000000004">
      <c r="A701">
        <f>master!U701</f>
        <v>0</v>
      </c>
      <c r="B701" t="str">
        <f>"""C:\Program Files\VideoLAN\VLC\vlc.exe"" """&amp;master!B701&amp;""""</f>
        <v>"C:\Program Files\VideoLAN\VLC\vlc.exe" ""</v>
      </c>
    </row>
    <row r="702" spans="1:2" x14ac:dyDescent="0.55000000000000004">
      <c r="A702">
        <f>master!U702</f>
        <v>0</v>
      </c>
      <c r="B702" t="str">
        <f>"""C:\Program Files\VideoLAN\VLC\vlc.exe"" """&amp;master!B702&amp;""""</f>
        <v>"C:\Program Files\VideoLAN\VLC\vlc.exe" ""</v>
      </c>
    </row>
    <row r="703" spans="1:2" x14ac:dyDescent="0.55000000000000004">
      <c r="A703">
        <f>master!U703</f>
        <v>0</v>
      </c>
      <c r="B703" t="str">
        <f>"""C:\Program Files\VideoLAN\VLC\vlc.exe"" """&amp;master!B703&amp;""""</f>
        <v>"C:\Program Files\VideoLAN\VLC\vlc.exe" ""</v>
      </c>
    </row>
    <row r="704" spans="1:2" x14ac:dyDescent="0.55000000000000004">
      <c r="A704">
        <f>master!U704</f>
        <v>0</v>
      </c>
      <c r="B704" t="str">
        <f>"""C:\Program Files\VideoLAN\VLC\vlc.exe"" """&amp;master!B704&amp;""""</f>
        <v>"C:\Program Files\VideoLAN\VLC\vlc.exe" ""</v>
      </c>
    </row>
    <row r="705" spans="1:2" x14ac:dyDescent="0.55000000000000004">
      <c r="A705">
        <f>master!U705</f>
        <v>0</v>
      </c>
      <c r="B705" t="str">
        <f>"""C:\Program Files\VideoLAN\VLC\vlc.exe"" """&amp;master!B705&amp;""""</f>
        <v>"C:\Program Files\VideoLAN\VLC\vlc.exe" ""</v>
      </c>
    </row>
    <row r="706" spans="1:2" x14ac:dyDescent="0.55000000000000004">
      <c r="A706">
        <f>master!U706</f>
        <v>0</v>
      </c>
      <c r="B706" t="str">
        <f>"""C:\Program Files\VideoLAN\VLC\vlc.exe"" """&amp;master!B706&amp;""""</f>
        <v>"C:\Program Files\VideoLAN\VLC\vlc.exe" ""</v>
      </c>
    </row>
    <row r="707" spans="1:2" x14ac:dyDescent="0.55000000000000004">
      <c r="A707">
        <f>master!U707</f>
        <v>0</v>
      </c>
      <c r="B707" t="str">
        <f>"""C:\Program Files\VideoLAN\VLC\vlc.exe"" """&amp;master!B707&amp;""""</f>
        <v>"C:\Program Files\VideoLAN\VLC\vlc.exe" ""</v>
      </c>
    </row>
    <row r="708" spans="1:2" x14ac:dyDescent="0.55000000000000004">
      <c r="A708">
        <f>master!U708</f>
        <v>0</v>
      </c>
      <c r="B708" t="str">
        <f>"""C:\Program Files\VideoLAN\VLC\vlc.exe"" """&amp;master!B708&amp;""""</f>
        <v>"C:\Program Files\VideoLAN\VLC\vlc.exe" ""</v>
      </c>
    </row>
    <row r="709" spans="1:2" x14ac:dyDescent="0.55000000000000004">
      <c r="A709">
        <f>master!U709</f>
        <v>0</v>
      </c>
      <c r="B709" t="str">
        <f>"""C:\Program Files\VideoLAN\VLC\vlc.exe"" """&amp;master!B709&amp;""""</f>
        <v>"C:\Program Files\VideoLAN\VLC\vlc.exe" ""</v>
      </c>
    </row>
    <row r="710" spans="1:2" x14ac:dyDescent="0.55000000000000004">
      <c r="A710">
        <f>master!U710</f>
        <v>0</v>
      </c>
      <c r="B710" t="str">
        <f>"""C:\Program Files\VideoLAN\VLC\vlc.exe"" """&amp;master!B710&amp;""""</f>
        <v>"C:\Program Files\VideoLAN\VLC\vlc.exe" ""</v>
      </c>
    </row>
    <row r="711" spans="1:2" x14ac:dyDescent="0.55000000000000004">
      <c r="A711">
        <f>master!U711</f>
        <v>0</v>
      </c>
      <c r="B711" t="str">
        <f>"""C:\Program Files\VideoLAN\VLC\vlc.exe"" """&amp;master!B711&amp;""""</f>
        <v>"C:\Program Files\VideoLAN\VLC\vlc.exe" ""</v>
      </c>
    </row>
    <row r="712" spans="1:2" x14ac:dyDescent="0.55000000000000004">
      <c r="A712">
        <f>master!U712</f>
        <v>0</v>
      </c>
      <c r="B712" t="str">
        <f>"""C:\Program Files\VideoLAN\VLC\vlc.exe"" """&amp;master!B712&amp;""""</f>
        <v>"C:\Program Files\VideoLAN\VLC\vlc.exe" ""</v>
      </c>
    </row>
    <row r="713" spans="1:2" x14ac:dyDescent="0.55000000000000004">
      <c r="A713">
        <f>master!U713</f>
        <v>0</v>
      </c>
      <c r="B713" t="str">
        <f>"""C:\Program Files\VideoLAN\VLC\vlc.exe"" """&amp;master!B713&amp;""""</f>
        <v>"C:\Program Files\VideoLAN\VLC\vlc.exe" ""</v>
      </c>
    </row>
    <row r="714" spans="1:2" x14ac:dyDescent="0.55000000000000004">
      <c r="A714">
        <f>master!U714</f>
        <v>0</v>
      </c>
      <c r="B714" t="str">
        <f>"""C:\Program Files\VideoLAN\VLC\vlc.exe"" """&amp;master!B714&amp;""""</f>
        <v>"C:\Program Files\VideoLAN\VLC\vlc.exe" ""</v>
      </c>
    </row>
    <row r="715" spans="1:2" x14ac:dyDescent="0.55000000000000004">
      <c r="A715">
        <f>master!U715</f>
        <v>0</v>
      </c>
      <c r="B715" t="str">
        <f>"""C:\Program Files\VideoLAN\VLC\vlc.exe"" """&amp;master!B715&amp;""""</f>
        <v>"C:\Program Files\VideoLAN\VLC\vlc.exe" ""</v>
      </c>
    </row>
    <row r="716" spans="1:2" x14ac:dyDescent="0.55000000000000004">
      <c r="A716">
        <f>master!U716</f>
        <v>0</v>
      </c>
      <c r="B716" t="str">
        <f>"""C:\Program Files\VideoLAN\VLC\vlc.exe"" """&amp;master!B716&amp;""""</f>
        <v>"C:\Program Files\VideoLAN\VLC\vlc.exe" ""</v>
      </c>
    </row>
    <row r="717" spans="1:2" x14ac:dyDescent="0.55000000000000004">
      <c r="A717">
        <f>master!U717</f>
        <v>0</v>
      </c>
      <c r="B717" t="str">
        <f>"""C:\Program Files\VideoLAN\VLC\vlc.exe"" """&amp;master!B717&amp;""""</f>
        <v>"C:\Program Files\VideoLAN\VLC\vlc.exe" ""</v>
      </c>
    </row>
    <row r="718" spans="1:2" x14ac:dyDescent="0.55000000000000004">
      <c r="A718">
        <f>master!U718</f>
        <v>0</v>
      </c>
      <c r="B718" t="str">
        <f>"""C:\Program Files\VideoLAN\VLC\vlc.exe"" """&amp;master!B718&amp;""""</f>
        <v>"C:\Program Files\VideoLAN\VLC\vlc.exe" ""</v>
      </c>
    </row>
    <row r="719" spans="1:2" x14ac:dyDescent="0.55000000000000004">
      <c r="A719">
        <f>master!U719</f>
        <v>0</v>
      </c>
      <c r="B719" t="str">
        <f>"""C:\Program Files\VideoLAN\VLC\vlc.exe"" """&amp;master!B719&amp;""""</f>
        <v>"C:\Program Files\VideoLAN\VLC\vlc.exe" ""</v>
      </c>
    </row>
    <row r="720" spans="1:2" x14ac:dyDescent="0.55000000000000004">
      <c r="A720">
        <f>master!U720</f>
        <v>0</v>
      </c>
      <c r="B720" t="str">
        <f>"""C:\Program Files\VideoLAN\VLC\vlc.exe"" """&amp;master!B720&amp;""""</f>
        <v>"C:\Program Files\VideoLAN\VLC\vlc.exe" ""</v>
      </c>
    </row>
    <row r="721" spans="1:2" x14ac:dyDescent="0.55000000000000004">
      <c r="A721">
        <f>master!U721</f>
        <v>0</v>
      </c>
      <c r="B721" t="str">
        <f>"""C:\Program Files\VideoLAN\VLC\vlc.exe"" """&amp;master!B721&amp;""""</f>
        <v>"C:\Program Files\VideoLAN\VLC\vlc.exe" ""</v>
      </c>
    </row>
    <row r="722" spans="1:2" x14ac:dyDescent="0.55000000000000004">
      <c r="A722">
        <f>master!U722</f>
        <v>0</v>
      </c>
      <c r="B722" t="str">
        <f>"""C:\Program Files\VideoLAN\VLC\vlc.exe"" """&amp;master!B722&amp;""""</f>
        <v>"C:\Program Files\VideoLAN\VLC\vlc.exe" ""</v>
      </c>
    </row>
    <row r="723" spans="1:2" x14ac:dyDescent="0.55000000000000004">
      <c r="A723">
        <f>master!U723</f>
        <v>0</v>
      </c>
      <c r="B723" t="str">
        <f>"""C:\Program Files\VideoLAN\VLC\vlc.exe"" """&amp;master!B723&amp;""""</f>
        <v>"C:\Program Files\VideoLAN\VLC\vlc.exe" ""</v>
      </c>
    </row>
    <row r="724" spans="1:2" x14ac:dyDescent="0.55000000000000004">
      <c r="A724">
        <f>master!U724</f>
        <v>0</v>
      </c>
      <c r="B724" t="str">
        <f>"""C:\Program Files\VideoLAN\VLC\vlc.exe"" """&amp;master!B724&amp;""""</f>
        <v>"C:\Program Files\VideoLAN\VLC\vlc.exe" ""</v>
      </c>
    </row>
    <row r="725" spans="1:2" x14ac:dyDescent="0.55000000000000004">
      <c r="A725">
        <f>master!U725</f>
        <v>0</v>
      </c>
      <c r="B725" t="str">
        <f>"""C:\Program Files\VideoLAN\VLC\vlc.exe"" """&amp;master!B725&amp;""""</f>
        <v>"C:\Program Files\VideoLAN\VLC\vlc.exe" ""</v>
      </c>
    </row>
    <row r="726" spans="1:2" x14ac:dyDescent="0.55000000000000004">
      <c r="A726">
        <f>master!U726</f>
        <v>0</v>
      </c>
      <c r="B726" t="str">
        <f>"""C:\Program Files\VideoLAN\VLC\vlc.exe"" """&amp;master!B726&amp;""""</f>
        <v>"C:\Program Files\VideoLAN\VLC\vlc.exe" ""</v>
      </c>
    </row>
    <row r="727" spans="1:2" x14ac:dyDescent="0.55000000000000004">
      <c r="A727">
        <f>master!U727</f>
        <v>0</v>
      </c>
      <c r="B727" t="str">
        <f>"""C:\Program Files\VideoLAN\VLC\vlc.exe"" """&amp;master!B727&amp;""""</f>
        <v>"C:\Program Files\VideoLAN\VLC\vlc.exe" ""</v>
      </c>
    </row>
    <row r="728" spans="1:2" x14ac:dyDescent="0.55000000000000004">
      <c r="A728">
        <f>master!U728</f>
        <v>0</v>
      </c>
      <c r="B728" t="str">
        <f>"""C:\Program Files\VideoLAN\VLC\vlc.exe"" """&amp;master!B728&amp;""""</f>
        <v>"C:\Program Files\VideoLAN\VLC\vlc.exe" ""</v>
      </c>
    </row>
    <row r="729" spans="1:2" x14ac:dyDescent="0.55000000000000004">
      <c r="A729">
        <f>master!U729</f>
        <v>0</v>
      </c>
      <c r="B729" t="str">
        <f>"""C:\Program Files\VideoLAN\VLC\vlc.exe"" """&amp;master!B729&amp;""""</f>
        <v>"C:\Program Files\VideoLAN\VLC\vlc.exe" ""</v>
      </c>
    </row>
    <row r="730" spans="1:2" x14ac:dyDescent="0.55000000000000004">
      <c r="A730">
        <f>master!U730</f>
        <v>0</v>
      </c>
      <c r="B730" t="str">
        <f>"""C:\Program Files\VideoLAN\VLC\vlc.exe"" """&amp;master!B730&amp;""""</f>
        <v>"C:\Program Files\VideoLAN\VLC\vlc.exe" ""</v>
      </c>
    </row>
    <row r="731" spans="1:2" x14ac:dyDescent="0.55000000000000004">
      <c r="A731">
        <f>master!U731</f>
        <v>0</v>
      </c>
      <c r="B731" t="str">
        <f>"""C:\Program Files\VideoLAN\VLC\vlc.exe"" """&amp;master!B731&amp;""""</f>
        <v>"C:\Program Files\VideoLAN\VLC\vlc.exe" ""</v>
      </c>
    </row>
    <row r="732" spans="1:2" x14ac:dyDescent="0.55000000000000004">
      <c r="A732">
        <f>master!U732</f>
        <v>0</v>
      </c>
      <c r="B732" t="str">
        <f>"""C:\Program Files\VideoLAN\VLC\vlc.exe"" """&amp;master!B732&amp;""""</f>
        <v>"C:\Program Files\VideoLAN\VLC\vlc.exe" ""</v>
      </c>
    </row>
    <row r="733" spans="1:2" x14ac:dyDescent="0.55000000000000004">
      <c r="A733">
        <f>master!U733</f>
        <v>0</v>
      </c>
      <c r="B733" t="str">
        <f>"""C:\Program Files\VideoLAN\VLC\vlc.exe"" """&amp;master!B733&amp;""""</f>
        <v>"C:\Program Files\VideoLAN\VLC\vlc.exe" ""</v>
      </c>
    </row>
    <row r="734" spans="1:2" x14ac:dyDescent="0.55000000000000004">
      <c r="A734">
        <f>master!U734</f>
        <v>0</v>
      </c>
      <c r="B734" t="str">
        <f>"""C:\Program Files\VideoLAN\VLC\vlc.exe"" """&amp;master!B734&amp;""""</f>
        <v>"C:\Program Files\VideoLAN\VLC\vlc.exe" ""</v>
      </c>
    </row>
    <row r="735" spans="1:2" x14ac:dyDescent="0.55000000000000004">
      <c r="A735">
        <f>master!U735</f>
        <v>0</v>
      </c>
      <c r="B735" t="str">
        <f>"""C:\Program Files\VideoLAN\VLC\vlc.exe"" """&amp;master!B735&amp;""""</f>
        <v>"C:\Program Files\VideoLAN\VLC\vlc.exe" ""</v>
      </c>
    </row>
    <row r="736" spans="1:2" x14ac:dyDescent="0.55000000000000004">
      <c r="A736">
        <f>master!U736</f>
        <v>0</v>
      </c>
      <c r="B736" t="str">
        <f>"""C:\Program Files\VideoLAN\VLC\vlc.exe"" """&amp;master!B736&amp;""""</f>
        <v>"C:\Program Files\VideoLAN\VLC\vlc.exe" ""</v>
      </c>
    </row>
    <row r="737" spans="1:2" x14ac:dyDescent="0.55000000000000004">
      <c r="A737">
        <f>master!U737</f>
        <v>0</v>
      </c>
      <c r="B737" t="str">
        <f>"""C:\Program Files\VideoLAN\VLC\vlc.exe"" """&amp;master!B737&amp;""""</f>
        <v>"C:\Program Files\VideoLAN\VLC\vlc.exe" ""</v>
      </c>
    </row>
    <row r="738" spans="1:2" x14ac:dyDescent="0.55000000000000004">
      <c r="A738">
        <f>master!U738</f>
        <v>0</v>
      </c>
      <c r="B738" t="str">
        <f>"""C:\Program Files\VideoLAN\VLC\vlc.exe"" """&amp;master!B738&amp;""""</f>
        <v>"C:\Program Files\VideoLAN\VLC\vlc.exe" ""</v>
      </c>
    </row>
    <row r="739" spans="1:2" x14ac:dyDescent="0.55000000000000004">
      <c r="A739">
        <f>master!U739</f>
        <v>0</v>
      </c>
      <c r="B739" t="str">
        <f>"""C:\Program Files\VideoLAN\VLC\vlc.exe"" """&amp;master!B739&amp;""""</f>
        <v>"C:\Program Files\VideoLAN\VLC\vlc.exe" ""</v>
      </c>
    </row>
    <row r="740" spans="1:2" x14ac:dyDescent="0.55000000000000004">
      <c r="A740">
        <f>master!U740</f>
        <v>0</v>
      </c>
      <c r="B740" t="str">
        <f>"""C:\Program Files\VideoLAN\VLC\vlc.exe"" """&amp;master!B740&amp;""""</f>
        <v>"C:\Program Files\VideoLAN\VLC\vlc.exe" ""</v>
      </c>
    </row>
    <row r="741" spans="1:2" x14ac:dyDescent="0.55000000000000004">
      <c r="A741">
        <f>master!U741</f>
        <v>0</v>
      </c>
      <c r="B741" t="str">
        <f>"""C:\Program Files\VideoLAN\VLC\vlc.exe"" """&amp;master!B741&amp;""""</f>
        <v>"C:\Program Files\VideoLAN\VLC\vlc.exe" ""</v>
      </c>
    </row>
    <row r="742" spans="1:2" x14ac:dyDescent="0.55000000000000004">
      <c r="A742">
        <f>master!U742</f>
        <v>0</v>
      </c>
      <c r="B742" t="str">
        <f>"""C:\Program Files\VideoLAN\VLC\vlc.exe"" """&amp;master!B742&amp;""""</f>
        <v>"C:\Program Files\VideoLAN\VLC\vlc.exe" ""</v>
      </c>
    </row>
    <row r="743" spans="1:2" x14ac:dyDescent="0.55000000000000004">
      <c r="A743">
        <f>master!U743</f>
        <v>0</v>
      </c>
      <c r="B743" t="str">
        <f>"""C:\Program Files\VideoLAN\VLC\vlc.exe"" """&amp;master!B743&amp;""""</f>
        <v>"C:\Program Files\VideoLAN\VLC\vlc.exe" ""</v>
      </c>
    </row>
    <row r="744" spans="1:2" x14ac:dyDescent="0.55000000000000004">
      <c r="A744">
        <f>master!U744</f>
        <v>0</v>
      </c>
      <c r="B744" t="str">
        <f>"""C:\Program Files\VideoLAN\VLC\vlc.exe"" """&amp;master!B744&amp;""""</f>
        <v>"C:\Program Files\VideoLAN\VLC\vlc.exe" ""</v>
      </c>
    </row>
    <row r="745" spans="1:2" x14ac:dyDescent="0.55000000000000004">
      <c r="A745">
        <f>master!U745</f>
        <v>0</v>
      </c>
      <c r="B745" t="str">
        <f>"""C:\Program Files\VideoLAN\VLC\vlc.exe"" """&amp;master!B745&amp;""""</f>
        <v>"C:\Program Files\VideoLAN\VLC\vlc.exe" ""</v>
      </c>
    </row>
    <row r="746" spans="1:2" x14ac:dyDescent="0.55000000000000004">
      <c r="A746">
        <f>master!U746</f>
        <v>0</v>
      </c>
      <c r="B746" t="str">
        <f>"""C:\Program Files\VideoLAN\VLC\vlc.exe"" """&amp;master!B746&amp;""""</f>
        <v>"C:\Program Files\VideoLAN\VLC\vlc.exe" ""</v>
      </c>
    </row>
    <row r="747" spans="1:2" x14ac:dyDescent="0.55000000000000004">
      <c r="A747">
        <f>master!U747</f>
        <v>0</v>
      </c>
      <c r="B747" t="str">
        <f>"""C:\Program Files\VideoLAN\VLC\vlc.exe"" """&amp;master!B747&amp;""""</f>
        <v>"C:\Program Files\VideoLAN\VLC\vlc.exe" ""</v>
      </c>
    </row>
    <row r="748" spans="1:2" x14ac:dyDescent="0.55000000000000004">
      <c r="A748">
        <f>master!U748</f>
        <v>0</v>
      </c>
      <c r="B748" t="str">
        <f>"""C:\Program Files\VideoLAN\VLC\vlc.exe"" """&amp;master!B748&amp;""""</f>
        <v>"C:\Program Files\VideoLAN\VLC\vlc.exe" ""</v>
      </c>
    </row>
    <row r="749" spans="1:2" x14ac:dyDescent="0.55000000000000004">
      <c r="A749">
        <f>master!U749</f>
        <v>0</v>
      </c>
      <c r="B749" t="str">
        <f>"""C:\Program Files\VideoLAN\VLC\vlc.exe"" """&amp;master!B749&amp;""""</f>
        <v>"C:\Program Files\VideoLAN\VLC\vlc.exe" ""</v>
      </c>
    </row>
    <row r="750" spans="1:2" x14ac:dyDescent="0.55000000000000004">
      <c r="A750">
        <f>master!U750</f>
        <v>0</v>
      </c>
      <c r="B750" t="str">
        <f>"""C:\Program Files\VideoLAN\VLC\vlc.exe"" """&amp;master!B750&amp;""""</f>
        <v>"C:\Program Files\VideoLAN\VLC\vlc.exe" ""</v>
      </c>
    </row>
    <row r="751" spans="1:2" x14ac:dyDescent="0.55000000000000004">
      <c r="A751">
        <f>master!U751</f>
        <v>0</v>
      </c>
      <c r="B751" t="str">
        <f>"""C:\Program Files\VideoLAN\VLC\vlc.exe"" """&amp;master!B751&amp;""""</f>
        <v>"C:\Program Files\VideoLAN\VLC\vlc.exe" ""</v>
      </c>
    </row>
    <row r="752" spans="1:2" x14ac:dyDescent="0.55000000000000004">
      <c r="A752">
        <f>master!U752</f>
        <v>0</v>
      </c>
      <c r="B752" t="str">
        <f>"""C:\Program Files\VideoLAN\VLC\vlc.exe"" """&amp;master!B752&amp;""""</f>
        <v>"C:\Program Files\VideoLAN\VLC\vlc.exe" ""</v>
      </c>
    </row>
    <row r="753" spans="1:2" x14ac:dyDescent="0.55000000000000004">
      <c r="A753">
        <f>master!U753</f>
        <v>0</v>
      </c>
      <c r="B753" t="str">
        <f>"""C:\Program Files\VideoLAN\VLC\vlc.exe"" """&amp;master!B753&amp;""""</f>
        <v>"C:\Program Files\VideoLAN\VLC\vlc.exe" ""</v>
      </c>
    </row>
    <row r="754" spans="1:2" x14ac:dyDescent="0.55000000000000004">
      <c r="A754">
        <f>master!U754</f>
        <v>0</v>
      </c>
      <c r="B754" t="str">
        <f>"""C:\Program Files\VideoLAN\VLC\vlc.exe"" """&amp;master!B754&amp;""""</f>
        <v>"C:\Program Files\VideoLAN\VLC\vlc.exe" ""</v>
      </c>
    </row>
    <row r="755" spans="1:2" x14ac:dyDescent="0.55000000000000004">
      <c r="A755">
        <f>master!U755</f>
        <v>0</v>
      </c>
      <c r="B755" t="str">
        <f>"""C:\Program Files\VideoLAN\VLC\vlc.exe"" """&amp;master!B755&amp;""""</f>
        <v>"C:\Program Files\VideoLAN\VLC\vlc.exe" ""</v>
      </c>
    </row>
    <row r="756" spans="1:2" x14ac:dyDescent="0.55000000000000004">
      <c r="A756">
        <f>master!U756</f>
        <v>0</v>
      </c>
      <c r="B756" t="str">
        <f>"""C:\Program Files\VideoLAN\VLC\vlc.exe"" """&amp;master!B756&amp;""""</f>
        <v>"C:\Program Files\VideoLAN\VLC\vlc.exe" ""</v>
      </c>
    </row>
    <row r="757" spans="1:2" x14ac:dyDescent="0.55000000000000004">
      <c r="A757">
        <f>master!U757</f>
        <v>0</v>
      </c>
      <c r="B757" t="str">
        <f>"""C:\Program Files\VideoLAN\VLC\vlc.exe"" """&amp;master!B757&amp;""""</f>
        <v>"C:\Program Files\VideoLAN\VLC\vlc.exe" ""</v>
      </c>
    </row>
    <row r="758" spans="1:2" x14ac:dyDescent="0.55000000000000004">
      <c r="A758">
        <f>master!U758</f>
        <v>0</v>
      </c>
      <c r="B758" t="str">
        <f>"""C:\Program Files\VideoLAN\VLC\vlc.exe"" """&amp;master!B758&amp;""""</f>
        <v>"C:\Program Files\VideoLAN\VLC\vlc.exe" ""</v>
      </c>
    </row>
    <row r="759" spans="1:2" x14ac:dyDescent="0.55000000000000004">
      <c r="A759">
        <f>master!U759</f>
        <v>0</v>
      </c>
      <c r="B759" t="str">
        <f>"""C:\Program Files\VideoLAN\VLC\vlc.exe"" """&amp;master!B759&amp;""""</f>
        <v>"C:\Program Files\VideoLAN\VLC\vlc.exe" ""</v>
      </c>
    </row>
    <row r="760" spans="1:2" x14ac:dyDescent="0.55000000000000004">
      <c r="A760">
        <f>master!U760</f>
        <v>0</v>
      </c>
      <c r="B760" t="str">
        <f>"""C:\Program Files\VideoLAN\VLC\vlc.exe"" """&amp;master!B760&amp;""""</f>
        <v>"C:\Program Files\VideoLAN\VLC\vlc.exe" ""</v>
      </c>
    </row>
    <row r="761" spans="1:2" x14ac:dyDescent="0.55000000000000004">
      <c r="A761">
        <f>master!U761</f>
        <v>0</v>
      </c>
      <c r="B761" t="str">
        <f>"""C:\Program Files\VideoLAN\VLC\vlc.exe"" """&amp;master!B761&amp;""""</f>
        <v>"C:\Program Files\VideoLAN\VLC\vlc.exe" ""</v>
      </c>
    </row>
    <row r="762" spans="1:2" x14ac:dyDescent="0.55000000000000004">
      <c r="A762">
        <f>master!U762</f>
        <v>0</v>
      </c>
      <c r="B762" t="str">
        <f>"""C:\Program Files\VideoLAN\VLC\vlc.exe"" """&amp;master!B762&amp;""""</f>
        <v>"C:\Program Files\VideoLAN\VLC\vlc.exe" ""</v>
      </c>
    </row>
    <row r="763" spans="1:2" x14ac:dyDescent="0.55000000000000004">
      <c r="A763">
        <f>master!U763</f>
        <v>0</v>
      </c>
      <c r="B763" t="str">
        <f>"""C:\Program Files\VideoLAN\VLC\vlc.exe"" """&amp;master!B763&amp;""""</f>
        <v>"C:\Program Files\VideoLAN\VLC\vlc.exe" ""</v>
      </c>
    </row>
    <row r="764" spans="1:2" x14ac:dyDescent="0.55000000000000004">
      <c r="A764">
        <f>master!U764</f>
        <v>0</v>
      </c>
      <c r="B764" t="str">
        <f>"""C:\Program Files\VideoLAN\VLC\vlc.exe"" """&amp;master!B764&amp;""""</f>
        <v>"C:\Program Files\VideoLAN\VLC\vlc.exe" ""</v>
      </c>
    </row>
    <row r="765" spans="1:2" x14ac:dyDescent="0.55000000000000004">
      <c r="A765">
        <f>master!U765</f>
        <v>0</v>
      </c>
      <c r="B765" t="str">
        <f>"""C:\Program Files\VideoLAN\VLC\vlc.exe"" """&amp;master!B765&amp;""""</f>
        <v>"C:\Program Files\VideoLAN\VLC\vlc.exe" ""</v>
      </c>
    </row>
    <row r="766" spans="1:2" x14ac:dyDescent="0.55000000000000004">
      <c r="A766">
        <f>master!U766</f>
        <v>0</v>
      </c>
      <c r="B766" t="str">
        <f>"""C:\Program Files\VideoLAN\VLC\vlc.exe"" """&amp;master!B766&amp;""""</f>
        <v>"C:\Program Files\VideoLAN\VLC\vlc.exe" ""</v>
      </c>
    </row>
    <row r="767" spans="1:2" x14ac:dyDescent="0.55000000000000004">
      <c r="A767">
        <f>master!U767</f>
        <v>0</v>
      </c>
      <c r="B767" t="str">
        <f>"""C:\Program Files\VideoLAN\VLC\vlc.exe"" """&amp;master!B767&amp;""""</f>
        <v>"C:\Program Files\VideoLAN\VLC\vlc.exe" ""</v>
      </c>
    </row>
    <row r="768" spans="1:2" x14ac:dyDescent="0.55000000000000004">
      <c r="A768">
        <f>master!U768</f>
        <v>0</v>
      </c>
      <c r="B768" t="str">
        <f>"""C:\Program Files\VideoLAN\VLC\vlc.exe"" """&amp;master!B768&amp;""""</f>
        <v>"C:\Program Files\VideoLAN\VLC\vlc.exe" ""</v>
      </c>
    </row>
    <row r="769" spans="1:2" x14ac:dyDescent="0.55000000000000004">
      <c r="A769">
        <f>master!U769</f>
        <v>0</v>
      </c>
      <c r="B769" t="str">
        <f>"""C:\Program Files\VideoLAN\VLC\vlc.exe"" """&amp;master!B769&amp;""""</f>
        <v>"C:\Program Files\VideoLAN\VLC\vlc.exe" ""</v>
      </c>
    </row>
    <row r="770" spans="1:2" x14ac:dyDescent="0.55000000000000004">
      <c r="A770">
        <f>master!U770</f>
        <v>0</v>
      </c>
      <c r="B770" t="str">
        <f>"""C:\Program Files\VideoLAN\VLC\vlc.exe"" """&amp;master!B770&amp;""""</f>
        <v>"C:\Program Files\VideoLAN\VLC\vlc.exe" ""</v>
      </c>
    </row>
    <row r="771" spans="1:2" x14ac:dyDescent="0.55000000000000004">
      <c r="A771">
        <f>master!U771</f>
        <v>0</v>
      </c>
      <c r="B771" t="str">
        <f>"""C:\Program Files\VideoLAN\VLC\vlc.exe"" """&amp;master!B771&amp;""""</f>
        <v>"C:\Program Files\VideoLAN\VLC\vlc.exe" ""</v>
      </c>
    </row>
    <row r="772" spans="1:2" x14ac:dyDescent="0.55000000000000004">
      <c r="A772">
        <f>master!U772</f>
        <v>0</v>
      </c>
      <c r="B772" t="str">
        <f>"""C:\Program Files\VideoLAN\VLC\vlc.exe"" """&amp;master!B772&amp;""""</f>
        <v>"C:\Program Files\VideoLAN\VLC\vlc.exe" ""</v>
      </c>
    </row>
    <row r="773" spans="1:2" x14ac:dyDescent="0.55000000000000004">
      <c r="A773">
        <f>master!U773</f>
        <v>0</v>
      </c>
      <c r="B773" t="str">
        <f>"""C:\Program Files\VideoLAN\VLC\vlc.exe"" """&amp;master!B773&amp;""""</f>
        <v>"C:\Program Files\VideoLAN\VLC\vlc.exe" ""</v>
      </c>
    </row>
    <row r="774" spans="1:2" x14ac:dyDescent="0.55000000000000004">
      <c r="A774">
        <f>master!U774</f>
        <v>0</v>
      </c>
      <c r="B774" t="str">
        <f>"""C:\Program Files\VideoLAN\VLC\vlc.exe"" """&amp;master!B774&amp;""""</f>
        <v>"C:\Program Files\VideoLAN\VLC\vlc.exe" ""</v>
      </c>
    </row>
    <row r="775" spans="1:2" x14ac:dyDescent="0.55000000000000004">
      <c r="A775">
        <f>master!U775</f>
        <v>0</v>
      </c>
      <c r="B775" t="str">
        <f>"""C:\Program Files\VideoLAN\VLC\vlc.exe"" """&amp;master!B775&amp;""""</f>
        <v>"C:\Program Files\VideoLAN\VLC\vlc.exe" ""</v>
      </c>
    </row>
    <row r="776" spans="1:2" x14ac:dyDescent="0.55000000000000004">
      <c r="A776">
        <f>master!U776</f>
        <v>0</v>
      </c>
      <c r="B776" t="str">
        <f>"""C:\Program Files\VideoLAN\VLC\vlc.exe"" """&amp;master!B776&amp;""""</f>
        <v>"C:\Program Files\VideoLAN\VLC\vlc.exe" ""</v>
      </c>
    </row>
    <row r="777" spans="1:2" x14ac:dyDescent="0.55000000000000004">
      <c r="A777">
        <f>master!U777</f>
        <v>0</v>
      </c>
      <c r="B777" t="str">
        <f>"""C:\Program Files\VideoLAN\VLC\vlc.exe"" """&amp;master!B777&amp;""""</f>
        <v>"C:\Program Files\VideoLAN\VLC\vlc.exe" ""</v>
      </c>
    </row>
    <row r="778" spans="1:2" x14ac:dyDescent="0.55000000000000004">
      <c r="A778">
        <f>master!U778</f>
        <v>0</v>
      </c>
      <c r="B778" t="str">
        <f>"""C:\Program Files\VideoLAN\VLC\vlc.exe"" """&amp;master!B778&amp;""""</f>
        <v>"C:\Program Files\VideoLAN\VLC\vlc.exe" ""</v>
      </c>
    </row>
    <row r="779" spans="1:2" x14ac:dyDescent="0.55000000000000004">
      <c r="A779">
        <f>master!U779</f>
        <v>0</v>
      </c>
      <c r="B779" t="str">
        <f>"""C:\Program Files\VideoLAN\VLC\vlc.exe"" """&amp;master!B779&amp;""""</f>
        <v>"C:\Program Files\VideoLAN\VLC\vlc.exe" ""</v>
      </c>
    </row>
    <row r="780" spans="1:2" x14ac:dyDescent="0.55000000000000004">
      <c r="A780">
        <f>master!U780</f>
        <v>0</v>
      </c>
      <c r="B780" t="str">
        <f>"""C:\Program Files\VideoLAN\VLC\vlc.exe"" """&amp;master!B780&amp;""""</f>
        <v>"C:\Program Files\VideoLAN\VLC\vlc.exe" ""</v>
      </c>
    </row>
    <row r="781" spans="1:2" x14ac:dyDescent="0.55000000000000004">
      <c r="A781">
        <f>master!U781</f>
        <v>0</v>
      </c>
      <c r="B781" t="str">
        <f>"""C:\Program Files\VideoLAN\VLC\vlc.exe"" """&amp;master!B781&amp;""""</f>
        <v>"C:\Program Files\VideoLAN\VLC\vlc.exe" ""</v>
      </c>
    </row>
    <row r="782" spans="1:2" x14ac:dyDescent="0.55000000000000004">
      <c r="A782">
        <f>master!U782</f>
        <v>0</v>
      </c>
      <c r="B782" t="str">
        <f>"""C:\Program Files\VideoLAN\VLC\vlc.exe"" """&amp;master!B782&amp;""""</f>
        <v>"C:\Program Files\VideoLAN\VLC\vlc.exe" ""</v>
      </c>
    </row>
    <row r="783" spans="1:2" x14ac:dyDescent="0.55000000000000004">
      <c r="A783">
        <f>master!U783</f>
        <v>0</v>
      </c>
      <c r="B783" t="str">
        <f>"""C:\Program Files\VideoLAN\VLC\vlc.exe"" """&amp;master!B783&amp;""""</f>
        <v>"C:\Program Files\VideoLAN\VLC\vlc.exe" ""</v>
      </c>
    </row>
    <row r="784" spans="1:2" x14ac:dyDescent="0.55000000000000004">
      <c r="A784">
        <f>master!U784</f>
        <v>0</v>
      </c>
      <c r="B784" t="str">
        <f>"""C:\Program Files\VideoLAN\VLC\vlc.exe"" """&amp;master!B784&amp;""""</f>
        <v>"C:\Program Files\VideoLAN\VLC\vlc.exe" ""</v>
      </c>
    </row>
    <row r="785" spans="1:2" x14ac:dyDescent="0.55000000000000004">
      <c r="A785">
        <f>master!U785</f>
        <v>0</v>
      </c>
      <c r="B785" t="str">
        <f>"""C:\Program Files\VideoLAN\VLC\vlc.exe"" """&amp;master!B785&amp;""""</f>
        <v>"C:\Program Files\VideoLAN\VLC\vlc.exe" ""</v>
      </c>
    </row>
    <row r="786" spans="1:2" x14ac:dyDescent="0.55000000000000004">
      <c r="A786">
        <f>master!U786</f>
        <v>0</v>
      </c>
      <c r="B786" t="str">
        <f>"""C:\Program Files\VideoLAN\VLC\vlc.exe"" """&amp;master!B786&amp;""""</f>
        <v>"C:\Program Files\VideoLAN\VLC\vlc.exe" ""</v>
      </c>
    </row>
    <row r="787" spans="1:2" x14ac:dyDescent="0.55000000000000004">
      <c r="A787">
        <f>master!U787</f>
        <v>0</v>
      </c>
      <c r="B787" t="str">
        <f>"""C:\Program Files\VideoLAN\VLC\vlc.exe"" """&amp;master!B787&amp;""""</f>
        <v>"C:\Program Files\VideoLAN\VLC\vlc.exe" ""</v>
      </c>
    </row>
    <row r="788" spans="1:2" x14ac:dyDescent="0.55000000000000004">
      <c r="A788">
        <f>master!U788</f>
        <v>0</v>
      </c>
      <c r="B788" t="str">
        <f>"""C:\Program Files\VideoLAN\VLC\vlc.exe"" """&amp;master!B788&amp;""""</f>
        <v>"C:\Program Files\VideoLAN\VLC\vlc.exe" ""</v>
      </c>
    </row>
    <row r="789" spans="1:2" x14ac:dyDescent="0.55000000000000004">
      <c r="A789">
        <f>master!U789</f>
        <v>0</v>
      </c>
      <c r="B789" t="str">
        <f>"""C:\Program Files\VideoLAN\VLC\vlc.exe"" """&amp;master!B789&amp;""""</f>
        <v>"C:\Program Files\VideoLAN\VLC\vlc.exe" ""</v>
      </c>
    </row>
    <row r="790" spans="1:2" x14ac:dyDescent="0.55000000000000004">
      <c r="A790">
        <f>master!U790</f>
        <v>0</v>
      </c>
      <c r="B790" t="str">
        <f>"""C:\Program Files\VideoLAN\VLC\vlc.exe"" """&amp;master!B790&amp;""""</f>
        <v>"C:\Program Files\VideoLAN\VLC\vlc.exe" ""</v>
      </c>
    </row>
    <row r="791" spans="1:2" x14ac:dyDescent="0.55000000000000004">
      <c r="A791">
        <f>master!U791</f>
        <v>0</v>
      </c>
      <c r="B791" t="str">
        <f>"""C:\Program Files\VideoLAN\VLC\vlc.exe"" """&amp;master!B791&amp;""""</f>
        <v>"C:\Program Files\VideoLAN\VLC\vlc.exe" ""</v>
      </c>
    </row>
    <row r="792" spans="1:2" x14ac:dyDescent="0.55000000000000004">
      <c r="A792">
        <f>master!U792</f>
        <v>0</v>
      </c>
      <c r="B792" t="str">
        <f>"""C:\Program Files\VideoLAN\VLC\vlc.exe"" """&amp;master!B792&amp;""""</f>
        <v>"C:\Program Files\VideoLAN\VLC\vlc.exe" ""</v>
      </c>
    </row>
    <row r="793" spans="1:2" x14ac:dyDescent="0.55000000000000004">
      <c r="A793">
        <f>master!U793</f>
        <v>0</v>
      </c>
      <c r="B793" t="str">
        <f>"""C:\Program Files\VideoLAN\VLC\vlc.exe"" """&amp;master!B793&amp;""""</f>
        <v>"C:\Program Files\VideoLAN\VLC\vlc.exe" ""</v>
      </c>
    </row>
    <row r="794" spans="1:2" x14ac:dyDescent="0.55000000000000004">
      <c r="A794">
        <f>master!U794</f>
        <v>0</v>
      </c>
      <c r="B794" t="str">
        <f>"""C:\Program Files\VideoLAN\VLC\vlc.exe"" """&amp;master!B794&amp;""""</f>
        <v>"C:\Program Files\VideoLAN\VLC\vlc.exe" ""</v>
      </c>
    </row>
    <row r="795" spans="1:2" x14ac:dyDescent="0.55000000000000004">
      <c r="A795">
        <f>master!U795</f>
        <v>0</v>
      </c>
      <c r="B795" t="str">
        <f>"""C:\Program Files\VideoLAN\VLC\vlc.exe"" """&amp;master!B795&amp;""""</f>
        <v>"C:\Program Files\VideoLAN\VLC\vlc.exe" ""</v>
      </c>
    </row>
    <row r="796" spans="1:2" x14ac:dyDescent="0.55000000000000004">
      <c r="A796">
        <f>master!U796</f>
        <v>0</v>
      </c>
      <c r="B796" t="str">
        <f>"""C:\Program Files\VideoLAN\VLC\vlc.exe"" """&amp;master!B796&amp;""""</f>
        <v>"C:\Program Files\VideoLAN\VLC\vlc.exe" ""</v>
      </c>
    </row>
    <row r="797" spans="1:2" x14ac:dyDescent="0.55000000000000004">
      <c r="A797">
        <f>master!U797</f>
        <v>0</v>
      </c>
      <c r="B797" t="str">
        <f>"""C:\Program Files\VideoLAN\VLC\vlc.exe"" """&amp;master!B797&amp;""""</f>
        <v>"C:\Program Files\VideoLAN\VLC\vlc.exe" ""</v>
      </c>
    </row>
    <row r="798" spans="1:2" x14ac:dyDescent="0.55000000000000004">
      <c r="A798">
        <f>master!U798</f>
        <v>0</v>
      </c>
      <c r="B798" t="str">
        <f>"""C:\Program Files\VideoLAN\VLC\vlc.exe"" """&amp;master!B798&amp;""""</f>
        <v>"C:\Program Files\VideoLAN\VLC\vlc.exe" ""</v>
      </c>
    </row>
    <row r="799" spans="1:2" x14ac:dyDescent="0.55000000000000004">
      <c r="A799">
        <f>master!U799</f>
        <v>0</v>
      </c>
      <c r="B799" t="str">
        <f>"""C:\Program Files\VideoLAN\VLC\vlc.exe"" """&amp;master!B799&amp;""""</f>
        <v>"C:\Program Files\VideoLAN\VLC\vlc.exe" ""</v>
      </c>
    </row>
    <row r="800" spans="1:2" x14ac:dyDescent="0.55000000000000004">
      <c r="A800">
        <f>master!U800</f>
        <v>0</v>
      </c>
      <c r="B800" t="str">
        <f>"""C:\Program Files\VideoLAN\VLC\vlc.exe"" """&amp;master!B800&amp;""""</f>
        <v>"C:\Program Files\VideoLAN\VLC\vlc.exe" ""</v>
      </c>
    </row>
    <row r="801" spans="1:2" x14ac:dyDescent="0.55000000000000004">
      <c r="A801">
        <f>master!U801</f>
        <v>0</v>
      </c>
      <c r="B801" t="str">
        <f>"""C:\Program Files\VideoLAN\VLC\vlc.exe"" """&amp;master!B801&amp;""""</f>
        <v>"C:\Program Files\VideoLAN\VLC\vlc.exe" ""</v>
      </c>
    </row>
    <row r="802" spans="1:2" x14ac:dyDescent="0.55000000000000004">
      <c r="A802">
        <f>master!U802</f>
        <v>0</v>
      </c>
      <c r="B802" t="str">
        <f>"""C:\Program Files\VideoLAN\VLC\vlc.exe"" """&amp;master!B802&amp;""""</f>
        <v>"C:\Program Files\VideoLAN\VLC\vlc.exe" ""</v>
      </c>
    </row>
    <row r="803" spans="1:2" x14ac:dyDescent="0.55000000000000004">
      <c r="A803">
        <f>master!U803</f>
        <v>0</v>
      </c>
      <c r="B803" t="str">
        <f>"""C:\Program Files\VideoLAN\VLC\vlc.exe"" """&amp;master!B803&amp;""""</f>
        <v>"C:\Program Files\VideoLAN\VLC\vlc.exe" ""</v>
      </c>
    </row>
    <row r="804" spans="1:2" x14ac:dyDescent="0.55000000000000004">
      <c r="A804">
        <f>master!U804</f>
        <v>0</v>
      </c>
      <c r="B804" t="str">
        <f>"""C:\Program Files\VideoLAN\VLC\vlc.exe"" """&amp;master!B804&amp;""""</f>
        <v>"C:\Program Files\VideoLAN\VLC\vlc.exe" ""</v>
      </c>
    </row>
    <row r="805" spans="1:2" x14ac:dyDescent="0.55000000000000004">
      <c r="A805">
        <f>master!U805</f>
        <v>0</v>
      </c>
      <c r="B805" t="str">
        <f>"""C:\Program Files\VideoLAN\VLC\vlc.exe"" """&amp;master!B805&amp;""""</f>
        <v>"C:\Program Files\VideoLAN\VLC\vlc.exe" ""</v>
      </c>
    </row>
    <row r="806" spans="1:2" x14ac:dyDescent="0.55000000000000004">
      <c r="A806">
        <f>master!U806</f>
        <v>0</v>
      </c>
      <c r="B806" t="str">
        <f>"""C:\Program Files\VideoLAN\VLC\vlc.exe"" """&amp;master!B806&amp;""""</f>
        <v>"C:\Program Files\VideoLAN\VLC\vlc.exe" ""</v>
      </c>
    </row>
    <row r="807" spans="1:2" x14ac:dyDescent="0.55000000000000004">
      <c r="A807">
        <f>master!U807</f>
        <v>0</v>
      </c>
      <c r="B807" t="str">
        <f>"""C:\Program Files\VideoLAN\VLC\vlc.exe"" """&amp;master!B807&amp;""""</f>
        <v>"C:\Program Files\VideoLAN\VLC\vlc.exe" ""</v>
      </c>
    </row>
    <row r="808" spans="1:2" x14ac:dyDescent="0.55000000000000004">
      <c r="A808">
        <f>master!U808</f>
        <v>0</v>
      </c>
      <c r="B808" t="str">
        <f>"""C:\Program Files\VideoLAN\VLC\vlc.exe"" """&amp;master!B808&amp;""""</f>
        <v>"C:\Program Files\VideoLAN\VLC\vlc.exe" ""</v>
      </c>
    </row>
    <row r="809" spans="1:2" x14ac:dyDescent="0.55000000000000004">
      <c r="A809">
        <f>master!U809</f>
        <v>0</v>
      </c>
      <c r="B809" t="str">
        <f>"""C:\Program Files\VideoLAN\VLC\vlc.exe"" """&amp;master!B809&amp;""""</f>
        <v>"C:\Program Files\VideoLAN\VLC\vlc.exe" ""</v>
      </c>
    </row>
    <row r="810" spans="1:2" x14ac:dyDescent="0.55000000000000004">
      <c r="A810">
        <f>master!U810</f>
        <v>0</v>
      </c>
      <c r="B810" t="str">
        <f>"""C:\Program Files\VideoLAN\VLC\vlc.exe"" """&amp;master!B810&amp;""""</f>
        <v>"C:\Program Files\VideoLAN\VLC\vlc.exe" ""</v>
      </c>
    </row>
    <row r="811" spans="1:2" x14ac:dyDescent="0.55000000000000004">
      <c r="A811">
        <f>master!U811</f>
        <v>0</v>
      </c>
      <c r="B811" t="str">
        <f>"""C:\Program Files\VideoLAN\VLC\vlc.exe"" """&amp;master!B811&amp;""""</f>
        <v>"C:\Program Files\VideoLAN\VLC\vlc.exe" ""</v>
      </c>
    </row>
    <row r="812" spans="1:2" x14ac:dyDescent="0.55000000000000004">
      <c r="A812">
        <f>master!U812</f>
        <v>0</v>
      </c>
      <c r="B812" t="str">
        <f>"""C:\Program Files\VideoLAN\VLC\vlc.exe"" """&amp;master!B812&amp;""""</f>
        <v>"C:\Program Files\VideoLAN\VLC\vlc.exe" ""</v>
      </c>
    </row>
    <row r="813" spans="1:2" x14ac:dyDescent="0.55000000000000004">
      <c r="A813">
        <f>master!U813</f>
        <v>0</v>
      </c>
      <c r="B813" t="str">
        <f>"""C:\Program Files\VideoLAN\VLC\vlc.exe"" """&amp;master!B813&amp;""""</f>
        <v>"C:\Program Files\VideoLAN\VLC\vlc.exe" ""</v>
      </c>
    </row>
    <row r="814" spans="1:2" x14ac:dyDescent="0.55000000000000004">
      <c r="A814">
        <f>master!U814</f>
        <v>0</v>
      </c>
      <c r="B814" t="str">
        <f>"""C:\Program Files\VideoLAN\VLC\vlc.exe"" """&amp;master!B814&amp;""""</f>
        <v>"C:\Program Files\VideoLAN\VLC\vlc.exe" ""</v>
      </c>
    </row>
    <row r="815" spans="1:2" x14ac:dyDescent="0.55000000000000004">
      <c r="A815">
        <f>master!U815</f>
        <v>0</v>
      </c>
      <c r="B815" t="str">
        <f>"""C:\Program Files\VideoLAN\VLC\vlc.exe"" """&amp;master!B815&amp;""""</f>
        <v>"C:\Program Files\VideoLAN\VLC\vlc.exe" ""</v>
      </c>
    </row>
    <row r="816" spans="1:2" x14ac:dyDescent="0.55000000000000004">
      <c r="A816">
        <f>master!U816</f>
        <v>0</v>
      </c>
      <c r="B816" t="str">
        <f>"""C:\Program Files\VideoLAN\VLC\vlc.exe"" """&amp;master!B816&amp;""""</f>
        <v>"C:\Program Files\VideoLAN\VLC\vlc.exe" ""</v>
      </c>
    </row>
    <row r="817" spans="1:2" x14ac:dyDescent="0.55000000000000004">
      <c r="A817">
        <f>master!U817</f>
        <v>0</v>
      </c>
      <c r="B817" t="str">
        <f>"""C:\Program Files\VideoLAN\VLC\vlc.exe"" """&amp;master!B817&amp;""""</f>
        <v>"C:\Program Files\VideoLAN\VLC\vlc.exe" ""</v>
      </c>
    </row>
    <row r="818" spans="1:2" x14ac:dyDescent="0.55000000000000004">
      <c r="A818">
        <f>master!U818</f>
        <v>0</v>
      </c>
      <c r="B818" t="str">
        <f>"""C:\Program Files\VideoLAN\VLC\vlc.exe"" """&amp;master!B818&amp;""""</f>
        <v>"C:\Program Files\VideoLAN\VLC\vlc.exe" ""</v>
      </c>
    </row>
    <row r="819" spans="1:2" x14ac:dyDescent="0.55000000000000004">
      <c r="A819">
        <f>master!U819</f>
        <v>0</v>
      </c>
      <c r="B819" t="str">
        <f>"""C:\Program Files\VideoLAN\VLC\vlc.exe"" """&amp;master!B819&amp;""""</f>
        <v>"C:\Program Files\VideoLAN\VLC\vlc.exe" ""</v>
      </c>
    </row>
    <row r="820" spans="1:2" x14ac:dyDescent="0.55000000000000004">
      <c r="A820">
        <f>master!U820</f>
        <v>0</v>
      </c>
      <c r="B820" t="str">
        <f>"""C:\Program Files\VideoLAN\VLC\vlc.exe"" """&amp;master!B820&amp;""""</f>
        <v>"C:\Program Files\VideoLAN\VLC\vlc.exe" ""</v>
      </c>
    </row>
    <row r="821" spans="1:2" x14ac:dyDescent="0.55000000000000004">
      <c r="A821">
        <f>master!U821</f>
        <v>0</v>
      </c>
      <c r="B821" t="str">
        <f>"""C:\Program Files\VideoLAN\VLC\vlc.exe"" """&amp;master!B821&amp;""""</f>
        <v>"C:\Program Files\VideoLAN\VLC\vlc.exe" ""</v>
      </c>
    </row>
    <row r="822" spans="1:2" x14ac:dyDescent="0.55000000000000004">
      <c r="A822">
        <f>master!U822</f>
        <v>0</v>
      </c>
      <c r="B822" t="str">
        <f>"""C:\Program Files\VideoLAN\VLC\vlc.exe"" """&amp;master!B822&amp;""""</f>
        <v>"C:\Program Files\VideoLAN\VLC\vlc.exe" ""</v>
      </c>
    </row>
    <row r="823" spans="1:2" x14ac:dyDescent="0.55000000000000004">
      <c r="A823">
        <f>master!U823</f>
        <v>0</v>
      </c>
      <c r="B823" t="str">
        <f>"""C:\Program Files\VideoLAN\VLC\vlc.exe"" """&amp;master!B823&amp;""""</f>
        <v>"C:\Program Files\VideoLAN\VLC\vlc.exe" ""</v>
      </c>
    </row>
    <row r="824" spans="1:2" x14ac:dyDescent="0.55000000000000004">
      <c r="A824">
        <f>master!U824</f>
        <v>0</v>
      </c>
      <c r="B824" t="str">
        <f>"""C:\Program Files\VideoLAN\VLC\vlc.exe"" """&amp;master!B824&amp;""""</f>
        <v>"C:\Program Files\VideoLAN\VLC\vlc.exe" ""</v>
      </c>
    </row>
    <row r="825" spans="1:2" x14ac:dyDescent="0.55000000000000004">
      <c r="A825">
        <f>master!U825</f>
        <v>0</v>
      </c>
      <c r="B825" t="str">
        <f>"""C:\Program Files\VideoLAN\VLC\vlc.exe"" """&amp;master!B825&amp;""""</f>
        <v>"C:\Program Files\VideoLAN\VLC\vlc.exe" ""</v>
      </c>
    </row>
    <row r="826" spans="1:2" x14ac:dyDescent="0.55000000000000004">
      <c r="A826">
        <f>master!U826</f>
        <v>0</v>
      </c>
      <c r="B826" t="str">
        <f>"""C:\Program Files\VideoLAN\VLC\vlc.exe"" """&amp;master!B826&amp;""""</f>
        <v>"C:\Program Files\VideoLAN\VLC\vlc.exe" ""</v>
      </c>
    </row>
    <row r="827" spans="1:2" x14ac:dyDescent="0.55000000000000004">
      <c r="A827">
        <f>master!U827</f>
        <v>0</v>
      </c>
      <c r="B827" t="str">
        <f>"""C:\Program Files\VideoLAN\VLC\vlc.exe"" """&amp;master!B827&amp;""""</f>
        <v>"C:\Program Files\VideoLAN\VLC\vlc.exe" ""</v>
      </c>
    </row>
    <row r="828" spans="1:2" x14ac:dyDescent="0.55000000000000004">
      <c r="A828">
        <f>master!U828</f>
        <v>0</v>
      </c>
      <c r="B828" t="str">
        <f>"""C:\Program Files\VideoLAN\VLC\vlc.exe"" """&amp;master!B828&amp;""""</f>
        <v>"C:\Program Files\VideoLAN\VLC\vlc.exe" ""</v>
      </c>
    </row>
    <row r="829" spans="1:2" x14ac:dyDescent="0.55000000000000004">
      <c r="A829">
        <f>master!U829</f>
        <v>0</v>
      </c>
      <c r="B829" t="str">
        <f>"""C:\Program Files\VideoLAN\VLC\vlc.exe"" """&amp;master!B829&amp;""""</f>
        <v>"C:\Program Files\VideoLAN\VLC\vlc.exe" ""</v>
      </c>
    </row>
    <row r="830" spans="1:2" x14ac:dyDescent="0.55000000000000004">
      <c r="A830">
        <f>master!U830</f>
        <v>0</v>
      </c>
      <c r="B830" t="str">
        <f>"""C:\Program Files\VideoLAN\VLC\vlc.exe"" """&amp;master!B830&amp;""""</f>
        <v>"C:\Program Files\VideoLAN\VLC\vlc.exe" ""</v>
      </c>
    </row>
    <row r="831" spans="1:2" x14ac:dyDescent="0.55000000000000004">
      <c r="A831">
        <f>master!U831</f>
        <v>0</v>
      </c>
      <c r="B831" t="str">
        <f>"""C:\Program Files\VideoLAN\VLC\vlc.exe"" """&amp;master!B831&amp;""""</f>
        <v>"C:\Program Files\VideoLAN\VLC\vlc.exe" ""</v>
      </c>
    </row>
    <row r="832" spans="1:2" x14ac:dyDescent="0.55000000000000004">
      <c r="A832">
        <f>master!U832</f>
        <v>0</v>
      </c>
      <c r="B832" t="str">
        <f>"""C:\Program Files\VideoLAN\VLC\vlc.exe"" """&amp;master!B832&amp;""""</f>
        <v>"C:\Program Files\VideoLAN\VLC\vlc.exe" ""</v>
      </c>
    </row>
    <row r="833" spans="1:2" x14ac:dyDescent="0.55000000000000004">
      <c r="A833">
        <f>master!U833</f>
        <v>0</v>
      </c>
      <c r="B833" t="str">
        <f>"""C:\Program Files\VideoLAN\VLC\vlc.exe"" """&amp;master!B833&amp;""""</f>
        <v>"C:\Program Files\VideoLAN\VLC\vlc.exe" ""</v>
      </c>
    </row>
    <row r="834" spans="1:2" x14ac:dyDescent="0.55000000000000004">
      <c r="A834">
        <f>master!U834</f>
        <v>0</v>
      </c>
      <c r="B834" t="str">
        <f>"""C:\Program Files\VideoLAN\VLC\vlc.exe"" """&amp;master!B834&amp;""""</f>
        <v>"C:\Program Files\VideoLAN\VLC\vlc.exe" ""</v>
      </c>
    </row>
    <row r="835" spans="1:2" x14ac:dyDescent="0.55000000000000004">
      <c r="A835">
        <f>master!U835</f>
        <v>0</v>
      </c>
      <c r="B835" t="str">
        <f>"""C:\Program Files\VideoLAN\VLC\vlc.exe"" """&amp;master!B835&amp;""""</f>
        <v>"C:\Program Files\VideoLAN\VLC\vlc.exe" ""</v>
      </c>
    </row>
    <row r="836" spans="1:2" x14ac:dyDescent="0.55000000000000004">
      <c r="A836">
        <f>master!U836</f>
        <v>0</v>
      </c>
      <c r="B836" t="str">
        <f>"""C:\Program Files\VideoLAN\VLC\vlc.exe"" """&amp;master!B836&amp;""""</f>
        <v>"C:\Program Files\VideoLAN\VLC\vlc.exe" ""</v>
      </c>
    </row>
    <row r="837" spans="1:2" x14ac:dyDescent="0.55000000000000004">
      <c r="A837">
        <f>master!U837</f>
        <v>0</v>
      </c>
      <c r="B837" t="str">
        <f>"""C:\Program Files\VideoLAN\VLC\vlc.exe"" """&amp;master!B837&amp;""""</f>
        <v>"C:\Program Files\VideoLAN\VLC\vlc.exe" ""</v>
      </c>
    </row>
    <row r="838" spans="1:2" x14ac:dyDescent="0.55000000000000004">
      <c r="A838">
        <f>master!U838</f>
        <v>0</v>
      </c>
      <c r="B838" t="str">
        <f>"""C:\Program Files\VideoLAN\VLC\vlc.exe"" """&amp;master!B838&amp;""""</f>
        <v>"C:\Program Files\VideoLAN\VLC\vlc.exe" ""</v>
      </c>
    </row>
    <row r="839" spans="1:2" x14ac:dyDescent="0.55000000000000004">
      <c r="A839">
        <f>master!U839</f>
        <v>0</v>
      </c>
      <c r="B839" t="str">
        <f>"""C:\Program Files\VideoLAN\VLC\vlc.exe"" """&amp;master!B839&amp;""""</f>
        <v>"C:\Program Files\VideoLAN\VLC\vlc.exe" ""</v>
      </c>
    </row>
    <row r="840" spans="1:2" x14ac:dyDescent="0.55000000000000004">
      <c r="A840">
        <f>master!U840</f>
        <v>0</v>
      </c>
      <c r="B840" t="str">
        <f>"""C:\Program Files\VideoLAN\VLC\vlc.exe"" """&amp;master!B840&amp;""""</f>
        <v>"C:\Program Files\VideoLAN\VLC\vlc.exe" ""</v>
      </c>
    </row>
    <row r="841" spans="1:2" x14ac:dyDescent="0.55000000000000004">
      <c r="A841">
        <f>master!U841</f>
        <v>0</v>
      </c>
      <c r="B841" t="str">
        <f>"""C:\Program Files\VideoLAN\VLC\vlc.exe"" """&amp;master!B841&amp;""""</f>
        <v>"C:\Program Files\VideoLAN\VLC\vlc.exe" ""</v>
      </c>
    </row>
    <row r="842" spans="1:2" x14ac:dyDescent="0.55000000000000004">
      <c r="A842">
        <f>master!U842</f>
        <v>0</v>
      </c>
      <c r="B842" t="str">
        <f>"""C:\Program Files\VideoLAN\VLC\vlc.exe"" """&amp;master!B842&amp;""""</f>
        <v>"C:\Program Files\VideoLAN\VLC\vlc.exe" ""</v>
      </c>
    </row>
    <row r="843" spans="1:2" x14ac:dyDescent="0.55000000000000004">
      <c r="A843">
        <f>master!U843</f>
        <v>0</v>
      </c>
      <c r="B843" t="str">
        <f>"""C:\Program Files\VideoLAN\VLC\vlc.exe"" """&amp;master!B843&amp;""""</f>
        <v>"C:\Program Files\VideoLAN\VLC\vlc.exe" ""</v>
      </c>
    </row>
    <row r="844" spans="1:2" x14ac:dyDescent="0.55000000000000004">
      <c r="A844">
        <f>master!U844</f>
        <v>0</v>
      </c>
      <c r="B844" t="str">
        <f>"""C:\Program Files\VideoLAN\VLC\vlc.exe"" """&amp;master!B844&amp;""""</f>
        <v>"C:\Program Files\VideoLAN\VLC\vlc.exe" ""</v>
      </c>
    </row>
    <row r="845" spans="1:2" x14ac:dyDescent="0.55000000000000004">
      <c r="A845">
        <f>master!U845</f>
        <v>0</v>
      </c>
      <c r="B845" t="str">
        <f>"""C:\Program Files\VideoLAN\VLC\vlc.exe"" """&amp;master!B845&amp;""""</f>
        <v>"C:\Program Files\VideoLAN\VLC\vlc.exe" ""</v>
      </c>
    </row>
    <row r="846" spans="1:2" x14ac:dyDescent="0.55000000000000004">
      <c r="A846">
        <f>master!U846</f>
        <v>0</v>
      </c>
      <c r="B846" t="str">
        <f>"""C:\Program Files\VideoLAN\VLC\vlc.exe"" """&amp;master!B846&amp;""""</f>
        <v>"C:\Program Files\VideoLAN\VLC\vlc.exe" ""</v>
      </c>
    </row>
    <row r="847" spans="1:2" x14ac:dyDescent="0.55000000000000004">
      <c r="A847">
        <f>master!U847</f>
        <v>0</v>
      </c>
      <c r="B847" t="str">
        <f>"""C:\Program Files\VideoLAN\VLC\vlc.exe"" """&amp;master!B847&amp;""""</f>
        <v>"C:\Program Files\VideoLAN\VLC\vlc.exe" ""</v>
      </c>
    </row>
    <row r="848" spans="1:2" x14ac:dyDescent="0.55000000000000004">
      <c r="A848">
        <f>master!U848</f>
        <v>0</v>
      </c>
      <c r="B848" t="str">
        <f>"""C:\Program Files\VideoLAN\VLC\vlc.exe"" """&amp;master!B848&amp;""""</f>
        <v>"C:\Program Files\VideoLAN\VLC\vlc.exe" ""</v>
      </c>
    </row>
    <row r="849" spans="1:2" x14ac:dyDescent="0.55000000000000004">
      <c r="A849">
        <f>master!U849</f>
        <v>0</v>
      </c>
      <c r="B849" t="str">
        <f>"""C:\Program Files\VideoLAN\VLC\vlc.exe"" """&amp;master!B849&amp;""""</f>
        <v>"C:\Program Files\VideoLAN\VLC\vlc.exe" ""</v>
      </c>
    </row>
    <row r="850" spans="1:2" x14ac:dyDescent="0.55000000000000004">
      <c r="A850">
        <f>master!U850</f>
        <v>0</v>
      </c>
      <c r="B850" t="str">
        <f>"""C:\Program Files\VideoLAN\VLC\vlc.exe"" """&amp;master!B850&amp;""""</f>
        <v>"C:\Program Files\VideoLAN\VLC\vlc.exe" ""</v>
      </c>
    </row>
    <row r="851" spans="1:2" x14ac:dyDescent="0.55000000000000004">
      <c r="A851">
        <f>master!U851</f>
        <v>0</v>
      </c>
      <c r="B851" t="str">
        <f>"""C:\Program Files\VideoLAN\VLC\vlc.exe"" """&amp;master!B851&amp;""""</f>
        <v>"C:\Program Files\VideoLAN\VLC\vlc.exe" ""</v>
      </c>
    </row>
    <row r="852" spans="1:2" x14ac:dyDescent="0.55000000000000004">
      <c r="A852">
        <f>master!U852</f>
        <v>0</v>
      </c>
      <c r="B852" t="str">
        <f>"""C:\Program Files\VideoLAN\VLC\vlc.exe"" """&amp;master!B852&amp;""""</f>
        <v>"C:\Program Files\VideoLAN\VLC\vlc.exe" ""</v>
      </c>
    </row>
    <row r="853" spans="1:2" x14ac:dyDescent="0.55000000000000004">
      <c r="A853">
        <f>master!U853</f>
        <v>0</v>
      </c>
      <c r="B853" t="str">
        <f>"""C:\Program Files\VideoLAN\VLC\vlc.exe"" """&amp;master!B853&amp;""""</f>
        <v>"C:\Program Files\VideoLAN\VLC\vlc.exe" ""</v>
      </c>
    </row>
    <row r="854" spans="1:2" x14ac:dyDescent="0.55000000000000004">
      <c r="A854">
        <f>master!U854</f>
        <v>0</v>
      </c>
      <c r="B854" t="str">
        <f>"""C:\Program Files\VideoLAN\VLC\vlc.exe"" """&amp;master!B854&amp;""""</f>
        <v>"C:\Program Files\VideoLAN\VLC\vlc.exe" ""</v>
      </c>
    </row>
    <row r="855" spans="1:2" x14ac:dyDescent="0.55000000000000004">
      <c r="A855">
        <f>master!U855</f>
        <v>0</v>
      </c>
      <c r="B855" t="str">
        <f>"""C:\Program Files\VideoLAN\VLC\vlc.exe"" """&amp;master!B855&amp;""""</f>
        <v>"C:\Program Files\VideoLAN\VLC\vlc.exe" ""</v>
      </c>
    </row>
    <row r="856" spans="1:2" x14ac:dyDescent="0.55000000000000004">
      <c r="A856">
        <f>master!U856</f>
        <v>0</v>
      </c>
      <c r="B856" t="str">
        <f>"""C:\Program Files\VideoLAN\VLC\vlc.exe"" """&amp;master!B856&amp;""""</f>
        <v>"C:\Program Files\VideoLAN\VLC\vlc.exe" ""</v>
      </c>
    </row>
    <row r="857" spans="1:2" x14ac:dyDescent="0.55000000000000004">
      <c r="A857">
        <f>master!U857</f>
        <v>0</v>
      </c>
      <c r="B857" t="str">
        <f>"""C:\Program Files\VideoLAN\VLC\vlc.exe"" """&amp;master!B857&amp;""""</f>
        <v>"C:\Program Files\VideoLAN\VLC\vlc.exe" ""</v>
      </c>
    </row>
    <row r="858" spans="1:2" x14ac:dyDescent="0.55000000000000004">
      <c r="A858">
        <f>master!U858</f>
        <v>0</v>
      </c>
      <c r="B858" t="str">
        <f>"""C:\Program Files\VideoLAN\VLC\vlc.exe"" """&amp;master!B858&amp;""""</f>
        <v>"C:\Program Files\VideoLAN\VLC\vlc.exe" ""</v>
      </c>
    </row>
    <row r="859" spans="1:2" x14ac:dyDescent="0.55000000000000004">
      <c r="A859">
        <f>master!U859</f>
        <v>0</v>
      </c>
      <c r="B859" t="str">
        <f>"""C:\Program Files\VideoLAN\VLC\vlc.exe"" """&amp;master!B859&amp;""""</f>
        <v>"C:\Program Files\VideoLAN\VLC\vlc.exe" ""</v>
      </c>
    </row>
    <row r="860" spans="1:2" x14ac:dyDescent="0.55000000000000004">
      <c r="A860">
        <f>master!U860</f>
        <v>0</v>
      </c>
      <c r="B860" t="str">
        <f>"""C:\Program Files\VideoLAN\VLC\vlc.exe"" """&amp;master!B860&amp;""""</f>
        <v>"C:\Program Files\VideoLAN\VLC\vlc.exe" ""</v>
      </c>
    </row>
    <row r="861" spans="1:2" x14ac:dyDescent="0.55000000000000004">
      <c r="A861">
        <f>master!U861</f>
        <v>0</v>
      </c>
      <c r="B861" t="str">
        <f>"""C:\Program Files\VideoLAN\VLC\vlc.exe"" """&amp;master!B861&amp;""""</f>
        <v>"C:\Program Files\VideoLAN\VLC\vlc.exe" ""</v>
      </c>
    </row>
    <row r="862" spans="1:2" x14ac:dyDescent="0.55000000000000004">
      <c r="A862">
        <f>master!U862</f>
        <v>0</v>
      </c>
      <c r="B862" t="str">
        <f>"""C:\Program Files\VideoLAN\VLC\vlc.exe"" """&amp;master!B862&amp;""""</f>
        <v>"C:\Program Files\VideoLAN\VLC\vlc.exe" ""</v>
      </c>
    </row>
    <row r="863" spans="1:2" x14ac:dyDescent="0.55000000000000004">
      <c r="A863">
        <f>master!U863</f>
        <v>0</v>
      </c>
      <c r="B863" t="str">
        <f>"""C:\Program Files\VideoLAN\VLC\vlc.exe"" """&amp;master!B863&amp;""""</f>
        <v>"C:\Program Files\VideoLAN\VLC\vlc.exe" ""</v>
      </c>
    </row>
    <row r="864" spans="1:2" x14ac:dyDescent="0.55000000000000004">
      <c r="A864">
        <f>master!U864</f>
        <v>0</v>
      </c>
      <c r="B864" t="str">
        <f>"""C:\Program Files\VideoLAN\VLC\vlc.exe"" """&amp;master!B864&amp;""""</f>
        <v>"C:\Program Files\VideoLAN\VLC\vlc.exe" ""</v>
      </c>
    </row>
    <row r="865" spans="1:2" x14ac:dyDescent="0.55000000000000004">
      <c r="A865">
        <f>master!U865</f>
        <v>0</v>
      </c>
      <c r="B865" t="str">
        <f>"""C:\Program Files\VideoLAN\VLC\vlc.exe"" """&amp;master!B865&amp;""""</f>
        <v>"C:\Program Files\VideoLAN\VLC\vlc.exe" ""</v>
      </c>
    </row>
    <row r="866" spans="1:2" x14ac:dyDescent="0.55000000000000004">
      <c r="A866">
        <f>master!U866</f>
        <v>0</v>
      </c>
      <c r="B866" t="str">
        <f>"""C:\Program Files\VideoLAN\VLC\vlc.exe"" """&amp;master!B866&amp;""""</f>
        <v>"C:\Program Files\VideoLAN\VLC\vlc.exe" ""</v>
      </c>
    </row>
    <row r="867" spans="1:2" x14ac:dyDescent="0.55000000000000004">
      <c r="A867">
        <f>master!U867</f>
        <v>0</v>
      </c>
      <c r="B867" t="str">
        <f>"""C:\Program Files\VideoLAN\VLC\vlc.exe"" """&amp;master!B867&amp;""""</f>
        <v>"C:\Program Files\VideoLAN\VLC\vlc.exe" ""</v>
      </c>
    </row>
    <row r="868" spans="1:2" x14ac:dyDescent="0.55000000000000004">
      <c r="A868">
        <f>master!U868</f>
        <v>0</v>
      </c>
      <c r="B868" t="str">
        <f>"""C:\Program Files\VideoLAN\VLC\vlc.exe"" """&amp;master!B868&amp;""""</f>
        <v>"C:\Program Files\VideoLAN\VLC\vlc.exe" ""</v>
      </c>
    </row>
    <row r="869" spans="1:2" x14ac:dyDescent="0.55000000000000004">
      <c r="A869">
        <f>master!U869</f>
        <v>0</v>
      </c>
      <c r="B869" t="str">
        <f>"""C:\Program Files\VideoLAN\VLC\vlc.exe"" """&amp;master!B869&amp;""""</f>
        <v>"C:\Program Files\VideoLAN\VLC\vlc.exe" ""</v>
      </c>
    </row>
    <row r="870" spans="1:2" x14ac:dyDescent="0.55000000000000004">
      <c r="A870">
        <f>master!U870</f>
        <v>0</v>
      </c>
      <c r="B870" t="str">
        <f>"""C:\Program Files\VideoLAN\VLC\vlc.exe"" """&amp;master!B870&amp;""""</f>
        <v>"C:\Program Files\VideoLAN\VLC\vlc.exe" ""</v>
      </c>
    </row>
    <row r="871" spans="1:2" x14ac:dyDescent="0.55000000000000004">
      <c r="A871">
        <f>master!U871</f>
        <v>0</v>
      </c>
      <c r="B871" t="str">
        <f>"""C:\Program Files\VideoLAN\VLC\vlc.exe"" """&amp;master!B871&amp;""""</f>
        <v>"C:\Program Files\VideoLAN\VLC\vlc.exe" ""</v>
      </c>
    </row>
    <row r="872" spans="1:2" x14ac:dyDescent="0.55000000000000004">
      <c r="A872">
        <f>master!U872</f>
        <v>0</v>
      </c>
      <c r="B872" t="str">
        <f>"""C:\Program Files\VideoLAN\VLC\vlc.exe"" """&amp;master!B872&amp;""""</f>
        <v>"C:\Program Files\VideoLAN\VLC\vlc.exe" ""</v>
      </c>
    </row>
    <row r="873" spans="1:2" x14ac:dyDescent="0.55000000000000004">
      <c r="A873">
        <f>master!U873</f>
        <v>0</v>
      </c>
      <c r="B873" t="str">
        <f>"""C:\Program Files\VideoLAN\VLC\vlc.exe"" """&amp;master!B873&amp;""""</f>
        <v>"C:\Program Files\VideoLAN\VLC\vlc.exe" ""</v>
      </c>
    </row>
    <row r="874" spans="1:2" x14ac:dyDescent="0.55000000000000004">
      <c r="A874">
        <f>master!U874</f>
        <v>0</v>
      </c>
      <c r="B874" t="str">
        <f>"""C:\Program Files\VideoLAN\VLC\vlc.exe"" """&amp;master!B874&amp;""""</f>
        <v>"C:\Program Files\VideoLAN\VLC\vlc.exe" ""</v>
      </c>
    </row>
    <row r="875" spans="1:2" x14ac:dyDescent="0.55000000000000004">
      <c r="A875">
        <f>master!U875</f>
        <v>0</v>
      </c>
      <c r="B875" t="str">
        <f>"""C:\Program Files\VideoLAN\VLC\vlc.exe"" """&amp;master!B875&amp;""""</f>
        <v>"C:\Program Files\VideoLAN\VLC\vlc.exe" ""</v>
      </c>
    </row>
    <row r="876" spans="1:2" x14ac:dyDescent="0.55000000000000004">
      <c r="A876">
        <f>master!U876</f>
        <v>0</v>
      </c>
      <c r="B876" t="str">
        <f>"""C:\Program Files\VideoLAN\VLC\vlc.exe"" """&amp;master!B876&amp;""""</f>
        <v>"C:\Program Files\VideoLAN\VLC\vlc.exe" ""</v>
      </c>
    </row>
    <row r="877" spans="1:2" x14ac:dyDescent="0.55000000000000004">
      <c r="A877">
        <f>master!U877</f>
        <v>0</v>
      </c>
      <c r="B877" t="str">
        <f>"""C:\Program Files\VideoLAN\VLC\vlc.exe"" """&amp;master!B877&amp;""""</f>
        <v>"C:\Program Files\VideoLAN\VLC\vlc.exe" ""</v>
      </c>
    </row>
    <row r="878" spans="1:2" x14ac:dyDescent="0.55000000000000004">
      <c r="A878">
        <f>master!U878</f>
        <v>0</v>
      </c>
      <c r="B878" t="str">
        <f>"""C:\Program Files\VideoLAN\VLC\vlc.exe"" """&amp;master!B878&amp;""""</f>
        <v>"C:\Program Files\VideoLAN\VLC\vlc.exe" ""</v>
      </c>
    </row>
    <row r="879" spans="1:2" x14ac:dyDescent="0.55000000000000004">
      <c r="A879">
        <f>master!U879</f>
        <v>0</v>
      </c>
      <c r="B879" t="str">
        <f>"""C:\Program Files\VideoLAN\VLC\vlc.exe"" """&amp;master!B879&amp;""""</f>
        <v>"C:\Program Files\VideoLAN\VLC\vlc.exe" ""</v>
      </c>
    </row>
    <row r="880" spans="1:2" x14ac:dyDescent="0.55000000000000004">
      <c r="A880">
        <f>master!U880</f>
        <v>0</v>
      </c>
      <c r="B880" t="str">
        <f>"""C:\Program Files\VideoLAN\VLC\vlc.exe"" """&amp;master!B880&amp;""""</f>
        <v>"C:\Program Files\VideoLAN\VLC\vlc.exe" ""</v>
      </c>
    </row>
    <row r="881" spans="1:2" x14ac:dyDescent="0.55000000000000004">
      <c r="A881">
        <f>master!U881</f>
        <v>0</v>
      </c>
      <c r="B881" t="str">
        <f>"""C:\Program Files\VideoLAN\VLC\vlc.exe"" """&amp;master!B881&amp;""""</f>
        <v>"C:\Program Files\VideoLAN\VLC\vlc.exe" ""</v>
      </c>
    </row>
    <row r="882" spans="1:2" x14ac:dyDescent="0.55000000000000004">
      <c r="A882">
        <f>master!U882</f>
        <v>0</v>
      </c>
      <c r="B882" t="str">
        <f>"""C:\Program Files\VideoLAN\VLC\vlc.exe"" """&amp;master!B882&amp;""""</f>
        <v>"C:\Program Files\VideoLAN\VLC\vlc.exe" ""</v>
      </c>
    </row>
    <row r="883" spans="1:2" x14ac:dyDescent="0.55000000000000004">
      <c r="A883">
        <f>master!U883</f>
        <v>0</v>
      </c>
      <c r="B883" t="str">
        <f>"""C:\Program Files\VideoLAN\VLC\vlc.exe"" """&amp;master!B883&amp;""""</f>
        <v>"C:\Program Files\VideoLAN\VLC\vlc.exe" ""</v>
      </c>
    </row>
    <row r="884" spans="1:2" x14ac:dyDescent="0.55000000000000004">
      <c r="A884">
        <f>master!U884</f>
        <v>0</v>
      </c>
      <c r="B884" t="str">
        <f>"""C:\Program Files\VideoLAN\VLC\vlc.exe"" """&amp;master!B884&amp;""""</f>
        <v>"C:\Program Files\VideoLAN\VLC\vlc.exe" ""</v>
      </c>
    </row>
    <row r="885" spans="1:2" x14ac:dyDescent="0.55000000000000004">
      <c r="A885">
        <f>master!U885</f>
        <v>0</v>
      </c>
      <c r="B885" t="str">
        <f>"""C:\Program Files\VideoLAN\VLC\vlc.exe"" """&amp;master!B885&amp;""""</f>
        <v>"C:\Program Files\VideoLAN\VLC\vlc.exe" ""</v>
      </c>
    </row>
    <row r="886" spans="1:2" x14ac:dyDescent="0.55000000000000004">
      <c r="A886">
        <f>master!U886</f>
        <v>0</v>
      </c>
      <c r="B886" t="str">
        <f>"""C:\Program Files\VideoLAN\VLC\vlc.exe"" """&amp;master!B886&amp;""""</f>
        <v>"C:\Program Files\VideoLAN\VLC\vlc.exe" ""</v>
      </c>
    </row>
    <row r="887" spans="1:2" x14ac:dyDescent="0.55000000000000004">
      <c r="A887">
        <f>master!U887</f>
        <v>0</v>
      </c>
      <c r="B887" t="str">
        <f>"""C:\Program Files\VideoLAN\VLC\vlc.exe"" """&amp;master!B887&amp;""""</f>
        <v>"C:\Program Files\VideoLAN\VLC\vlc.exe" ""</v>
      </c>
    </row>
    <row r="888" spans="1:2" x14ac:dyDescent="0.55000000000000004">
      <c r="A888">
        <f>master!U888</f>
        <v>0</v>
      </c>
      <c r="B888" t="str">
        <f>"""C:\Program Files\VideoLAN\VLC\vlc.exe"" """&amp;master!B888&amp;""""</f>
        <v>"C:\Program Files\VideoLAN\VLC\vlc.exe" ""</v>
      </c>
    </row>
    <row r="889" spans="1:2" x14ac:dyDescent="0.55000000000000004">
      <c r="A889">
        <f>master!U889</f>
        <v>0</v>
      </c>
      <c r="B889" t="str">
        <f>"""C:\Program Files\VideoLAN\VLC\vlc.exe"" """&amp;master!B889&amp;""""</f>
        <v>"C:\Program Files\VideoLAN\VLC\vlc.exe" ""</v>
      </c>
    </row>
    <row r="890" spans="1:2" x14ac:dyDescent="0.55000000000000004">
      <c r="A890">
        <f>master!U890</f>
        <v>0</v>
      </c>
      <c r="B890" t="str">
        <f>"""C:\Program Files\VideoLAN\VLC\vlc.exe"" """&amp;master!B890&amp;""""</f>
        <v>"C:\Program Files\VideoLAN\VLC\vlc.exe" ""</v>
      </c>
    </row>
    <row r="891" spans="1:2" x14ac:dyDescent="0.55000000000000004">
      <c r="A891">
        <f>master!U891</f>
        <v>0</v>
      </c>
      <c r="B891" t="str">
        <f>"""C:\Program Files\VideoLAN\VLC\vlc.exe"" """&amp;master!B891&amp;""""</f>
        <v>"C:\Program Files\VideoLAN\VLC\vlc.exe" ""</v>
      </c>
    </row>
    <row r="892" spans="1:2" x14ac:dyDescent="0.55000000000000004">
      <c r="A892">
        <f>master!U892</f>
        <v>0</v>
      </c>
      <c r="B892" t="str">
        <f>"""C:\Program Files\VideoLAN\VLC\vlc.exe"" """&amp;master!B892&amp;""""</f>
        <v>"C:\Program Files\VideoLAN\VLC\vlc.exe" ""</v>
      </c>
    </row>
    <row r="893" spans="1:2" x14ac:dyDescent="0.55000000000000004">
      <c r="A893">
        <f>master!U893</f>
        <v>0</v>
      </c>
      <c r="B893" t="str">
        <f>"""C:\Program Files\VideoLAN\VLC\vlc.exe"" """&amp;master!B893&amp;""""</f>
        <v>"C:\Program Files\VideoLAN\VLC\vlc.exe" ""</v>
      </c>
    </row>
    <row r="894" spans="1:2" x14ac:dyDescent="0.55000000000000004">
      <c r="A894">
        <f>master!U894</f>
        <v>0</v>
      </c>
      <c r="B894" t="str">
        <f>"""C:\Program Files\VideoLAN\VLC\vlc.exe"" """&amp;master!B894&amp;""""</f>
        <v>"C:\Program Files\VideoLAN\VLC\vlc.exe" ""</v>
      </c>
    </row>
    <row r="895" spans="1:2" x14ac:dyDescent="0.55000000000000004">
      <c r="A895">
        <f>master!U895</f>
        <v>0</v>
      </c>
      <c r="B895" t="str">
        <f>"""C:\Program Files\VideoLAN\VLC\vlc.exe"" """&amp;master!B895&amp;""""</f>
        <v>"C:\Program Files\VideoLAN\VLC\vlc.exe" ""</v>
      </c>
    </row>
    <row r="896" spans="1:2" x14ac:dyDescent="0.55000000000000004">
      <c r="A896">
        <f>master!U896</f>
        <v>0</v>
      </c>
      <c r="B896" t="str">
        <f>"""C:\Program Files\VideoLAN\VLC\vlc.exe"" """&amp;master!B896&amp;""""</f>
        <v>"C:\Program Files\VideoLAN\VLC\vlc.exe" ""</v>
      </c>
    </row>
    <row r="897" spans="1:2" x14ac:dyDescent="0.55000000000000004">
      <c r="A897">
        <f>master!U897</f>
        <v>0</v>
      </c>
      <c r="B897" t="str">
        <f>"""C:\Program Files\VideoLAN\VLC\vlc.exe"" """&amp;master!B897&amp;""""</f>
        <v>"C:\Program Files\VideoLAN\VLC\vlc.exe" ""</v>
      </c>
    </row>
    <row r="898" spans="1:2" x14ac:dyDescent="0.55000000000000004">
      <c r="A898">
        <f>master!U898</f>
        <v>0</v>
      </c>
      <c r="B898" t="str">
        <f>"""C:\Program Files\VideoLAN\VLC\vlc.exe"" """&amp;master!B898&amp;""""</f>
        <v>"C:\Program Files\VideoLAN\VLC\vlc.exe" ""</v>
      </c>
    </row>
    <row r="899" spans="1:2" x14ac:dyDescent="0.55000000000000004">
      <c r="A899">
        <f>master!U899</f>
        <v>0</v>
      </c>
      <c r="B899" t="str">
        <f>"""C:\Program Files\VideoLAN\VLC\vlc.exe"" """&amp;master!B899&amp;""""</f>
        <v>"C:\Program Files\VideoLAN\VLC\vlc.exe" ""</v>
      </c>
    </row>
    <row r="900" spans="1:2" x14ac:dyDescent="0.55000000000000004">
      <c r="A900">
        <f>master!U900</f>
        <v>0</v>
      </c>
      <c r="B900" t="str">
        <f>"""C:\Program Files\VideoLAN\VLC\vlc.exe"" """&amp;master!B900&amp;""""</f>
        <v>"C:\Program Files\VideoLAN\VLC\vlc.exe" ""</v>
      </c>
    </row>
    <row r="901" spans="1:2" x14ac:dyDescent="0.55000000000000004">
      <c r="A901">
        <f>master!U901</f>
        <v>0</v>
      </c>
      <c r="B901" t="str">
        <f>"""C:\Program Files\VideoLAN\VLC\vlc.exe"" """&amp;master!B901&amp;""""</f>
        <v>"C:\Program Files\VideoLAN\VLC\vlc.exe" ""</v>
      </c>
    </row>
    <row r="902" spans="1:2" x14ac:dyDescent="0.55000000000000004">
      <c r="A902">
        <f>master!U902</f>
        <v>0</v>
      </c>
      <c r="B902" t="str">
        <f>"""C:\Program Files\VideoLAN\VLC\vlc.exe"" """&amp;master!B902&amp;""""</f>
        <v>"C:\Program Files\VideoLAN\VLC\vlc.exe" ""</v>
      </c>
    </row>
    <row r="903" spans="1:2" x14ac:dyDescent="0.55000000000000004">
      <c r="A903">
        <f>master!U903</f>
        <v>0</v>
      </c>
      <c r="B903" t="str">
        <f>"""C:\Program Files\VideoLAN\VLC\vlc.exe"" """&amp;master!B903&amp;""""</f>
        <v>"C:\Program Files\VideoLAN\VLC\vlc.exe" ""</v>
      </c>
    </row>
    <row r="904" spans="1:2" x14ac:dyDescent="0.55000000000000004">
      <c r="A904">
        <f>master!U904</f>
        <v>0</v>
      </c>
      <c r="B904" t="str">
        <f>"""C:\Program Files\VideoLAN\VLC\vlc.exe"" """&amp;master!B904&amp;""""</f>
        <v>"C:\Program Files\VideoLAN\VLC\vlc.exe" ""</v>
      </c>
    </row>
    <row r="905" spans="1:2" x14ac:dyDescent="0.55000000000000004">
      <c r="A905">
        <f>master!U905</f>
        <v>0</v>
      </c>
      <c r="B905" t="str">
        <f>"""C:\Program Files\VideoLAN\VLC\vlc.exe"" """&amp;master!B905&amp;""""</f>
        <v>"C:\Program Files\VideoLAN\VLC\vlc.exe" ""</v>
      </c>
    </row>
    <row r="906" spans="1:2" x14ac:dyDescent="0.55000000000000004">
      <c r="A906">
        <f>master!U906</f>
        <v>0</v>
      </c>
      <c r="B906" t="str">
        <f>"""C:\Program Files\VideoLAN\VLC\vlc.exe"" """&amp;master!B906&amp;""""</f>
        <v>"C:\Program Files\VideoLAN\VLC\vlc.exe" ""</v>
      </c>
    </row>
    <row r="907" spans="1:2" x14ac:dyDescent="0.55000000000000004">
      <c r="A907">
        <f>master!U907</f>
        <v>0</v>
      </c>
      <c r="B907" t="str">
        <f>"""C:\Program Files\VideoLAN\VLC\vlc.exe"" """&amp;master!B907&amp;""""</f>
        <v>"C:\Program Files\VideoLAN\VLC\vlc.exe" ""</v>
      </c>
    </row>
    <row r="908" spans="1:2" x14ac:dyDescent="0.55000000000000004">
      <c r="A908">
        <f>master!U908</f>
        <v>0</v>
      </c>
      <c r="B908" t="str">
        <f>"""C:\Program Files\VideoLAN\VLC\vlc.exe"" """&amp;master!B908&amp;""""</f>
        <v>"C:\Program Files\VideoLAN\VLC\vlc.exe" ""</v>
      </c>
    </row>
    <row r="909" spans="1:2" x14ac:dyDescent="0.55000000000000004">
      <c r="A909">
        <f>master!U909</f>
        <v>0</v>
      </c>
      <c r="B909" t="str">
        <f>"""C:\Program Files\VideoLAN\VLC\vlc.exe"" """&amp;master!B909&amp;""""</f>
        <v>"C:\Program Files\VideoLAN\VLC\vlc.exe" ""</v>
      </c>
    </row>
    <row r="910" spans="1:2" x14ac:dyDescent="0.55000000000000004">
      <c r="A910">
        <f>master!U910</f>
        <v>0</v>
      </c>
      <c r="B910" t="str">
        <f>"""C:\Program Files\VideoLAN\VLC\vlc.exe"" """&amp;master!B910&amp;""""</f>
        <v>"C:\Program Files\VideoLAN\VLC\vlc.exe" ""</v>
      </c>
    </row>
    <row r="911" spans="1:2" x14ac:dyDescent="0.55000000000000004">
      <c r="A911">
        <f>master!U911</f>
        <v>0</v>
      </c>
      <c r="B911" t="str">
        <f>"""C:\Program Files\VideoLAN\VLC\vlc.exe"" """&amp;master!B911&amp;""""</f>
        <v>"C:\Program Files\VideoLAN\VLC\vlc.exe" ""</v>
      </c>
    </row>
    <row r="912" spans="1:2" x14ac:dyDescent="0.55000000000000004">
      <c r="A912">
        <f>master!U912</f>
        <v>0</v>
      </c>
      <c r="B912" t="str">
        <f>"""C:\Program Files\VideoLAN\VLC\vlc.exe"" """&amp;master!B912&amp;""""</f>
        <v>"C:\Program Files\VideoLAN\VLC\vlc.exe" ""</v>
      </c>
    </row>
    <row r="913" spans="1:2" x14ac:dyDescent="0.55000000000000004">
      <c r="A913">
        <f>master!U913</f>
        <v>0</v>
      </c>
      <c r="B913" t="str">
        <f>"""C:\Program Files\VideoLAN\VLC\vlc.exe"" """&amp;master!B913&amp;""""</f>
        <v>"C:\Program Files\VideoLAN\VLC\vlc.exe" ""</v>
      </c>
    </row>
    <row r="914" spans="1:2" x14ac:dyDescent="0.55000000000000004">
      <c r="A914">
        <f>master!U914</f>
        <v>0</v>
      </c>
      <c r="B914" t="str">
        <f>"""C:\Program Files\VideoLAN\VLC\vlc.exe"" """&amp;master!B914&amp;""""</f>
        <v>"C:\Program Files\VideoLAN\VLC\vlc.exe" ""</v>
      </c>
    </row>
    <row r="915" spans="1:2" x14ac:dyDescent="0.55000000000000004">
      <c r="A915">
        <f>master!U915</f>
        <v>0</v>
      </c>
      <c r="B915" t="str">
        <f>"""C:\Program Files\VideoLAN\VLC\vlc.exe"" """&amp;master!B915&amp;""""</f>
        <v>"C:\Program Files\VideoLAN\VLC\vlc.exe" ""</v>
      </c>
    </row>
    <row r="916" spans="1:2" x14ac:dyDescent="0.55000000000000004">
      <c r="A916">
        <f>master!U916</f>
        <v>0</v>
      </c>
      <c r="B916" t="str">
        <f>"""C:\Program Files\VideoLAN\VLC\vlc.exe"" """&amp;master!B916&amp;""""</f>
        <v>"C:\Program Files\VideoLAN\VLC\vlc.exe" ""</v>
      </c>
    </row>
    <row r="917" spans="1:2" x14ac:dyDescent="0.55000000000000004">
      <c r="A917">
        <f>master!U917</f>
        <v>0</v>
      </c>
      <c r="B917" t="str">
        <f>"""C:\Program Files\VideoLAN\VLC\vlc.exe"" """&amp;master!B917&amp;""""</f>
        <v>"C:\Program Files\VideoLAN\VLC\vlc.exe" ""</v>
      </c>
    </row>
    <row r="918" spans="1:2" x14ac:dyDescent="0.55000000000000004">
      <c r="A918">
        <f>master!U918</f>
        <v>0</v>
      </c>
      <c r="B918" t="str">
        <f>"""C:\Program Files\VideoLAN\VLC\vlc.exe"" """&amp;master!B918&amp;""""</f>
        <v>"C:\Program Files\VideoLAN\VLC\vlc.exe" ""</v>
      </c>
    </row>
    <row r="919" spans="1:2" x14ac:dyDescent="0.55000000000000004">
      <c r="A919">
        <f>master!U919</f>
        <v>0</v>
      </c>
      <c r="B919" t="str">
        <f>"""C:\Program Files\VideoLAN\VLC\vlc.exe"" """&amp;master!B919&amp;""""</f>
        <v>"C:\Program Files\VideoLAN\VLC\vlc.exe" ""</v>
      </c>
    </row>
    <row r="920" spans="1:2" x14ac:dyDescent="0.55000000000000004">
      <c r="A920">
        <f>master!U920</f>
        <v>0</v>
      </c>
      <c r="B920" t="str">
        <f>"""C:\Program Files\VideoLAN\VLC\vlc.exe"" """&amp;master!B920&amp;""""</f>
        <v>"C:\Program Files\VideoLAN\VLC\vlc.exe" ""</v>
      </c>
    </row>
    <row r="921" spans="1:2" x14ac:dyDescent="0.55000000000000004">
      <c r="A921">
        <f>master!U921</f>
        <v>0</v>
      </c>
      <c r="B921" t="str">
        <f>"""C:\Program Files\VideoLAN\VLC\vlc.exe"" """&amp;master!B921&amp;""""</f>
        <v>"C:\Program Files\VideoLAN\VLC\vlc.exe" ""</v>
      </c>
    </row>
    <row r="922" spans="1:2" x14ac:dyDescent="0.55000000000000004">
      <c r="A922">
        <f>master!U922</f>
        <v>0</v>
      </c>
      <c r="B922" t="str">
        <f>"""C:\Program Files\VideoLAN\VLC\vlc.exe"" """&amp;master!B922&amp;""""</f>
        <v>"C:\Program Files\VideoLAN\VLC\vlc.exe" ""</v>
      </c>
    </row>
    <row r="923" spans="1:2" x14ac:dyDescent="0.55000000000000004">
      <c r="A923">
        <f>master!U923</f>
        <v>0</v>
      </c>
      <c r="B923" t="str">
        <f>"""C:\Program Files\VideoLAN\VLC\vlc.exe"" """&amp;master!B923&amp;""""</f>
        <v>"C:\Program Files\VideoLAN\VLC\vlc.exe" ""</v>
      </c>
    </row>
    <row r="924" spans="1:2" x14ac:dyDescent="0.55000000000000004">
      <c r="A924">
        <f>master!U924</f>
        <v>0</v>
      </c>
      <c r="B924" t="str">
        <f>"""C:\Program Files\VideoLAN\VLC\vlc.exe"" """&amp;master!B924&amp;""""</f>
        <v>"C:\Program Files\VideoLAN\VLC\vlc.exe" ""</v>
      </c>
    </row>
    <row r="925" spans="1:2" x14ac:dyDescent="0.55000000000000004">
      <c r="A925">
        <f>master!U925</f>
        <v>0</v>
      </c>
      <c r="B925" t="str">
        <f>"""C:\Program Files\VideoLAN\VLC\vlc.exe"" """&amp;master!B925&amp;""""</f>
        <v>"C:\Program Files\VideoLAN\VLC\vlc.exe" ""</v>
      </c>
    </row>
    <row r="926" spans="1:2" x14ac:dyDescent="0.55000000000000004">
      <c r="A926">
        <f>master!U926</f>
        <v>0</v>
      </c>
      <c r="B926" t="str">
        <f>"""C:\Program Files\VideoLAN\VLC\vlc.exe"" """&amp;master!B926&amp;""""</f>
        <v>"C:\Program Files\VideoLAN\VLC\vlc.exe" ""</v>
      </c>
    </row>
    <row r="927" spans="1:2" x14ac:dyDescent="0.55000000000000004">
      <c r="A927">
        <f>master!U927</f>
        <v>0</v>
      </c>
      <c r="B927" t="str">
        <f>"""C:\Program Files\VideoLAN\VLC\vlc.exe"" """&amp;master!B927&amp;""""</f>
        <v>"C:\Program Files\VideoLAN\VLC\vlc.exe" ""</v>
      </c>
    </row>
    <row r="928" spans="1:2" x14ac:dyDescent="0.55000000000000004">
      <c r="A928">
        <f>master!U928</f>
        <v>0</v>
      </c>
      <c r="B928" t="str">
        <f>"""C:\Program Files\VideoLAN\VLC\vlc.exe"" """&amp;master!B928&amp;""""</f>
        <v>"C:\Program Files\VideoLAN\VLC\vlc.exe" ""</v>
      </c>
    </row>
    <row r="929" spans="1:2" x14ac:dyDescent="0.55000000000000004">
      <c r="A929">
        <f>master!U929</f>
        <v>0</v>
      </c>
      <c r="B929" t="str">
        <f>"""C:\Program Files\VideoLAN\VLC\vlc.exe"" """&amp;master!B929&amp;""""</f>
        <v>"C:\Program Files\VideoLAN\VLC\vlc.exe" ""</v>
      </c>
    </row>
    <row r="930" spans="1:2" x14ac:dyDescent="0.55000000000000004">
      <c r="A930">
        <f>master!U930</f>
        <v>0</v>
      </c>
      <c r="B930" t="str">
        <f>"""C:\Program Files\VideoLAN\VLC\vlc.exe"" """&amp;master!B930&amp;""""</f>
        <v>"C:\Program Files\VideoLAN\VLC\vlc.exe" ""</v>
      </c>
    </row>
    <row r="931" spans="1:2" x14ac:dyDescent="0.55000000000000004">
      <c r="A931">
        <f>master!U931</f>
        <v>0</v>
      </c>
      <c r="B931" t="str">
        <f>"""C:\Program Files\VideoLAN\VLC\vlc.exe"" """&amp;master!B931&amp;""""</f>
        <v>"C:\Program Files\VideoLAN\VLC\vlc.exe" ""</v>
      </c>
    </row>
    <row r="932" spans="1:2" x14ac:dyDescent="0.55000000000000004">
      <c r="A932">
        <f>master!U932</f>
        <v>0</v>
      </c>
      <c r="B932" t="str">
        <f>"""C:\Program Files\VideoLAN\VLC\vlc.exe"" """&amp;master!B932&amp;""""</f>
        <v>"C:\Program Files\VideoLAN\VLC\vlc.exe" ""</v>
      </c>
    </row>
    <row r="933" spans="1:2" x14ac:dyDescent="0.55000000000000004">
      <c r="A933">
        <f>master!U933</f>
        <v>0</v>
      </c>
      <c r="B933" t="str">
        <f>"""C:\Program Files\VideoLAN\VLC\vlc.exe"" """&amp;master!B933&amp;""""</f>
        <v>"C:\Program Files\VideoLAN\VLC\vlc.exe" ""</v>
      </c>
    </row>
    <row r="934" spans="1:2" x14ac:dyDescent="0.55000000000000004">
      <c r="A934">
        <f>master!U934</f>
        <v>0</v>
      </c>
      <c r="B934" t="str">
        <f>"""C:\Program Files\VideoLAN\VLC\vlc.exe"" """&amp;master!B934&amp;""""</f>
        <v>"C:\Program Files\VideoLAN\VLC\vlc.exe" ""</v>
      </c>
    </row>
    <row r="935" spans="1:2" x14ac:dyDescent="0.55000000000000004">
      <c r="A935">
        <f>master!U935</f>
        <v>0</v>
      </c>
      <c r="B935" t="str">
        <f>"""C:\Program Files\VideoLAN\VLC\vlc.exe"" """&amp;master!B935&amp;""""</f>
        <v>"C:\Program Files\VideoLAN\VLC\vlc.exe" ""</v>
      </c>
    </row>
    <row r="936" spans="1:2" x14ac:dyDescent="0.55000000000000004">
      <c r="A936">
        <f>master!U936</f>
        <v>0</v>
      </c>
      <c r="B936" t="str">
        <f>"""C:\Program Files\VideoLAN\VLC\vlc.exe"" """&amp;master!B936&amp;""""</f>
        <v>"C:\Program Files\VideoLAN\VLC\vlc.exe" ""</v>
      </c>
    </row>
    <row r="937" spans="1:2" x14ac:dyDescent="0.55000000000000004">
      <c r="A937">
        <f>master!U937</f>
        <v>0</v>
      </c>
      <c r="B937" t="str">
        <f>"""C:\Program Files\VideoLAN\VLC\vlc.exe"" """&amp;master!B937&amp;""""</f>
        <v>"C:\Program Files\VideoLAN\VLC\vlc.exe" ""</v>
      </c>
    </row>
    <row r="938" spans="1:2" x14ac:dyDescent="0.55000000000000004">
      <c r="A938">
        <f>master!U938</f>
        <v>0</v>
      </c>
      <c r="B938" t="str">
        <f>"""C:\Program Files\VideoLAN\VLC\vlc.exe"" """&amp;master!B938&amp;""""</f>
        <v>"C:\Program Files\VideoLAN\VLC\vlc.exe" ""</v>
      </c>
    </row>
    <row r="939" spans="1:2" x14ac:dyDescent="0.55000000000000004">
      <c r="A939">
        <f>master!U939</f>
        <v>0</v>
      </c>
      <c r="B939" t="str">
        <f>"""C:\Program Files\VideoLAN\VLC\vlc.exe"" """&amp;master!B939&amp;""""</f>
        <v>"C:\Program Files\VideoLAN\VLC\vlc.exe" ""</v>
      </c>
    </row>
    <row r="940" spans="1:2" x14ac:dyDescent="0.55000000000000004">
      <c r="A940">
        <f>master!U940</f>
        <v>0</v>
      </c>
      <c r="B940" t="str">
        <f>"""C:\Program Files\VideoLAN\VLC\vlc.exe"" """&amp;master!B940&amp;""""</f>
        <v>"C:\Program Files\VideoLAN\VLC\vlc.exe" ""</v>
      </c>
    </row>
    <row r="941" spans="1:2" x14ac:dyDescent="0.55000000000000004">
      <c r="A941">
        <f>master!U941</f>
        <v>0</v>
      </c>
      <c r="B941" t="str">
        <f>"""C:\Program Files\VideoLAN\VLC\vlc.exe"" """&amp;master!B941&amp;""""</f>
        <v>"C:\Program Files\VideoLAN\VLC\vlc.exe" ""</v>
      </c>
    </row>
    <row r="942" spans="1:2" x14ac:dyDescent="0.55000000000000004">
      <c r="A942">
        <f>master!U942</f>
        <v>0</v>
      </c>
      <c r="B942" t="str">
        <f>"""C:\Program Files\VideoLAN\VLC\vlc.exe"" """&amp;master!B942&amp;""""</f>
        <v>"C:\Program Files\VideoLAN\VLC\vlc.exe" ""</v>
      </c>
    </row>
    <row r="943" spans="1:2" x14ac:dyDescent="0.55000000000000004">
      <c r="A943">
        <f>master!U943</f>
        <v>0</v>
      </c>
      <c r="B943" t="str">
        <f>"""C:\Program Files\VideoLAN\VLC\vlc.exe"" """&amp;master!B943&amp;""""</f>
        <v>"C:\Program Files\VideoLAN\VLC\vlc.exe" ""</v>
      </c>
    </row>
    <row r="944" spans="1:2" x14ac:dyDescent="0.55000000000000004">
      <c r="A944">
        <f>master!U944</f>
        <v>0</v>
      </c>
      <c r="B944" t="str">
        <f>"""C:\Program Files\VideoLAN\VLC\vlc.exe"" """&amp;master!B944&amp;""""</f>
        <v>"C:\Program Files\VideoLAN\VLC\vlc.exe" ""</v>
      </c>
    </row>
    <row r="945" spans="1:2" x14ac:dyDescent="0.55000000000000004">
      <c r="A945">
        <f>master!U945</f>
        <v>0</v>
      </c>
      <c r="B945" t="str">
        <f>"""C:\Program Files\VideoLAN\VLC\vlc.exe"" """&amp;master!B945&amp;""""</f>
        <v>"C:\Program Files\VideoLAN\VLC\vlc.exe" ""</v>
      </c>
    </row>
    <row r="946" spans="1:2" x14ac:dyDescent="0.55000000000000004">
      <c r="A946">
        <f>master!U946</f>
        <v>0</v>
      </c>
      <c r="B946" t="str">
        <f>"""C:\Program Files\VideoLAN\VLC\vlc.exe"" """&amp;master!B946&amp;""""</f>
        <v>"C:\Program Files\VideoLAN\VLC\vlc.exe" ""</v>
      </c>
    </row>
    <row r="947" spans="1:2" x14ac:dyDescent="0.55000000000000004">
      <c r="A947">
        <f>master!U947</f>
        <v>0</v>
      </c>
      <c r="B947" t="str">
        <f>"""C:\Program Files\VideoLAN\VLC\vlc.exe"" """&amp;master!B947&amp;""""</f>
        <v>"C:\Program Files\VideoLAN\VLC\vlc.exe" ""</v>
      </c>
    </row>
    <row r="948" spans="1:2" x14ac:dyDescent="0.55000000000000004">
      <c r="A948">
        <f>master!U948</f>
        <v>0</v>
      </c>
      <c r="B948" t="str">
        <f>"""C:\Program Files\VideoLAN\VLC\vlc.exe"" """&amp;master!B948&amp;""""</f>
        <v>"C:\Program Files\VideoLAN\VLC\vlc.exe" ""</v>
      </c>
    </row>
    <row r="949" spans="1:2" x14ac:dyDescent="0.55000000000000004">
      <c r="A949">
        <f>master!U949</f>
        <v>0</v>
      </c>
      <c r="B949" t="str">
        <f>"""C:\Program Files\VideoLAN\VLC\vlc.exe"" """&amp;master!B949&amp;""""</f>
        <v>"C:\Program Files\VideoLAN\VLC\vlc.exe" ""</v>
      </c>
    </row>
    <row r="950" spans="1:2" x14ac:dyDescent="0.55000000000000004">
      <c r="A950">
        <f>master!U950</f>
        <v>0</v>
      </c>
      <c r="B950" t="str">
        <f>"""C:\Program Files\VideoLAN\VLC\vlc.exe"" """&amp;master!B950&amp;""""</f>
        <v>"C:\Program Files\VideoLAN\VLC\vlc.exe" ""</v>
      </c>
    </row>
    <row r="951" spans="1:2" x14ac:dyDescent="0.55000000000000004">
      <c r="A951">
        <f>master!U951</f>
        <v>0</v>
      </c>
      <c r="B951" t="str">
        <f>"""C:\Program Files\VideoLAN\VLC\vlc.exe"" """&amp;master!B951&amp;""""</f>
        <v>"C:\Program Files\VideoLAN\VLC\vlc.exe" ""</v>
      </c>
    </row>
    <row r="952" spans="1:2" x14ac:dyDescent="0.55000000000000004">
      <c r="A952">
        <f>master!U952</f>
        <v>0</v>
      </c>
      <c r="B952" t="str">
        <f>"""C:\Program Files\VideoLAN\VLC\vlc.exe"" """&amp;master!B952&amp;""""</f>
        <v>"C:\Program Files\VideoLAN\VLC\vlc.exe" ""</v>
      </c>
    </row>
    <row r="953" spans="1:2" x14ac:dyDescent="0.55000000000000004">
      <c r="A953">
        <f>master!U953</f>
        <v>0</v>
      </c>
      <c r="B953" t="str">
        <f>"""C:\Program Files\VideoLAN\VLC\vlc.exe"" """&amp;master!B953&amp;""""</f>
        <v>"C:\Program Files\VideoLAN\VLC\vlc.exe" ""</v>
      </c>
    </row>
    <row r="954" spans="1:2" x14ac:dyDescent="0.55000000000000004">
      <c r="A954">
        <f>master!U954</f>
        <v>0</v>
      </c>
      <c r="B954" t="str">
        <f>"""C:\Program Files\VideoLAN\VLC\vlc.exe"" """&amp;master!B954&amp;""""</f>
        <v>"C:\Program Files\VideoLAN\VLC\vlc.exe" ""</v>
      </c>
    </row>
    <row r="955" spans="1:2" x14ac:dyDescent="0.55000000000000004">
      <c r="A955">
        <f>master!U955</f>
        <v>0</v>
      </c>
      <c r="B955" t="str">
        <f>"""C:\Program Files\VideoLAN\VLC\vlc.exe"" """&amp;master!B955&amp;""""</f>
        <v>"C:\Program Files\VideoLAN\VLC\vlc.exe" ""</v>
      </c>
    </row>
    <row r="956" spans="1:2" x14ac:dyDescent="0.55000000000000004">
      <c r="A956">
        <f>master!U956</f>
        <v>0</v>
      </c>
      <c r="B956" t="str">
        <f>"""C:\Program Files\VideoLAN\VLC\vlc.exe"" """&amp;master!B956&amp;""""</f>
        <v>"C:\Program Files\VideoLAN\VLC\vlc.exe" ""</v>
      </c>
    </row>
    <row r="957" spans="1:2" x14ac:dyDescent="0.55000000000000004">
      <c r="A957">
        <f>master!U957</f>
        <v>0</v>
      </c>
      <c r="B957" t="str">
        <f>"""C:\Program Files\VideoLAN\VLC\vlc.exe"" """&amp;master!B957&amp;""""</f>
        <v>"C:\Program Files\VideoLAN\VLC\vlc.exe" ""</v>
      </c>
    </row>
    <row r="958" spans="1:2" x14ac:dyDescent="0.55000000000000004">
      <c r="A958">
        <f>master!U958</f>
        <v>0</v>
      </c>
      <c r="B958" t="str">
        <f>"""C:\Program Files\VideoLAN\VLC\vlc.exe"" """&amp;master!B958&amp;""""</f>
        <v>"C:\Program Files\VideoLAN\VLC\vlc.exe" ""</v>
      </c>
    </row>
    <row r="959" spans="1:2" x14ac:dyDescent="0.55000000000000004">
      <c r="A959">
        <f>master!U959</f>
        <v>0</v>
      </c>
      <c r="B959" t="str">
        <f>"""C:\Program Files\VideoLAN\VLC\vlc.exe"" """&amp;master!B959&amp;""""</f>
        <v>"C:\Program Files\VideoLAN\VLC\vlc.exe" ""</v>
      </c>
    </row>
    <row r="960" spans="1:2" x14ac:dyDescent="0.55000000000000004">
      <c r="A960">
        <f>master!U960</f>
        <v>0</v>
      </c>
      <c r="B960" t="str">
        <f>"""C:\Program Files\VideoLAN\VLC\vlc.exe"" """&amp;master!B960&amp;""""</f>
        <v>"C:\Program Files\VideoLAN\VLC\vlc.exe" ""</v>
      </c>
    </row>
    <row r="961" spans="1:2" x14ac:dyDescent="0.55000000000000004">
      <c r="A961">
        <f>master!U961</f>
        <v>0</v>
      </c>
      <c r="B961" t="str">
        <f>"""C:\Program Files\VideoLAN\VLC\vlc.exe"" """&amp;master!B961&amp;""""</f>
        <v>"C:\Program Files\VideoLAN\VLC\vlc.exe" ""</v>
      </c>
    </row>
    <row r="962" spans="1:2" x14ac:dyDescent="0.55000000000000004">
      <c r="A962">
        <f>master!U962</f>
        <v>0</v>
      </c>
      <c r="B962" t="str">
        <f>"""C:\Program Files\VideoLAN\VLC\vlc.exe"" """&amp;master!B962&amp;""""</f>
        <v>"C:\Program Files\VideoLAN\VLC\vlc.exe" ""</v>
      </c>
    </row>
    <row r="963" spans="1:2" x14ac:dyDescent="0.55000000000000004">
      <c r="A963">
        <f>master!U963</f>
        <v>0</v>
      </c>
      <c r="B963" t="str">
        <f>"""C:\Program Files\VideoLAN\VLC\vlc.exe"" """&amp;master!B963&amp;""""</f>
        <v>"C:\Program Files\VideoLAN\VLC\vlc.exe" ""</v>
      </c>
    </row>
    <row r="964" spans="1:2" x14ac:dyDescent="0.55000000000000004">
      <c r="A964">
        <f>master!U964</f>
        <v>0</v>
      </c>
      <c r="B964" t="str">
        <f>"""C:\Program Files\VideoLAN\VLC\vlc.exe"" """&amp;master!B964&amp;""""</f>
        <v>"C:\Program Files\VideoLAN\VLC\vlc.exe" ""</v>
      </c>
    </row>
    <row r="965" spans="1:2" x14ac:dyDescent="0.55000000000000004">
      <c r="A965">
        <f>master!U965</f>
        <v>0</v>
      </c>
      <c r="B965" t="str">
        <f>"""C:\Program Files\VideoLAN\VLC\vlc.exe"" """&amp;master!B965&amp;""""</f>
        <v>"C:\Program Files\VideoLAN\VLC\vlc.exe" ""</v>
      </c>
    </row>
    <row r="966" spans="1:2" x14ac:dyDescent="0.55000000000000004">
      <c r="A966">
        <f>master!U966</f>
        <v>0</v>
      </c>
      <c r="B966" t="str">
        <f>"""C:\Program Files\VideoLAN\VLC\vlc.exe"" """&amp;master!B966&amp;""""</f>
        <v>"C:\Program Files\VideoLAN\VLC\vlc.exe" ""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706"/>
  <sheetViews>
    <sheetView workbookViewId="0">
      <selection activeCell="B21" sqref="B21"/>
    </sheetView>
  </sheetViews>
  <sheetFormatPr defaultRowHeight="14.4" x14ac:dyDescent="0.55000000000000004"/>
  <sheetData>
    <row r="1" spans="1:15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55000000000000004">
      <c r="A2">
        <v>500</v>
      </c>
      <c r="B2" t="s">
        <v>15</v>
      </c>
      <c r="C2" t="s">
        <v>16</v>
      </c>
      <c r="D2" t="s">
        <v>17</v>
      </c>
      <c r="E2" t="s">
        <v>18</v>
      </c>
      <c r="H2" t="s">
        <v>19</v>
      </c>
      <c r="I2" t="s">
        <v>20</v>
      </c>
      <c r="J2" t="s">
        <v>21</v>
      </c>
      <c r="K2" t="s">
        <v>22</v>
      </c>
      <c r="L2" t="s">
        <v>23</v>
      </c>
      <c r="M2" t="s">
        <v>24</v>
      </c>
      <c r="O2" t="s">
        <v>25</v>
      </c>
    </row>
    <row r="3" spans="1:15" x14ac:dyDescent="0.55000000000000004">
      <c r="A3">
        <v>501</v>
      </c>
      <c r="B3" t="s">
        <v>26</v>
      </c>
      <c r="C3" t="s">
        <v>27</v>
      </c>
      <c r="D3" t="s">
        <v>17</v>
      </c>
      <c r="E3" t="s">
        <v>18</v>
      </c>
      <c r="H3" t="s">
        <v>19</v>
      </c>
      <c r="I3" t="s">
        <v>20</v>
      </c>
      <c r="J3" t="s">
        <v>21</v>
      </c>
      <c r="K3" t="s">
        <v>28</v>
      </c>
      <c r="L3" t="s">
        <v>23</v>
      </c>
      <c r="M3" t="s">
        <v>24</v>
      </c>
      <c r="O3" t="s">
        <v>25</v>
      </c>
    </row>
    <row r="4" spans="1:15" x14ac:dyDescent="0.55000000000000004">
      <c r="A4">
        <v>502</v>
      </c>
      <c r="B4" t="s">
        <v>29</v>
      </c>
      <c r="C4" t="s">
        <v>30</v>
      </c>
      <c r="D4" t="s">
        <v>17</v>
      </c>
      <c r="E4" t="s">
        <v>18</v>
      </c>
      <c r="H4" t="s">
        <v>19</v>
      </c>
      <c r="I4" t="s">
        <v>20</v>
      </c>
      <c r="J4" t="s">
        <v>21</v>
      </c>
      <c r="K4" t="s">
        <v>28</v>
      </c>
      <c r="L4" t="s">
        <v>23</v>
      </c>
      <c r="M4" t="s">
        <v>24</v>
      </c>
      <c r="O4" t="s">
        <v>25</v>
      </c>
    </row>
    <row r="5" spans="1:15" x14ac:dyDescent="0.55000000000000004">
      <c r="A5">
        <v>503</v>
      </c>
      <c r="B5" t="s">
        <v>31</v>
      </c>
      <c r="C5" t="s">
        <v>32</v>
      </c>
      <c r="D5" t="s">
        <v>17</v>
      </c>
      <c r="E5" t="s">
        <v>18</v>
      </c>
      <c r="H5" t="s">
        <v>19</v>
      </c>
      <c r="I5" t="s">
        <v>20</v>
      </c>
      <c r="J5" t="s">
        <v>21</v>
      </c>
      <c r="K5" t="s">
        <v>28</v>
      </c>
      <c r="L5" t="s">
        <v>23</v>
      </c>
      <c r="M5" t="s">
        <v>24</v>
      </c>
      <c r="O5" t="s">
        <v>25</v>
      </c>
    </row>
    <row r="6" spans="1:15" x14ac:dyDescent="0.55000000000000004">
      <c r="A6">
        <v>504</v>
      </c>
      <c r="B6" t="s">
        <v>33</v>
      </c>
      <c r="C6" t="s">
        <v>34</v>
      </c>
      <c r="D6" t="s">
        <v>17</v>
      </c>
      <c r="E6" t="s">
        <v>18</v>
      </c>
      <c r="G6" t="s">
        <v>35</v>
      </c>
      <c r="H6" t="s">
        <v>19</v>
      </c>
      <c r="I6" t="s">
        <v>20</v>
      </c>
      <c r="J6" t="s">
        <v>21</v>
      </c>
      <c r="K6" t="s">
        <v>36</v>
      </c>
      <c r="L6" t="s">
        <v>23</v>
      </c>
      <c r="M6" t="s">
        <v>24</v>
      </c>
      <c r="O6" t="s">
        <v>25</v>
      </c>
    </row>
    <row r="7" spans="1:15" x14ac:dyDescent="0.55000000000000004">
      <c r="A7">
        <v>505</v>
      </c>
      <c r="B7" t="s">
        <v>37</v>
      </c>
      <c r="C7" t="s">
        <v>38</v>
      </c>
      <c r="D7" t="s">
        <v>17</v>
      </c>
      <c r="E7" t="s">
        <v>18</v>
      </c>
      <c r="G7" t="s">
        <v>35</v>
      </c>
      <c r="H7" t="s">
        <v>19</v>
      </c>
      <c r="I7" t="s">
        <v>20</v>
      </c>
      <c r="J7" t="s">
        <v>21</v>
      </c>
      <c r="K7" t="s">
        <v>36</v>
      </c>
      <c r="L7" t="s">
        <v>23</v>
      </c>
      <c r="M7" t="s">
        <v>24</v>
      </c>
      <c r="O7" t="s">
        <v>25</v>
      </c>
    </row>
    <row r="8" spans="1:15" x14ac:dyDescent="0.55000000000000004">
      <c r="A8">
        <v>506</v>
      </c>
      <c r="B8" t="s">
        <v>39</v>
      </c>
      <c r="C8" t="s">
        <v>40</v>
      </c>
      <c r="D8" t="s">
        <v>17</v>
      </c>
      <c r="E8" t="s">
        <v>18</v>
      </c>
      <c r="G8" t="s">
        <v>35</v>
      </c>
      <c r="H8" t="s">
        <v>19</v>
      </c>
      <c r="I8" t="s">
        <v>20</v>
      </c>
      <c r="J8" t="s">
        <v>21</v>
      </c>
      <c r="K8" t="s">
        <v>36</v>
      </c>
      <c r="L8" t="s">
        <v>23</v>
      </c>
      <c r="M8" t="s">
        <v>24</v>
      </c>
      <c r="O8" t="s">
        <v>25</v>
      </c>
    </row>
    <row r="9" spans="1:15" x14ac:dyDescent="0.55000000000000004">
      <c r="A9">
        <v>507</v>
      </c>
      <c r="B9" t="s">
        <v>41</v>
      </c>
      <c r="C9" t="s">
        <v>42</v>
      </c>
      <c r="D9" t="s">
        <v>17</v>
      </c>
      <c r="E9" t="s">
        <v>18</v>
      </c>
      <c r="G9" t="s">
        <v>35</v>
      </c>
      <c r="H9" t="s">
        <v>19</v>
      </c>
      <c r="I9" t="s">
        <v>20</v>
      </c>
      <c r="J9" t="s">
        <v>21</v>
      </c>
      <c r="K9" t="s">
        <v>36</v>
      </c>
      <c r="L9" t="s">
        <v>23</v>
      </c>
      <c r="M9" t="s">
        <v>24</v>
      </c>
      <c r="O9" t="s">
        <v>25</v>
      </c>
    </row>
    <row r="10" spans="1:15" x14ac:dyDescent="0.55000000000000004">
      <c r="A10">
        <v>508</v>
      </c>
      <c r="B10" t="s">
        <v>43</v>
      </c>
      <c r="C10" t="s">
        <v>44</v>
      </c>
      <c r="D10" t="s">
        <v>17</v>
      </c>
      <c r="E10" t="s">
        <v>18</v>
      </c>
      <c r="G10" t="s">
        <v>35</v>
      </c>
      <c r="H10" t="s">
        <v>19</v>
      </c>
      <c r="I10" t="s">
        <v>20</v>
      </c>
      <c r="J10" t="s">
        <v>21</v>
      </c>
      <c r="K10" t="s">
        <v>36</v>
      </c>
      <c r="L10" t="s">
        <v>23</v>
      </c>
      <c r="M10" t="s">
        <v>24</v>
      </c>
      <c r="O10" t="s">
        <v>25</v>
      </c>
    </row>
    <row r="11" spans="1:15" x14ac:dyDescent="0.55000000000000004">
      <c r="A11">
        <v>509</v>
      </c>
      <c r="B11" t="s">
        <v>45</v>
      </c>
      <c r="C11" t="s">
        <v>46</v>
      </c>
      <c r="D11" t="s">
        <v>17</v>
      </c>
      <c r="E11" t="s">
        <v>18</v>
      </c>
      <c r="G11" t="s">
        <v>35</v>
      </c>
      <c r="H11" t="s">
        <v>19</v>
      </c>
      <c r="I11" t="s">
        <v>20</v>
      </c>
      <c r="J11" t="s">
        <v>21</v>
      </c>
      <c r="K11" t="s">
        <v>36</v>
      </c>
      <c r="L11" t="s">
        <v>23</v>
      </c>
      <c r="M11" t="s">
        <v>24</v>
      </c>
      <c r="O11" t="s">
        <v>25</v>
      </c>
    </row>
    <row r="12" spans="1:15" x14ac:dyDescent="0.55000000000000004">
      <c r="A12">
        <v>510</v>
      </c>
      <c r="B12" t="s">
        <v>47</v>
      </c>
      <c r="C12" t="s">
        <v>48</v>
      </c>
      <c r="D12" t="s">
        <v>17</v>
      </c>
      <c r="E12" t="s">
        <v>18</v>
      </c>
      <c r="G12" t="s">
        <v>35</v>
      </c>
      <c r="H12" t="s">
        <v>19</v>
      </c>
      <c r="I12" t="s">
        <v>20</v>
      </c>
      <c r="J12" t="s">
        <v>21</v>
      </c>
      <c r="K12" t="s">
        <v>36</v>
      </c>
      <c r="L12" t="s">
        <v>23</v>
      </c>
      <c r="M12" t="s">
        <v>24</v>
      </c>
      <c r="O12" t="s">
        <v>25</v>
      </c>
    </row>
    <row r="13" spans="1:15" x14ac:dyDescent="0.55000000000000004">
      <c r="A13">
        <v>511</v>
      </c>
      <c r="B13" t="s">
        <v>49</v>
      </c>
      <c r="C13" t="s">
        <v>50</v>
      </c>
      <c r="D13" t="s">
        <v>17</v>
      </c>
      <c r="E13" t="s">
        <v>18</v>
      </c>
      <c r="G13" t="s">
        <v>35</v>
      </c>
      <c r="H13" t="s">
        <v>19</v>
      </c>
      <c r="I13" t="s">
        <v>20</v>
      </c>
      <c r="J13" t="s">
        <v>21</v>
      </c>
      <c r="K13" t="s">
        <v>36</v>
      </c>
      <c r="L13" t="s">
        <v>23</v>
      </c>
      <c r="M13" t="s">
        <v>24</v>
      </c>
      <c r="O13" t="s">
        <v>25</v>
      </c>
    </row>
    <row r="14" spans="1:15" x14ac:dyDescent="0.55000000000000004">
      <c r="A14">
        <v>512</v>
      </c>
      <c r="B14" t="s">
        <v>51</v>
      </c>
      <c r="C14" t="s">
        <v>52</v>
      </c>
      <c r="D14" t="s">
        <v>17</v>
      </c>
      <c r="E14" t="s">
        <v>18</v>
      </c>
      <c r="G14" t="s">
        <v>35</v>
      </c>
      <c r="H14" t="s">
        <v>19</v>
      </c>
      <c r="I14" t="s">
        <v>20</v>
      </c>
      <c r="J14" t="s">
        <v>21</v>
      </c>
      <c r="K14" t="s">
        <v>36</v>
      </c>
      <c r="L14" t="s">
        <v>23</v>
      </c>
      <c r="M14" t="s">
        <v>24</v>
      </c>
      <c r="O14" t="s">
        <v>25</v>
      </c>
    </row>
    <row r="15" spans="1:15" x14ac:dyDescent="0.55000000000000004">
      <c r="A15">
        <v>513</v>
      </c>
      <c r="B15" t="s">
        <v>53</v>
      </c>
      <c r="C15" t="s">
        <v>54</v>
      </c>
      <c r="D15" t="s">
        <v>17</v>
      </c>
      <c r="E15" t="s">
        <v>18</v>
      </c>
      <c r="H15" t="s">
        <v>19</v>
      </c>
      <c r="I15" t="s">
        <v>20</v>
      </c>
      <c r="J15" t="s">
        <v>21</v>
      </c>
      <c r="K15" t="s">
        <v>28</v>
      </c>
      <c r="L15" t="s">
        <v>23</v>
      </c>
      <c r="M15" t="s">
        <v>24</v>
      </c>
      <c r="O15" t="s">
        <v>25</v>
      </c>
    </row>
    <row r="16" spans="1:15" x14ac:dyDescent="0.55000000000000004">
      <c r="A16">
        <v>514</v>
      </c>
      <c r="B16" t="s">
        <v>55</v>
      </c>
      <c r="C16" t="s">
        <v>56</v>
      </c>
      <c r="D16" t="s">
        <v>17</v>
      </c>
      <c r="E16" t="s">
        <v>18</v>
      </c>
      <c r="H16" t="s">
        <v>19</v>
      </c>
      <c r="I16" t="s">
        <v>20</v>
      </c>
      <c r="J16" t="s">
        <v>21</v>
      </c>
      <c r="K16" t="s">
        <v>57</v>
      </c>
      <c r="L16" t="s">
        <v>23</v>
      </c>
      <c r="M16" t="s">
        <v>24</v>
      </c>
      <c r="O16" t="s">
        <v>25</v>
      </c>
    </row>
    <row r="17" spans="1:15" x14ac:dyDescent="0.55000000000000004">
      <c r="A17">
        <v>515</v>
      </c>
      <c r="B17" t="s">
        <v>58</v>
      </c>
      <c r="C17" t="s">
        <v>59</v>
      </c>
      <c r="D17" t="s">
        <v>17</v>
      </c>
      <c r="E17" t="s">
        <v>18</v>
      </c>
      <c r="H17" t="s">
        <v>19</v>
      </c>
      <c r="I17" t="s">
        <v>20</v>
      </c>
      <c r="J17" t="s">
        <v>21</v>
      </c>
      <c r="K17" t="s">
        <v>28</v>
      </c>
      <c r="L17" t="s">
        <v>23</v>
      </c>
      <c r="M17" t="s">
        <v>24</v>
      </c>
      <c r="O17" t="s">
        <v>25</v>
      </c>
    </row>
    <row r="18" spans="1:15" x14ac:dyDescent="0.55000000000000004">
      <c r="A18">
        <v>516</v>
      </c>
      <c r="B18" t="s">
        <v>60</v>
      </c>
      <c r="C18" t="s">
        <v>61</v>
      </c>
      <c r="D18" t="s">
        <v>17</v>
      </c>
      <c r="E18" t="s">
        <v>18</v>
      </c>
      <c r="H18" t="s">
        <v>19</v>
      </c>
      <c r="I18" t="s">
        <v>20</v>
      </c>
      <c r="J18" t="s">
        <v>21</v>
      </c>
      <c r="K18" t="s">
        <v>62</v>
      </c>
      <c r="L18" t="s">
        <v>23</v>
      </c>
      <c r="M18" t="s">
        <v>24</v>
      </c>
      <c r="O18" t="s">
        <v>25</v>
      </c>
    </row>
    <row r="19" spans="1:15" x14ac:dyDescent="0.55000000000000004">
      <c r="A19">
        <v>517</v>
      </c>
      <c r="B19" t="s">
        <v>63</v>
      </c>
      <c r="C19" t="s">
        <v>61</v>
      </c>
      <c r="D19" t="s">
        <v>17</v>
      </c>
      <c r="E19" t="s">
        <v>18</v>
      </c>
      <c r="H19" t="s">
        <v>19</v>
      </c>
      <c r="I19" t="s">
        <v>20</v>
      </c>
      <c r="J19" t="s">
        <v>21</v>
      </c>
      <c r="K19" t="s">
        <v>64</v>
      </c>
      <c r="L19" t="s">
        <v>23</v>
      </c>
      <c r="M19" t="s">
        <v>24</v>
      </c>
      <c r="O19" t="s">
        <v>25</v>
      </c>
    </row>
    <row r="20" spans="1:15" x14ac:dyDescent="0.55000000000000004">
      <c r="A20">
        <v>518</v>
      </c>
      <c r="B20" t="s">
        <v>65</v>
      </c>
      <c r="C20" t="s">
        <v>66</v>
      </c>
      <c r="D20" t="s">
        <v>17</v>
      </c>
      <c r="E20" t="s">
        <v>18</v>
      </c>
      <c r="H20" t="s">
        <v>19</v>
      </c>
      <c r="I20" t="s">
        <v>20</v>
      </c>
      <c r="J20" t="s">
        <v>21</v>
      </c>
      <c r="K20" t="s">
        <v>28</v>
      </c>
      <c r="L20" t="s">
        <v>23</v>
      </c>
      <c r="M20" t="s">
        <v>24</v>
      </c>
      <c r="O20" t="s">
        <v>25</v>
      </c>
    </row>
    <row r="21" spans="1:15" x14ac:dyDescent="0.55000000000000004">
      <c r="A21">
        <v>519</v>
      </c>
      <c r="B21" t="s">
        <v>67</v>
      </c>
      <c r="C21" t="s">
        <v>68</v>
      </c>
      <c r="D21" t="s">
        <v>17</v>
      </c>
      <c r="E21" t="s">
        <v>18</v>
      </c>
      <c r="H21" t="s">
        <v>19</v>
      </c>
      <c r="I21" t="s">
        <v>20</v>
      </c>
      <c r="J21" t="s">
        <v>21</v>
      </c>
      <c r="K21" t="s">
        <v>69</v>
      </c>
      <c r="L21" t="s">
        <v>23</v>
      </c>
      <c r="M21" t="s">
        <v>24</v>
      </c>
      <c r="O21" t="s">
        <v>25</v>
      </c>
    </row>
    <row r="22" spans="1:15" x14ac:dyDescent="0.55000000000000004">
      <c r="A22">
        <v>520</v>
      </c>
      <c r="B22" t="s">
        <v>70</v>
      </c>
      <c r="C22" t="s">
        <v>71</v>
      </c>
      <c r="D22" t="s">
        <v>17</v>
      </c>
      <c r="E22" t="s">
        <v>18</v>
      </c>
      <c r="H22" t="s">
        <v>19</v>
      </c>
      <c r="I22" t="s">
        <v>20</v>
      </c>
      <c r="J22" t="s">
        <v>21</v>
      </c>
      <c r="K22" t="s">
        <v>28</v>
      </c>
      <c r="L22" t="s">
        <v>23</v>
      </c>
      <c r="M22" t="s">
        <v>24</v>
      </c>
      <c r="O22" t="s">
        <v>25</v>
      </c>
    </row>
    <row r="23" spans="1:15" x14ac:dyDescent="0.55000000000000004">
      <c r="A23">
        <v>521</v>
      </c>
      <c r="B23" t="s">
        <v>72</v>
      </c>
      <c r="C23" t="s">
        <v>73</v>
      </c>
      <c r="D23" t="s">
        <v>17</v>
      </c>
      <c r="E23" t="s">
        <v>18</v>
      </c>
      <c r="H23" t="s">
        <v>19</v>
      </c>
      <c r="I23" t="s">
        <v>20</v>
      </c>
      <c r="J23" t="s">
        <v>21</v>
      </c>
      <c r="K23" t="s">
        <v>28</v>
      </c>
      <c r="L23" t="s">
        <v>23</v>
      </c>
      <c r="M23" t="s">
        <v>24</v>
      </c>
      <c r="O23" t="s">
        <v>25</v>
      </c>
    </row>
    <row r="24" spans="1:15" x14ac:dyDescent="0.55000000000000004">
      <c r="A24">
        <v>522</v>
      </c>
      <c r="B24" t="s">
        <v>74</v>
      </c>
      <c r="C24" t="s">
        <v>75</v>
      </c>
      <c r="D24" t="s">
        <v>17</v>
      </c>
      <c r="E24" t="s">
        <v>18</v>
      </c>
      <c r="H24" t="s">
        <v>19</v>
      </c>
      <c r="I24" t="s">
        <v>20</v>
      </c>
      <c r="J24" t="s">
        <v>21</v>
      </c>
      <c r="K24" t="s">
        <v>76</v>
      </c>
      <c r="L24" t="s">
        <v>23</v>
      </c>
      <c r="M24" t="s">
        <v>24</v>
      </c>
      <c r="O24" t="s">
        <v>25</v>
      </c>
    </row>
    <row r="25" spans="1:15" x14ac:dyDescent="0.55000000000000004">
      <c r="A25">
        <v>523</v>
      </c>
      <c r="B25" t="s">
        <v>77</v>
      </c>
      <c r="C25" t="s">
        <v>75</v>
      </c>
      <c r="D25" t="s">
        <v>17</v>
      </c>
      <c r="E25" t="s">
        <v>18</v>
      </c>
      <c r="H25" t="s">
        <v>19</v>
      </c>
      <c r="I25" t="s">
        <v>20</v>
      </c>
      <c r="J25" t="s">
        <v>21</v>
      </c>
      <c r="K25" t="s">
        <v>57</v>
      </c>
      <c r="L25" t="s">
        <v>23</v>
      </c>
      <c r="M25" t="s">
        <v>24</v>
      </c>
      <c r="O25" t="s">
        <v>25</v>
      </c>
    </row>
    <row r="26" spans="1:15" x14ac:dyDescent="0.55000000000000004">
      <c r="A26">
        <v>524</v>
      </c>
      <c r="B26" t="s">
        <v>78</v>
      </c>
      <c r="C26" t="s">
        <v>79</v>
      </c>
      <c r="D26" t="s">
        <v>17</v>
      </c>
      <c r="E26" t="s">
        <v>18</v>
      </c>
      <c r="H26" t="s">
        <v>19</v>
      </c>
      <c r="I26" t="s">
        <v>20</v>
      </c>
      <c r="J26" t="s">
        <v>21</v>
      </c>
      <c r="K26" t="s">
        <v>28</v>
      </c>
      <c r="L26" t="s">
        <v>23</v>
      </c>
      <c r="M26" t="s">
        <v>24</v>
      </c>
      <c r="O26" t="s">
        <v>25</v>
      </c>
    </row>
    <row r="27" spans="1:15" x14ac:dyDescent="0.55000000000000004">
      <c r="A27">
        <v>525</v>
      </c>
      <c r="B27" t="s">
        <v>80</v>
      </c>
      <c r="C27" t="s">
        <v>81</v>
      </c>
      <c r="D27" t="s">
        <v>17</v>
      </c>
      <c r="E27" t="s">
        <v>18</v>
      </c>
      <c r="H27" t="s">
        <v>19</v>
      </c>
      <c r="I27" t="s">
        <v>20</v>
      </c>
      <c r="J27" t="s">
        <v>21</v>
      </c>
      <c r="K27" t="s">
        <v>82</v>
      </c>
      <c r="L27" t="s">
        <v>23</v>
      </c>
      <c r="M27" t="s">
        <v>24</v>
      </c>
      <c r="O27" t="s">
        <v>25</v>
      </c>
    </row>
    <row r="28" spans="1:15" x14ac:dyDescent="0.55000000000000004">
      <c r="A28">
        <v>526</v>
      </c>
      <c r="B28" t="s">
        <v>83</v>
      </c>
      <c r="C28" t="s">
        <v>84</v>
      </c>
      <c r="D28" t="s">
        <v>17</v>
      </c>
      <c r="E28" t="s">
        <v>18</v>
      </c>
      <c r="H28" t="s">
        <v>19</v>
      </c>
      <c r="I28" t="s">
        <v>20</v>
      </c>
      <c r="J28" t="s">
        <v>21</v>
      </c>
      <c r="K28" t="s">
        <v>82</v>
      </c>
      <c r="L28" t="s">
        <v>23</v>
      </c>
      <c r="M28" t="s">
        <v>24</v>
      </c>
      <c r="O28" t="s">
        <v>25</v>
      </c>
    </row>
    <row r="29" spans="1:15" x14ac:dyDescent="0.55000000000000004">
      <c r="A29">
        <v>527</v>
      </c>
      <c r="B29" t="s">
        <v>85</v>
      </c>
      <c r="C29" t="s">
        <v>86</v>
      </c>
      <c r="D29" t="s">
        <v>17</v>
      </c>
      <c r="E29" t="s">
        <v>18</v>
      </c>
      <c r="H29" t="s">
        <v>19</v>
      </c>
      <c r="I29" t="s">
        <v>20</v>
      </c>
      <c r="J29" t="s">
        <v>21</v>
      </c>
      <c r="K29" t="s">
        <v>28</v>
      </c>
      <c r="L29" t="s">
        <v>23</v>
      </c>
      <c r="M29" t="s">
        <v>24</v>
      </c>
      <c r="O29" t="s">
        <v>25</v>
      </c>
    </row>
    <row r="30" spans="1:15" x14ac:dyDescent="0.55000000000000004">
      <c r="A30">
        <v>528</v>
      </c>
      <c r="B30" t="s">
        <v>87</v>
      </c>
      <c r="C30" t="s">
        <v>88</v>
      </c>
      <c r="D30" t="s">
        <v>17</v>
      </c>
      <c r="E30" t="s">
        <v>18</v>
      </c>
      <c r="H30" t="s">
        <v>19</v>
      </c>
      <c r="I30" t="s">
        <v>20</v>
      </c>
      <c r="J30" t="s">
        <v>21</v>
      </c>
      <c r="K30" t="s">
        <v>57</v>
      </c>
      <c r="L30" t="s">
        <v>23</v>
      </c>
      <c r="M30" t="s">
        <v>24</v>
      </c>
      <c r="O30" t="s">
        <v>25</v>
      </c>
    </row>
    <row r="31" spans="1:15" x14ac:dyDescent="0.55000000000000004">
      <c r="A31">
        <v>529</v>
      </c>
      <c r="B31" t="s">
        <v>89</v>
      </c>
      <c r="C31" t="s">
        <v>90</v>
      </c>
      <c r="D31" t="s">
        <v>17</v>
      </c>
      <c r="E31" t="s">
        <v>18</v>
      </c>
      <c r="G31" t="s">
        <v>91</v>
      </c>
      <c r="H31" t="s">
        <v>19</v>
      </c>
      <c r="I31" t="s">
        <v>20</v>
      </c>
      <c r="J31" t="s">
        <v>21</v>
      </c>
      <c r="K31" t="s">
        <v>28</v>
      </c>
      <c r="L31" t="s">
        <v>23</v>
      </c>
      <c r="M31" t="s">
        <v>24</v>
      </c>
      <c r="O31" t="s">
        <v>25</v>
      </c>
    </row>
    <row r="32" spans="1:15" x14ac:dyDescent="0.55000000000000004">
      <c r="A32">
        <v>530</v>
      </c>
      <c r="B32" t="s">
        <v>92</v>
      </c>
      <c r="C32" t="s">
        <v>93</v>
      </c>
      <c r="D32" t="s">
        <v>17</v>
      </c>
      <c r="E32" t="s">
        <v>18</v>
      </c>
      <c r="G32" t="s">
        <v>91</v>
      </c>
      <c r="H32" t="s">
        <v>19</v>
      </c>
      <c r="I32" t="s">
        <v>20</v>
      </c>
      <c r="J32" t="s">
        <v>21</v>
      </c>
      <c r="K32" t="s">
        <v>28</v>
      </c>
      <c r="L32" t="s">
        <v>23</v>
      </c>
      <c r="M32" t="s">
        <v>24</v>
      </c>
      <c r="O32" t="s">
        <v>25</v>
      </c>
    </row>
    <row r="33" spans="1:15" x14ac:dyDescent="0.55000000000000004">
      <c r="A33">
        <v>531</v>
      </c>
      <c r="B33" t="s">
        <v>94</v>
      </c>
      <c r="C33" t="s">
        <v>95</v>
      </c>
      <c r="D33" t="s">
        <v>17</v>
      </c>
      <c r="E33" t="s">
        <v>18</v>
      </c>
      <c r="G33" t="s">
        <v>91</v>
      </c>
      <c r="H33" t="s">
        <v>19</v>
      </c>
      <c r="I33" t="s">
        <v>20</v>
      </c>
      <c r="J33" t="s">
        <v>21</v>
      </c>
      <c r="K33" t="s">
        <v>28</v>
      </c>
      <c r="L33" t="s">
        <v>23</v>
      </c>
      <c r="M33" t="s">
        <v>24</v>
      </c>
      <c r="O33" t="s">
        <v>25</v>
      </c>
    </row>
    <row r="34" spans="1:15" x14ac:dyDescent="0.55000000000000004">
      <c r="A34">
        <v>532</v>
      </c>
      <c r="B34" t="s">
        <v>96</v>
      </c>
      <c r="C34" t="s">
        <v>97</v>
      </c>
      <c r="D34" t="s">
        <v>17</v>
      </c>
      <c r="E34" t="s">
        <v>18</v>
      </c>
      <c r="G34" t="s">
        <v>91</v>
      </c>
      <c r="H34" t="s">
        <v>19</v>
      </c>
      <c r="I34" t="s">
        <v>20</v>
      </c>
      <c r="J34" t="s">
        <v>21</v>
      </c>
      <c r="K34" t="s">
        <v>28</v>
      </c>
      <c r="L34" t="s">
        <v>23</v>
      </c>
      <c r="M34" t="s">
        <v>24</v>
      </c>
      <c r="O34" t="s">
        <v>25</v>
      </c>
    </row>
    <row r="35" spans="1:15" x14ac:dyDescent="0.55000000000000004">
      <c r="A35">
        <v>533</v>
      </c>
      <c r="B35" t="s">
        <v>98</v>
      </c>
      <c r="C35" t="s">
        <v>99</v>
      </c>
      <c r="D35" t="s">
        <v>17</v>
      </c>
      <c r="E35" t="s">
        <v>18</v>
      </c>
      <c r="G35" t="s">
        <v>91</v>
      </c>
      <c r="H35" t="s">
        <v>19</v>
      </c>
      <c r="I35" t="s">
        <v>20</v>
      </c>
      <c r="J35" t="s">
        <v>21</v>
      </c>
      <c r="K35" t="s">
        <v>28</v>
      </c>
      <c r="L35" t="s">
        <v>23</v>
      </c>
      <c r="M35" t="s">
        <v>24</v>
      </c>
      <c r="O35" t="s">
        <v>25</v>
      </c>
    </row>
    <row r="36" spans="1:15" x14ac:dyDescent="0.55000000000000004">
      <c r="A36">
        <v>534</v>
      </c>
      <c r="B36" t="s">
        <v>100</v>
      </c>
      <c r="C36" t="s">
        <v>101</v>
      </c>
      <c r="D36" t="s">
        <v>17</v>
      </c>
      <c r="E36" t="s">
        <v>18</v>
      </c>
      <c r="G36" t="s">
        <v>91</v>
      </c>
      <c r="H36" t="s">
        <v>19</v>
      </c>
      <c r="I36" t="s">
        <v>20</v>
      </c>
      <c r="J36" t="s">
        <v>21</v>
      </c>
      <c r="K36" t="s">
        <v>28</v>
      </c>
      <c r="L36" t="s">
        <v>23</v>
      </c>
      <c r="M36" t="s">
        <v>24</v>
      </c>
      <c r="O36" t="s">
        <v>25</v>
      </c>
    </row>
    <row r="37" spans="1:15" x14ac:dyDescent="0.55000000000000004">
      <c r="A37">
        <v>535</v>
      </c>
      <c r="B37" t="s">
        <v>102</v>
      </c>
      <c r="C37" t="s">
        <v>103</v>
      </c>
      <c r="D37" t="s">
        <v>17</v>
      </c>
      <c r="E37" t="s">
        <v>18</v>
      </c>
      <c r="G37" t="s">
        <v>91</v>
      </c>
      <c r="H37" t="s">
        <v>19</v>
      </c>
      <c r="I37" t="s">
        <v>20</v>
      </c>
      <c r="J37" t="s">
        <v>21</v>
      </c>
      <c r="K37" t="s">
        <v>28</v>
      </c>
      <c r="L37" t="s">
        <v>23</v>
      </c>
      <c r="M37" t="s">
        <v>24</v>
      </c>
      <c r="O37" t="s">
        <v>25</v>
      </c>
    </row>
    <row r="38" spans="1:15" x14ac:dyDescent="0.55000000000000004">
      <c r="A38">
        <v>536</v>
      </c>
      <c r="B38" t="s">
        <v>104</v>
      </c>
      <c r="C38" t="s">
        <v>105</v>
      </c>
      <c r="D38" t="s">
        <v>17</v>
      </c>
      <c r="E38" t="s">
        <v>18</v>
      </c>
      <c r="G38" t="s">
        <v>91</v>
      </c>
      <c r="H38" t="s">
        <v>19</v>
      </c>
      <c r="I38" t="s">
        <v>20</v>
      </c>
      <c r="J38" t="s">
        <v>21</v>
      </c>
      <c r="K38" t="s">
        <v>28</v>
      </c>
      <c r="L38" t="s">
        <v>23</v>
      </c>
      <c r="M38" t="s">
        <v>24</v>
      </c>
      <c r="O38" t="s">
        <v>25</v>
      </c>
    </row>
    <row r="39" spans="1:15" x14ac:dyDescent="0.55000000000000004">
      <c r="A39">
        <v>537</v>
      </c>
      <c r="B39" t="s">
        <v>106</v>
      </c>
      <c r="C39" t="s">
        <v>107</v>
      </c>
      <c r="D39" t="s">
        <v>17</v>
      </c>
      <c r="E39" t="s">
        <v>18</v>
      </c>
      <c r="G39" t="s">
        <v>91</v>
      </c>
      <c r="H39" t="s">
        <v>19</v>
      </c>
      <c r="I39" t="s">
        <v>20</v>
      </c>
      <c r="J39" t="s">
        <v>21</v>
      </c>
      <c r="K39" t="s">
        <v>28</v>
      </c>
      <c r="L39" t="s">
        <v>23</v>
      </c>
      <c r="M39" t="s">
        <v>24</v>
      </c>
      <c r="O39" t="s">
        <v>25</v>
      </c>
    </row>
    <row r="40" spans="1:15" x14ac:dyDescent="0.55000000000000004">
      <c r="A40">
        <v>538</v>
      </c>
      <c r="B40" t="s">
        <v>108</v>
      </c>
      <c r="C40" t="s">
        <v>109</v>
      </c>
      <c r="D40" t="s">
        <v>17</v>
      </c>
      <c r="E40" t="s">
        <v>18</v>
      </c>
      <c r="G40" t="s">
        <v>91</v>
      </c>
      <c r="H40" t="s">
        <v>19</v>
      </c>
      <c r="I40" t="s">
        <v>20</v>
      </c>
      <c r="J40" t="s">
        <v>21</v>
      </c>
      <c r="K40" t="s">
        <v>28</v>
      </c>
      <c r="L40" t="s">
        <v>23</v>
      </c>
      <c r="M40" t="s">
        <v>24</v>
      </c>
      <c r="O40" t="s">
        <v>25</v>
      </c>
    </row>
    <row r="41" spans="1:15" x14ac:dyDescent="0.55000000000000004">
      <c r="A41">
        <v>539</v>
      </c>
      <c r="B41" t="s">
        <v>110</v>
      </c>
      <c r="C41" t="s">
        <v>111</v>
      </c>
      <c r="D41" t="s">
        <v>17</v>
      </c>
      <c r="E41" t="s">
        <v>18</v>
      </c>
      <c r="G41" t="s">
        <v>91</v>
      </c>
      <c r="H41" t="s">
        <v>19</v>
      </c>
      <c r="I41" t="s">
        <v>20</v>
      </c>
      <c r="J41" t="s">
        <v>21</v>
      </c>
      <c r="K41" t="s">
        <v>28</v>
      </c>
      <c r="L41" t="s">
        <v>23</v>
      </c>
      <c r="M41" t="s">
        <v>24</v>
      </c>
      <c r="O41" t="s">
        <v>25</v>
      </c>
    </row>
    <row r="42" spans="1:15" x14ac:dyDescent="0.55000000000000004">
      <c r="A42">
        <v>540</v>
      </c>
      <c r="B42" t="s">
        <v>112</v>
      </c>
      <c r="C42" t="s">
        <v>113</v>
      </c>
      <c r="D42" t="s">
        <v>17</v>
      </c>
      <c r="E42" t="s">
        <v>18</v>
      </c>
      <c r="G42" t="s">
        <v>91</v>
      </c>
      <c r="H42" t="s">
        <v>19</v>
      </c>
      <c r="I42" t="s">
        <v>20</v>
      </c>
      <c r="J42" t="s">
        <v>21</v>
      </c>
      <c r="K42" t="s">
        <v>28</v>
      </c>
      <c r="L42" t="s">
        <v>23</v>
      </c>
      <c r="M42" t="s">
        <v>24</v>
      </c>
      <c r="O42" t="s">
        <v>25</v>
      </c>
    </row>
    <row r="43" spans="1:15" x14ac:dyDescent="0.55000000000000004">
      <c r="A43">
        <v>541</v>
      </c>
      <c r="B43" t="s">
        <v>114</v>
      </c>
      <c r="C43" t="s">
        <v>113</v>
      </c>
      <c r="D43" t="s">
        <v>17</v>
      </c>
      <c r="E43" t="s">
        <v>18</v>
      </c>
      <c r="G43" t="s">
        <v>91</v>
      </c>
      <c r="H43" t="s">
        <v>19</v>
      </c>
      <c r="I43" t="s">
        <v>20</v>
      </c>
      <c r="J43" t="s">
        <v>21</v>
      </c>
      <c r="K43" t="s">
        <v>28</v>
      </c>
      <c r="L43" t="s">
        <v>23</v>
      </c>
      <c r="M43" t="s">
        <v>24</v>
      </c>
      <c r="O43" t="s">
        <v>25</v>
      </c>
    </row>
    <row r="44" spans="1:15" x14ac:dyDescent="0.55000000000000004">
      <c r="A44">
        <v>542</v>
      </c>
      <c r="B44" t="s">
        <v>115</v>
      </c>
      <c r="C44" t="s">
        <v>116</v>
      </c>
      <c r="D44" t="s">
        <v>17</v>
      </c>
      <c r="E44" t="s">
        <v>18</v>
      </c>
      <c r="G44" t="s">
        <v>91</v>
      </c>
      <c r="H44" t="s">
        <v>19</v>
      </c>
      <c r="I44" t="s">
        <v>20</v>
      </c>
      <c r="J44" t="s">
        <v>21</v>
      </c>
      <c r="K44" t="s">
        <v>28</v>
      </c>
      <c r="L44" t="s">
        <v>23</v>
      </c>
      <c r="M44" t="s">
        <v>24</v>
      </c>
      <c r="O44" t="s">
        <v>25</v>
      </c>
    </row>
    <row r="45" spans="1:15" x14ac:dyDescent="0.55000000000000004">
      <c r="A45">
        <v>543</v>
      </c>
      <c r="B45" t="s">
        <v>117</v>
      </c>
      <c r="C45" t="s">
        <v>118</v>
      </c>
      <c r="D45" t="s">
        <v>17</v>
      </c>
      <c r="E45" t="s">
        <v>18</v>
      </c>
      <c r="G45" t="s">
        <v>91</v>
      </c>
      <c r="H45" t="s">
        <v>19</v>
      </c>
      <c r="I45" t="s">
        <v>20</v>
      </c>
      <c r="J45" t="s">
        <v>21</v>
      </c>
      <c r="K45" t="s">
        <v>28</v>
      </c>
      <c r="L45" t="s">
        <v>23</v>
      </c>
      <c r="M45" t="s">
        <v>24</v>
      </c>
      <c r="O45" t="s">
        <v>25</v>
      </c>
    </row>
    <row r="46" spans="1:15" x14ac:dyDescent="0.55000000000000004">
      <c r="A46">
        <v>544</v>
      </c>
      <c r="B46" t="s">
        <v>119</v>
      </c>
      <c r="C46" t="s">
        <v>120</v>
      </c>
      <c r="D46" t="s">
        <v>17</v>
      </c>
      <c r="E46" t="s">
        <v>18</v>
      </c>
      <c r="G46" t="s">
        <v>91</v>
      </c>
      <c r="H46" t="s">
        <v>19</v>
      </c>
      <c r="I46" t="s">
        <v>20</v>
      </c>
      <c r="J46" t="s">
        <v>21</v>
      </c>
      <c r="K46" t="s">
        <v>28</v>
      </c>
      <c r="L46" t="s">
        <v>23</v>
      </c>
      <c r="M46" t="s">
        <v>24</v>
      </c>
      <c r="O46" t="s">
        <v>25</v>
      </c>
    </row>
    <row r="47" spans="1:15" x14ac:dyDescent="0.55000000000000004">
      <c r="A47">
        <v>545</v>
      </c>
      <c r="B47" t="s">
        <v>121</v>
      </c>
      <c r="C47" t="s">
        <v>122</v>
      </c>
      <c r="D47" t="s">
        <v>17</v>
      </c>
      <c r="E47" t="s">
        <v>18</v>
      </c>
      <c r="G47" t="s">
        <v>91</v>
      </c>
      <c r="H47" t="s">
        <v>19</v>
      </c>
      <c r="I47" t="s">
        <v>20</v>
      </c>
      <c r="J47" t="s">
        <v>21</v>
      </c>
      <c r="K47" t="s">
        <v>28</v>
      </c>
      <c r="L47" t="s">
        <v>23</v>
      </c>
      <c r="M47" t="s">
        <v>24</v>
      </c>
      <c r="O47" t="s">
        <v>25</v>
      </c>
    </row>
    <row r="48" spans="1:15" x14ac:dyDescent="0.55000000000000004">
      <c r="A48">
        <v>546</v>
      </c>
      <c r="B48" t="s">
        <v>123</v>
      </c>
      <c r="C48" t="s">
        <v>124</v>
      </c>
      <c r="D48" t="s">
        <v>17</v>
      </c>
      <c r="E48" t="s">
        <v>18</v>
      </c>
      <c r="G48" t="s">
        <v>91</v>
      </c>
      <c r="H48" t="s">
        <v>19</v>
      </c>
      <c r="I48" t="s">
        <v>20</v>
      </c>
      <c r="J48" t="s">
        <v>21</v>
      </c>
      <c r="K48" t="s">
        <v>28</v>
      </c>
      <c r="L48" t="s">
        <v>23</v>
      </c>
      <c r="M48" t="s">
        <v>24</v>
      </c>
      <c r="O48" t="s">
        <v>25</v>
      </c>
    </row>
    <row r="49" spans="1:15" x14ac:dyDescent="0.55000000000000004">
      <c r="A49">
        <v>547</v>
      </c>
      <c r="B49" t="s">
        <v>125</v>
      </c>
      <c r="C49" t="s">
        <v>126</v>
      </c>
      <c r="D49" t="s">
        <v>17</v>
      </c>
      <c r="E49" t="s">
        <v>18</v>
      </c>
      <c r="G49" t="s">
        <v>91</v>
      </c>
      <c r="H49" t="s">
        <v>19</v>
      </c>
      <c r="I49" t="s">
        <v>20</v>
      </c>
      <c r="J49" t="s">
        <v>21</v>
      </c>
      <c r="K49" t="s">
        <v>28</v>
      </c>
      <c r="L49" t="s">
        <v>23</v>
      </c>
      <c r="M49" t="s">
        <v>24</v>
      </c>
      <c r="O49" t="s">
        <v>25</v>
      </c>
    </row>
    <row r="50" spans="1:15" x14ac:dyDescent="0.55000000000000004">
      <c r="A50">
        <v>548</v>
      </c>
      <c r="B50" t="s">
        <v>127</v>
      </c>
      <c r="C50" t="s">
        <v>128</v>
      </c>
      <c r="D50" t="s">
        <v>17</v>
      </c>
      <c r="E50" t="s">
        <v>18</v>
      </c>
      <c r="G50" t="s">
        <v>91</v>
      </c>
      <c r="H50" t="s">
        <v>19</v>
      </c>
      <c r="I50" t="s">
        <v>20</v>
      </c>
      <c r="J50" t="s">
        <v>21</v>
      </c>
      <c r="K50" t="s">
        <v>28</v>
      </c>
      <c r="L50" t="s">
        <v>23</v>
      </c>
      <c r="M50" t="s">
        <v>24</v>
      </c>
      <c r="O50" t="s">
        <v>25</v>
      </c>
    </row>
    <row r="51" spans="1:15" x14ac:dyDescent="0.55000000000000004">
      <c r="A51">
        <v>549</v>
      </c>
      <c r="B51" t="s">
        <v>129</v>
      </c>
      <c r="C51" t="s">
        <v>130</v>
      </c>
      <c r="D51" t="s">
        <v>17</v>
      </c>
      <c r="E51" t="s">
        <v>18</v>
      </c>
      <c r="G51" t="s">
        <v>91</v>
      </c>
      <c r="H51" t="s">
        <v>19</v>
      </c>
      <c r="I51" t="s">
        <v>20</v>
      </c>
      <c r="J51" t="s">
        <v>21</v>
      </c>
      <c r="K51" t="s">
        <v>28</v>
      </c>
      <c r="L51" t="s">
        <v>23</v>
      </c>
      <c r="M51" t="s">
        <v>24</v>
      </c>
      <c r="O51" t="s">
        <v>25</v>
      </c>
    </row>
    <row r="52" spans="1:15" x14ac:dyDescent="0.55000000000000004">
      <c r="A52">
        <v>550</v>
      </c>
      <c r="B52" t="s">
        <v>131</v>
      </c>
      <c r="C52" t="s">
        <v>132</v>
      </c>
      <c r="D52" t="s">
        <v>17</v>
      </c>
      <c r="E52" t="s">
        <v>18</v>
      </c>
      <c r="G52" t="s">
        <v>91</v>
      </c>
      <c r="H52" t="s">
        <v>19</v>
      </c>
      <c r="I52" t="s">
        <v>20</v>
      </c>
      <c r="J52" t="s">
        <v>21</v>
      </c>
      <c r="K52" t="s">
        <v>28</v>
      </c>
      <c r="L52" t="s">
        <v>23</v>
      </c>
      <c r="M52" t="s">
        <v>24</v>
      </c>
      <c r="O52" t="s">
        <v>25</v>
      </c>
    </row>
    <row r="53" spans="1:15" x14ac:dyDescent="0.55000000000000004">
      <c r="A53">
        <v>551</v>
      </c>
      <c r="B53" t="s">
        <v>133</v>
      </c>
      <c r="C53" t="s">
        <v>134</v>
      </c>
      <c r="D53" t="s">
        <v>17</v>
      </c>
      <c r="E53" t="s">
        <v>18</v>
      </c>
      <c r="G53" t="s">
        <v>91</v>
      </c>
      <c r="H53" t="s">
        <v>19</v>
      </c>
      <c r="I53" t="s">
        <v>20</v>
      </c>
      <c r="J53" t="s">
        <v>21</v>
      </c>
      <c r="K53" t="s">
        <v>28</v>
      </c>
      <c r="L53" t="s">
        <v>23</v>
      </c>
      <c r="M53" t="s">
        <v>24</v>
      </c>
      <c r="O53" t="s">
        <v>25</v>
      </c>
    </row>
    <row r="54" spans="1:15" x14ac:dyDescent="0.55000000000000004">
      <c r="A54">
        <v>552</v>
      </c>
      <c r="B54" t="s">
        <v>135</v>
      </c>
      <c r="C54" t="s">
        <v>136</v>
      </c>
      <c r="D54" t="s">
        <v>17</v>
      </c>
      <c r="E54" t="s">
        <v>18</v>
      </c>
      <c r="G54" t="s">
        <v>91</v>
      </c>
      <c r="H54" t="s">
        <v>19</v>
      </c>
      <c r="I54" t="s">
        <v>20</v>
      </c>
      <c r="J54" t="s">
        <v>21</v>
      </c>
      <c r="K54" t="s">
        <v>28</v>
      </c>
      <c r="L54" t="s">
        <v>23</v>
      </c>
      <c r="M54" t="s">
        <v>24</v>
      </c>
      <c r="O54" t="s">
        <v>25</v>
      </c>
    </row>
    <row r="55" spans="1:15" x14ac:dyDescent="0.55000000000000004">
      <c r="A55">
        <v>553</v>
      </c>
      <c r="B55" t="s">
        <v>137</v>
      </c>
      <c r="C55" t="s">
        <v>138</v>
      </c>
      <c r="D55" t="s">
        <v>17</v>
      </c>
      <c r="E55" t="s">
        <v>18</v>
      </c>
      <c r="G55" t="s">
        <v>91</v>
      </c>
      <c r="H55" t="s">
        <v>19</v>
      </c>
      <c r="I55" t="s">
        <v>20</v>
      </c>
      <c r="J55" t="s">
        <v>21</v>
      </c>
      <c r="K55" t="s">
        <v>28</v>
      </c>
      <c r="L55" t="s">
        <v>23</v>
      </c>
      <c r="M55" t="s">
        <v>24</v>
      </c>
      <c r="O55" t="s">
        <v>25</v>
      </c>
    </row>
    <row r="56" spans="1:15" x14ac:dyDescent="0.55000000000000004">
      <c r="A56">
        <v>554</v>
      </c>
      <c r="B56" t="s">
        <v>139</v>
      </c>
      <c r="C56" t="s">
        <v>140</v>
      </c>
      <c r="D56" t="s">
        <v>17</v>
      </c>
      <c r="E56" t="s">
        <v>18</v>
      </c>
      <c r="G56" t="s">
        <v>91</v>
      </c>
      <c r="H56" t="s">
        <v>19</v>
      </c>
      <c r="I56" t="s">
        <v>20</v>
      </c>
      <c r="J56" t="s">
        <v>21</v>
      </c>
      <c r="K56" t="s">
        <v>28</v>
      </c>
      <c r="L56" t="s">
        <v>23</v>
      </c>
      <c r="M56" t="s">
        <v>24</v>
      </c>
      <c r="O56" t="s">
        <v>25</v>
      </c>
    </row>
    <row r="57" spans="1:15" x14ac:dyDescent="0.55000000000000004">
      <c r="A57">
        <v>555</v>
      </c>
      <c r="B57" t="s">
        <v>141</v>
      </c>
      <c r="C57" t="s">
        <v>142</v>
      </c>
      <c r="D57" t="s">
        <v>17</v>
      </c>
      <c r="E57" t="s">
        <v>18</v>
      </c>
      <c r="G57" t="s">
        <v>91</v>
      </c>
      <c r="H57" t="s">
        <v>19</v>
      </c>
      <c r="I57" t="s">
        <v>20</v>
      </c>
      <c r="J57" t="s">
        <v>21</v>
      </c>
      <c r="K57" t="s">
        <v>28</v>
      </c>
      <c r="L57" t="s">
        <v>23</v>
      </c>
      <c r="M57" t="s">
        <v>24</v>
      </c>
      <c r="O57" t="s">
        <v>25</v>
      </c>
    </row>
    <row r="58" spans="1:15" x14ac:dyDescent="0.55000000000000004">
      <c r="A58">
        <v>556</v>
      </c>
      <c r="B58" t="s">
        <v>143</v>
      </c>
      <c r="C58" t="s">
        <v>144</v>
      </c>
      <c r="D58" t="s">
        <v>17</v>
      </c>
      <c r="E58" t="s">
        <v>18</v>
      </c>
      <c r="G58" t="s">
        <v>91</v>
      </c>
      <c r="H58" t="s">
        <v>19</v>
      </c>
      <c r="I58" t="s">
        <v>20</v>
      </c>
      <c r="J58" t="s">
        <v>21</v>
      </c>
      <c r="K58" t="s">
        <v>28</v>
      </c>
      <c r="L58" t="s">
        <v>23</v>
      </c>
      <c r="M58" t="s">
        <v>24</v>
      </c>
      <c r="O58" t="s">
        <v>25</v>
      </c>
    </row>
    <row r="59" spans="1:15" x14ac:dyDescent="0.55000000000000004">
      <c r="A59">
        <v>557</v>
      </c>
      <c r="B59" t="s">
        <v>145</v>
      </c>
      <c r="C59" t="s">
        <v>146</v>
      </c>
      <c r="D59" t="s">
        <v>17</v>
      </c>
      <c r="E59" t="s">
        <v>18</v>
      </c>
      <c r="G59" t="s">
        <v>91</v>
      </c>
      <c r="H59" t="s">
        <v>19</v>
      </c>
      <c r="I59" t="s">
        <v>20</v>
      </c>
      <c r="J59" t="s">
        <v>21</v>
      </c>
      <c r="K59" t="s">
        <v>28</v>
      </c>
      <c r="L59" t="s">
        <v>23</v>
      </c>
      <c r="M59" t="s">
        <v>24</v>
      </c>
      <c r="O59" t="s">
        <v>25</v>
      </c>
    </row>
    <row r="60" spans="1:15" x14ac:dyDescent="0.55000000000000004">
      <c r="A60">
        <v>558</v>
      </c>
      <c r="B60" t="s">
        <v>147</v>
      </c>
      <c r="C60" t="s">
        <v>148</v>
      </c>
      <c r="D60" t="s">
        <v>17</v>
      </c>
      <c r="E60" t="s">
        <v>18</v>
      </c>
      <c r="G60" t="s">
        <v>91</v>
      </c>
      <c r="H60" t="s">
        <v>19</v>
      </c>
      <c r="I60" t="s">
        <v>20</v>
      </c>
      <c r="J60" t="s">
        <v>21</v>
      </c>
      <c r="K60" t="s">
        <v>28</v>
      </c>
      <c r="L60" t="s">
        <v>23</v>
      </c>
      <c r="M60" t="s">
        <v>24</v>
      </c>
      <c r="O60" t="s">
        <v>25</v>
      </c>
    </row>
    <row r="61" spans="1:15" x14ac:dyDescent="0.55000000000000004">
      <c r="A61">
        <v>559</v>
      </c>
      <c r="B61" t="s">
        <v>149</v>
      </c>
      <c r="C61" t="s">
        <v>150</v>
      </c>
      <c r="D61" t="s">
        <v>17</v>
      </c>
      <c r="E61" t="s">
        <v>18</v>
      </c>
      <c r="G61" t="s">
        <v>91</v>
      </c>
      <c r="H61" t="s">
        <v>19</v>
      </c>
      <c r="I61" t="s">
        <v>20</v>
      </c>
      <c r="J61" t="s">
        <v>21</v>
      </c>
      <c r="K61" t="s">
        <v>28</v>
      </c>
      <c r="L61" t="s">
        <v>23</v>
      </c>
      <c r="M61" t="s">
        <v>24</v>
      </c>
      <c r="O61" t="s">
        <v>25</v>
      </c>
    </row>
    <row r="62" spans="1:15" x14ac:dyDescent="0.55000000000000004">
      <c r="A62">
        <v>560</v>
      </c>
      <c r="B62" t="s">
        <v>151</v>
      </c>
      <c r="C62" t="s">
        <v>152</v>
      </c>
      <c r="D62" t="s">
        <v>17</v>
      </c>
      <c r="E62" t="s">
        <v>18</v>
      </c>
      <c r="G62" t="s">
        <v>91</v>
      </c>
      <c r="H62" t="s">
        <v>19</v>
      </c>
      <c r="I62" t="s">
        <v>20</v>
      </c>
      <c r="J62" t="s">
        <v>21</v>
      </c>
      <c r="K62" t="s">
        <v>28</v>
      </c>
      <c r="L62" t="s">
        <v>23</v>
      </c>
      <c r="M62" t="s">
        <v>24</v>
      </c>
      <c r="O62" t="s">
        <v>25</v>
      </c>
    </row>
    <row r="63" spans="1:15" x14ac:dyDescent="0.55000000000000004">
      <c r="A63">
        <v>561</v>
      </c>
      <c r="B63" t="s">
        <v>153</v>
      </c>
      <c r="C63" t="s">
        <v>154</v>
      </c>
      <c r="D63" t="s">
        <v>17</v>
      </c>
      <c r="E63" t="s">
        <v>18</v>
      </c>
      <c r="G63" t="s">
        <v>91</v>
      </c>
      <c r="H63" t="s">
        <v>19</v>
      </c>
      <c r="I63" t="s">
        <v>20</v>
      </c>
      <c r="J63" t="s">
        <v>21</v>
      </c>
      <c r="K63" t="s">
        <v>28</v>
      </c>
      <c r="L63" t="s">
        <v>23</v>
      </c>
      <c r="M63" t="s">
        <v>24</v>
      </c>
      <c r="O63" t="s">
        <v>25</v>
      </c>
    </row>
    <row r="64" spans="1:15" x14ac:dyDescent="0.55000000000000004">
      <c r="A64">
        <v>562</v>
      </c>
      <c r="B64" t="s">
        <v>155</v>
      </c>
      <c r="C64" t="s">
        <v>156</v>
      </c>
      <c r="D64" t="s">
        <v>17</v>
      </c>
      <c r="E64" t="s">
        <v>18</v>
      </c>
      <c r="G64" t="s">
        <v>91</v>
      </c>
      <c r="H64" t="s">
        <v>19</v>
      </c>
      <c r="I64" t="s">
        <v>20</v>
      </c>
      <c r="J64" t="s">
        <v>21</v>
      </c>
      <c r="K64" t="s">
        <v>28</v>
      </c>
      <c r="L64" t="s">
        <v>23</v>
      </c>
      <c r="M64" t="s">
        <v>24</v>
      </c>
      <c r="O64" t="s">
        <v>25</v>
      </c>
    </row>
    <row r="65" spans="1:15" x14ac:dyDescent="0.55000000000000004">
      <c r="A65">
        <v>563</v>
      </c>
      <c r="B65" t="s">
        <v>157</v>
      </c>
      <c r="C65" t="s">
        <v>158</v>
      </c>
      <c r="D65" t="s">
        <v>17</v>
      </c>
      <c r="E65" t="s">
        <v>18</v>
      </c>
      <c r="G65" t="s">
        <v>91</v>
      </c>
      <c r="H65" t="s">
        <v>19</v>
      </c>
      <c r="I65" t="s">
        <v>20</v>
      </c>
      <c r="J65" t="s">
        <v>21</v>
      </c>
      <c r="K65" t="s">
        <v>28</v>
      </c>
      <c r="L65" t="s">
        <v>23</v>
      </c>
      <c r="M65" t="s">
        <v>24</v>
      </c>
      <c r="O65" t="s">
        <v>25</v>
      </c>
    </row>
    <row r="66" spans="1:15" x14ac:dyDescent="0.55000000000000004">
      <c r="A66">
        <v>564</v>
      </c>
      <c r="B66" t="s">
        <v>159</v>
      </c>
      <c r="C66" t="s">
        <v>160</v>
      </c>
      <c r="D66" t="s">
        <v>17</v>
      </c>
      <c r="E66" t="s">
        <v>18</v>
      </c>
      <c r="G66" t="s">
        <v>91</v>
      </c>
      <c r="H66" t="s">
        <v>19</v>
      </c>
      <c r="I66" t="s">
        <v>20</v>
      </c>
      <c r="J66" t="s">
        <v>21</v>
      </c>
      <c r="K66" t="s">
        <v>28</v>
      </c>
      <c r="L66" t="s">
        <v>23</v>
      </c>
      <c r="M66" t="s">
        <v>24</v>
      </c>
      <c r="O66" t="s">
        <v>25</v>
      </c>
    </row>
    <row r="67" spans="1:15" x14ac:dyDescent="0.55000000000000004">
      <c r="A67">
        <v>565</v>
      </c>
      <c r="B67" t="s">
        <v>161</v>
      </c>
      <c r="C67" t="s">
        <v>162</v>
      </c>
      <c r="D67" t="s">
        <v>17</v>
      </c>
      <c r="E67" t="s">
        <v>18</v>
      </c>
      <c r="G67" t="s">
        <v>91</v>
      </c>
      <c r="H67" t="s">
        <v>19</v>
      </c>
      <c r="I67" t="s">
        <v>20</v>
      </c>
      <c r="J67" t="s">
        <v>21</v>
      </c>
      <c r="K67" t="s">
        <v>28</v>
      </c>
      <c r="L67" t="s">
        <v>23</v>
      </c>
      <c r="M67" t="s">
        <v>24</v>
      </c>
      <c r="O67" t="s">
        <v>25</v>
      </c>
    </row>
    <row r="68" spans="1:15" x14ac:dyDescent="0.55000000000000004">
      <c r="A68">
        <v>566</v>
      </c>
      <c r="B68" t="s">
        <v>163</v>
      </c>
      <c r="C68" t="s">
        <v>164</v>
      </c>
      <c r="D68" t="s">
        <v>17</v>
      </c>
      <c r="E68" t="s">
        <v>18</v>
      </c>
      <c r="G68" t="s">
        <v>91</v>
      </c>
      <c r="H68" t="s">
        <v>19</v>
      </c>
      <c r="I68" t="s">
        <v>20</v>
      </c>
      <c r="J68" t="s">
        <v>21</v>
      </c>
      <c r="K68" t="s">
        <v>28</v>
      </c>
      <c r="L68" t="s">
        <v>23</v>
      </c>
      <c r="M68" t="s">
        <v>24</v>
      </c>
      <c r="O68" t="s">
        <v>25</v>
      </c>
    </row>
    <row r="69" spans="1:15" x14ac:dyDescent="0.55000000000000004">
      <c r="A69">
        <v>567</v>
      </c>
      <c r="B69" t="s">
        <v>165</v>
      </c>
      <c r="C69" t="s">
        <v>166</v>
      </c>
      <c r="D69" t="s">
        <v>17</v>
      </c>
      <c r="E69" t="s">
        <v>18</v>
      </c>
      <c r="G69" t="s">
        <v>91</v>
      </c>
      <c r="H69" t="s">
        <v>19</v>
      </c>
      <c r="I69" t="s">
        <v>20</v>
      </c>
      <c r="J69" t="s">
        <v>21</v>
      </c>
      <c r="K69" t="s">
        <v>28</v>
      </c>
      <c r="L69" t="s">
        <v>23</v>
      </c>
      <c r="M69" t="s">
        <v>24</v>
      </c>
      <c r="O69" t="s">
        <v>25</v>
      </c>
    </row>
    <row r="70" spans="1:15" x14ac:dyDescent="0.55000000000000004">
      <c r="A70">
        <v>568</v>
      </c>
      <c r="B70" t="s">
        <v>167</v>
      </c>
      <c r="C70" t="s">
        <v>168</v>
      </c>
      <c r="D70" t="s">
        <v>17</v>
      </c>
      <c r="E70" t="s">
        <v>18</v>
      </c>
      <c r="G70" t="s">
        <v>91</v>
      </c>
      <c r="H70" t="s">
        <v>19</v>
      </c>
      <c r="I70" t="s">
        <v>20</v>
      </c>
      <c r="J70" t="s">
        <v>21</v>
      </c>
      <c r="K70" t="s">
        <v>28</v>
      </c>
      <c r="L70" t="s">
        <v>23</v>
      </c>
      <c r="M70" t="s">
        <v>24</v>
      </c>
      <c r="O70" t="s">
        <v>25</v>
      </c>
    </row>
    <row r="71" spans="1:15" x14ac:dyDescent="0.55000000000000004">
      <c r="A71">
        <v>569</v>
      </c>
      <c r="B71" t="s">
        <v>169</v>
      </c>
      <c r="C71" t="s">
        <v>170</v>
      </c>
      <c r="D71" t="s">
        <v>17</v>
      </c>
      <c r="E71" t="s">
        <v>18</v>
      </c>
      <c r="G71" t="s">
        <v>91</v>
      </c>
      <c r="H71" t="s">
        <v>19</v>
      </c>
      <c r="I71" t="s">
        <v>20</v>
      </c>
      <c r="J71" t="s">
        <v>21</v>
      </c>
      <c r="K71" t="s">
        <v>28</v>
      </c>
      <c r="L71" t="s">
        <v>23</v>
      </c>
      <c r="M71" t="s">
        <v>24</v>
      </c>
      <c r="O71" t="s">
        <v>25</v>
      </c>
    </row>
    <row r="72" spans="1:15" x14ac:dyDescent="0.55000000000000004">
      <c r="A72">
        <v>570</v>
      </c>
      <c r="B72" t="s">
        <v>171</v>
      </c>
      <c r="C72" t="s">
        <v>172</v>
      </c>
      <c r="D72" t="s">
        <v>17</v>
      </c>
      <c r="E72" t="s">
        <v>18</v>
      </c>
      <c r="G72" t="s">
        <v>91</v>
      </c>
      <c r="H72" t="s">
        <v>19</v>
      </c>
      <c r="I72" t="s">
        <v>20</v>
      </c>
      <c r="J72" t="s">
        <v>21</v>
      </c>
      <c r="K72" t="s">
        <v>28</v>
      </c>
      <c r="L72" t="s">
        <v>23</v>
      </c>
      <c r="M72" t="s">
        <v>24</v>
      </c>
      <c r="O72" t="s">
        <v>25</v>
      </c>
    </row>
    <row r="73" spans="1:15" x14ac:dyDescent="0.55000000000000004">
      <c r="A73">
        <v>571</v>
      </c>
      <c r="B73" t="s">
        <v>173</v>
      </c>
      <c r="C73" t="s">
        <v>174</v>
      </c>
      <c r="D73" t="s">
        <v>17</v>
      </c>
      <c r="E73" t="s">
        <v>18</v>
      </c>
      <c r="G73" t="s">
        <v>91</v>
      </c>
      <c r="H73" t="s">
        <v>19</v>
      </c>
      <c r="I73" t="s">
        <v>20</v>
      </c>
      <c r="J73" t="s">
        <v>21</v>
      </c>
      <c r="K73" t="s">
        <v>28</v>
      </c>
      <c r="L73" t="s">
        <v>23</v>
      </c>
      <c r="M73" t="s">
        <v>24</v>
      </c>
      <c r="O73" t="s">
        <v>25</v>
      </c>
    </row>
    <row r="74" spans="1:15" x14ac:dyDescent="0.55000000000000004">
      <c r="A74">
        <v>572</v>
      </c>
      <c r="B74" t="s">
        <v>175</v>
      </c>
      <c r="C74" t="s">
        <v>176</v>
      </c>
      <c r="D74" t="s">
        <v>17</v>
      </c>
      <c r="E74" t="s">
        <v>18</v>
      </c>
      <c r="G74" t="s">
        <v>91</v>
      </c>
      <c r="H74" t="s">
        <v>19</v>
      </c>
      <c r="I74" t="s">
        <v>20</v>
      </c>
      <c r="J74" t="s">
        <v>21</v>
      </c>
      <c r="K74" t="s">
        <v>28</v>
      </c>
      <c r="L74" t="s">
        <v>23</v>
      </c>
      <c r="M74" t="s">
        <v>24</v>
      </c>
      <c r="O74" t="s">
        <v>25</v>
      </c>
    </row>
    <row r="75" spans="1:15" x14ac:dyDescent="0.55000000000000004">
      <c r="A75">
        <v>573</v>
      </c>
      <c r="B75" t="s">
        <v>177</v>
      </c>
      <c r="C75" t="s">
        <v>178</v>
      </c>
      <c r="D75" t="s">
        <v>17</v>
      </c>
      <c r="E75" t="s">
        <v>18</v>
      </c>
      <c r="G75" t="s">
        <v>91</v>
      </c>
      <c r="H75" t="s">
        <v>19</v>
      </c>
      <c r="I75" t="s">
        <v>20</v>
      </c>
      <c r="J75" t="s">
        <v>21</v>
      </c>
      <c r="K75" t="s">
        <v>28</v>
      </c>
      <c r="L75" t="s">
        <v>23</v>
      </c>
      <c r="M75" t="s">
        <v>24</v>
      </c>
      <c r="O75" t="s">
        <v>25</v>
      </c>
    </row>
    <row r="76" spans="1:15" x14ac:dyDescent="0.55000000000000004">
      <c r="A76">
        <v>574</v>
      </c>
      <c r="B76" t="s">
        <v>179</v>
      </c>
      <c r="C76" t="s">
        <v>180</v>
      </c>
      <c r="D76" t="s">
        <v>17</v>
      </c>
      <c r="E76" t="s">
        <v>18</v>
      </c>
      <c r="G76" t="s">
        <v>91</v>
      </c>
      <c r="H76" t="s">
        <v>19</v>
      </c>
      <c r="I76" t="s">
        <v>20</v>
      </c>
      <c r="J76" t="s">
        <v>21</v>
      </c>
      <c r="K76" t="s">
        <v>28</v>
      </c>
      <c r="L76" t="s">
        <v>23</v>
      </c>
      <c r="M76" t="s">
        <v>24</v>
      </c>
      <c r="O76" t="s">
        <v>25</v>
      </c>
    </row>
    <row r="77" spans="1:15" x14ac:dyDescent="0.55000000000000004">
      <c r="A77">
        <v>575</v>
      </c>
      <c r="B77" t="s">
        <v>181</v>
      </c>
      <c r="C77" t="s">
        <v>182</v>
      </c>
      <c r="D77" t="s">
        <v>17</v>
      </c>
      <c r="E77" t="s">
        <v>18</v>
      </c>
      <c r="G77" t="s">
        <v>91</v>
      </c>
      <c r="H77" t="s">
        <v>19</v>
      </c>
      <c r="I77" t="s">
        <v>20</v>
      </c>
      <c r="J77" t="s">
        <v>21</v>
      </c>
      <c r="K77" t="s">
        <v>28</v>
      </c>
      <c r="L77" t="s">
        <v>23</v>
      </c>
      <c r="M77" t="s">
        <v>24</v>
      </c>
      <c r="O77" t="s">
        <v>25</v>
      </c>
    </row>
    <row r="78" spans="1:15" x14ac:dyDescent="0.55000000000000004">
      <c r="A78">
        <v>576</v>
      </c>
      <c r="B78" t="s">
        <v>183</v>
      </c>
      <c r="C78" t="s">
        <v>184</v>
      </c>
      <c r="D78" t="s">
        <v>17</v>
      </c>
      <c r="E78" t="s">
        <v>18</v>
      </c>
      <c r="G78" t="s">
        <v>91</v>
      </c>
      <c r="H78" t="s">
        <v>19</v>
      </c>
      <c r="I78" t="s">
        <v>20</v>
      </c>
      <c r="J78" t="s">
        <v>21</v>
      </c>
      <c r="K78" t="s">
        <v>28</v>
      </c>
      <c r="L78" t="s">
        <v>23</v>
      </c>
      <c r="M78" t="s">
        <v>24</v>
      </c>
      <c r="O78" t="s">
        <v>25</v>
      </c>
    </row>
    <row r="79" spans="1:15" x14ac:dyDescent="0.55000000000000004">
      <c r="A79">
        <v>577</v>
      </c>
      <c r="B79" t="s">
        <v>185</v>
      </c>
      <c r="C79" t="s">
        <v>186</v>
      </c>
      <c r="D79" t="s">
        <v>17</v>
      </c>
      <c r="E79" t="s">
        <v>18</v>
      </c>
      <c r="G79" t="s">
        <v>91</v>
      </c>
      <c r="H79" t="s">
        <v>19</v>
      </c>
      <c r="I79" t="s">
        <v>20</v>
      </c>
      <c r="J79" t="s">
        <v>21</v>
      </c>
      <c r="K79" t="s">
        <v>28</v>
      </c>
      <c r="L79" t="s">
        <v>23</v>
      </c>
      <c r="M79" t="s">
        <v>24</v>
      </c>
      <c r="O79" t="s">
        <v>25</v>
      </c>
    </row>
    <row r="80" spans="1:15" x14ac:dyDescent="0.55000000000000004">
      <c r="A80">
        <v>578</v>
      </c>
      <c r="B80" t="s">
        <v>187</v>
      </c>
      <c r="C80" t="s">
        <v>188</v>
      </c>
      <c r="D80" t="s">
        <v>17</v>
      </c>
      <c r="E80" t="s">
        <v>18</v>
      </c>
      <c r="G80" t="s">
        <v>91</v>
      </c>
      <c r="H80" t="s">
        <v>19</v>
      </c>
      <c r="I80" t="s">
        <v>20</v>
      </c>
      <c r="J80" t="s">
        <v>21</v>
      </c>
      <c r="K80" t="s">
        <v>28</v>
      </c>
      <c r="L80" t="s">
        <v>23</v>
      </c>
      <c r="M80" t="s">
        <v>24</v>
      </c>
      <c r="O80" t="s">
        <v>25</v>
      </c>
    </row>
    <row r="81" spans="1:15" x14ac:dyDescent="0.55000000000000004">
      <c r="A81">
        <v>579</v>
      </c>
      <c r="B81" t="s">
        <v>189</v>
      </c>
      <c r="C81" t="s">
        <v>190</v>
      </c>
      <c r="D81" t="s">
        <v>17</v>
      </c>
      <c r="E81" t="s">
        <v>18</v>
      </c>
      <c r="G81" t="s">
        <v>91</v>
      </c>
      <c r="H81" t="s">
        <v>19</v>
      </c>
      <c r="I81" t="s">
        <v>20</v>
      </c>
      <c r="J81" t="s">
        <v>21</v>
      </c>
      <c r="K81" t="s">
        <v>28</v>
      </c>
      <c r="L81" t="s">
        <v>23</v>
      </c>
      <c r="M81" t="s">
        <v>24</v>
      </c>
      <c r="O81" t="s">
        <v>25</v>
      </c>
    </row>
    <row r="82" spans="1:15" x14ac:dyDescent="0.55000000000000004">
      <c r="A82">
        <v>580</v>
      </c>
      <c r="B82" t="s">
        <v>191</v>
      </c>
      <c r="C82" t="s">
        <v>192</v>
      </c>
      <c r="D82" t="s">
        <v>17</v>
      </c>
      <c r="E82" t="s">
        <v>18</v>
      </c>
      <c r="G82" t="s">
        <v>91</v>
      </c>
      <c r="H82" t="s">
        <v>19</v>
      </c>
      <c r="I82" t="s">
        <v>20</v>
      </c>
      <c r="J82" t="s">
        <v>21</v>
      </c>
      <c r="K82" t="s">
        <v>28</v>
      </c>
      <c r="L82" t="s">
        <v>23</v>
      </c>
      <c r="M82" t="s">
        <v>24</v>
      </c>
      <c r="O82" t="s">
        <v>25</v>
      </c>
    </row>
    <row r="83" spans="1:15" x14ac:dyDescent="0.55000000000000004">
      <c r="A83">
        <v>581</v>
      </c>
      <c r="B83" t="s">
        <v>193</v>
      </c>
      <c r="C83" t="s">
        <v>194</v>
      </c>
      <c r="D83" t="s">
        <v>17</v>
      </c>
      <c r="E83" t="s">
        <v>18</v>
      </c>
      <c r="G83" t="s">
        <v>91</v>
      </c>
      <c r="H83" t="s">
        <v>19</v>
      </c>
      <c r="I83" t="s">
        <v>20</v>
      </c>
      <c r="J83" t="s">
        <v>21</v>
      </c>
      <c r="K83" t="s">
        <v>28</v>
      </c>
      <c r="L83" t="s">
        <v>23</v>
      </c>
      <c r="M83" t="s">
        <v>24</v>
      </c>
      <c r="O83" t="s">
        <v>25</v>
      </c>
    </row>
    <row r="84" spans="1:15" x14ac:dyDescent="0.55000000000000004">
      <c r="A84">
        <v>582</v>
      </c>
      <c r="B84" t="s">
        <v>195</v>
      </c>
      <c r="C84" t="s">
        <v>196</v>
      </c>
      <c r="D84" t="s">
        <v>17</v>
      </c>
      <c r="E84" t="s">
        <v>18</v>
      </c>
      <c r="G84" t="s">
        <v>91</v>
      </c>
      <c r="H84" t="s">
        <v>19</v>
      </c>
      <c r="I84" t="s">
        <v>20</v>
      </c>
      <c r="J84" t="s">
        <v>21</v>
      </c>
      <c r="K84" t="s">
        <v>28</v>
      </c>
      <c r="L84" t="s">
        <v>23</v>
      </c>
      <c r="M84" t="s">
        <v>24</v>
      </c>
      <c r="O84" t="s">
        <v>25</v>
      </c>
    </row>
    <row r="85" spans="1:15" x14ac:dyDescent="0.55000000000000004">
      <c r="A85">
        <v>583</v>
      </c>
      <c r="B85" t="s">
        <v>197</v>
      </c>
      <c r="C85" t="s">
        <v>198</v>
      </c>
      <c r="D85" t="s">
        <v>17</v>
      </c>
      <c r="E85" t="s">
        <v>18</v>
      </c>
      <c r="G85" t="s">
        <v>91</v>
      </c>
      <c r="H85" t="s">
        <v>19</v>
      </c>
      <c r="I85" t="s">
        <v>20</v>
      </c>
      <c r="J85" t="s">
        <v>21</v>
      </c>
      <c r="K85" t="s">
        <v>28</v>
      </c>
      <c r="L85" t="s">
        <v>23</v>
      </c>
      <c r="M85" t="s">
        <v>24</v>
      </c>
      <c r="O85" t="s">
        <v>25</v>
      </c>
    </row>
    <row r="86" spans="1:15" x14ac:dyDescent="0.55000000000000004">
      <c r="A86">
        <v>584</v>
      </c>
      <c r="B86" t="s">
        <v>199</v>
      </c>
      <c r="C86" t="s">
        <v>200</v>
      </c>
      <c r="D86" t="s">
        <v>17</v>
      </c>
      <c r="E86" t="s">
        <v>18</v>
      </c>
      <c r="G86" t="s">
        <v>91</v>
      </c>
      <c r="H86" t="s">
        <v>19</v>
      </c>
      <c r="I86" t="s">
        <v>20</v>
      </c>
      <c r="J86" t="s">
        <v>21</v>
      </c>
      <c r="K86" t="s">
        <v>28</v>
      </c>
      <c r="L86" t="s">
        <v>23</v>
      </c>
      <c r="M86" t="s">
        <v>24</v>
      </c>
      <c r="O86" t="s">
        <v>25</v>
      </c>
    </row>
    <row r="87" spans="1:15" x14ac:dyDescent="0.55000000000000004">
      <c r="A87">
        <v>585</v>
      </c>
      <c r="B87" t="s">
        <v>201</v>
      </c>
      <c r="C87" t="s">
        <v>202</v>
      </c>
      <c r="D87" t="s">
        <v>17</v>
      </c>
      <c r="E87" t="s">
        <v>18</v>
      </c>
      <c r="G87" t="s">
        <v>91</v>
      </c>
      <c r="H87" t="s">
        <v>19</v>
      </c>
      <c r="I87" t="s">
        <v>20</v>
      </c>
      <c r="J87" t="s">
        <v>21</v>
      </c>
      <c r="K87" t="s">
        <v>28</v>
      </c>
      <c r="L87" t="s">
        <v>23</v>
      </c>
      <c r="M87" t="s">
        <v>24</v>
      </c>
      <c r="O87" t="s">
        <v>25</v>
      </c>
    </row>
    <row r="88" spans="1:15" x14ac:dyDescent="0.55000000000000004">
      <c r="A88">
        <v>586</v>
      </c>
      <c r="B88" t="s">
        <v>203</v>
      </c>
      <c r="C88" t="s">
        <v>204</v>
      </c>
      <c r="D88" t="s">
        <v>17</v>
      </c>
      <c r="E88" t="s">
        <v>18</v>
      </c>
      <c r="G88" t="s">
        <v>91</v>
      </c>
      <c r="H88" t="s">
        <v>19</v>
      </c>
      <c r="I88" t="s">
        <v>20</v>
      </c>
      <c r="J88" t="s">
        <v>21</v>
      </c>
      <c r="K88" t="s">
        <v>28</v>
      </c>
      <c r="L88" t="s">
        <v>23</v>
      </c>
      <c r="M88" t="s">
        <v>24</v>
      </c>
      <c r="O88" t="s">
        <v>25</v>
      </c>
    </row>
    <row r="89" spans="1:15" x14ac:dyDescent="0.55000000000000004">
      <c r="A89">
        <v>587</v>
      </c>
      <c r="B89" t="s">
        <v>205</v>
      </c>
      <c r="C89" t="s">
        <v>206</v>
      </c>
      <c r="D89" t="s">
        <v>17</v>
      </c>
      <c r="E89" t="s">
        <v>18</v>
      </c>
      <c r="G89" t="s">
        <v>91</v>
      </c>
      <c r="H89" t="s">
        <v>19</v>
      </c>
      <c r="I89" t="s">
        <v>20</v>
      </c>
      <c r="J89" t="s">
        <v>21</v>
      </c>
      <c r="K89" t="s">
        <v>28</v>
      </c>
      <c r="L89" t="s">
        <v>23</v>
      </c>
      <c r="M89" t="s">
        <v>24</v>
      </c>
      <c r="O89" t="s">
        <v>25</v>
      </c>
    </row>
    <row r="90" spans="1:15" x14ac:dyDescent="0.55000000000000004">
      <c r="A90">
        <v>588</v>
      </c>
      <c r="B90" t="s">
        <v>207</v>
      </c>
      <c r="C90" t="s">
        <v>208</v>
      </c>
      <c r="D90" t="s">
        <v>17</v>
      </c>
      <c r="E90" t="s">
        <v>18</v>
      </c>
      <c r="G90" t="s">
        <v>91</v>
      </c>
      <c r="H90" t="s">
        <v>19</v>
      </c>
      <c r="I90" t="s">
        <v>20</v>
      </c>
      <c r="J90" t="s">
        <v>21</v>
      </c>
      <c r="K90" t="s">
        <v>28</v>
      </c>
      <c r="L90" t="s">
        <v>23</v>
      </c>
      <c r="M90" t="s">
        <v>24</v>
      </c>
      <c r="O90" t="s">
        <v>25</v>
      </c>
    </row>
    <row r="91" spans="1:15" x14ac:dyDescent="0.55000000000000004">
      <c r="A91">
        <v>589</v>
      </c>
      <c r="B91" t="s">
        <v>209</v>
      </c>
      <c r="C91" t="s">
        <v>210</v>
      </c>
      <c r="D91" t="s">
        <v>17</v>
      </c>
      <c r="E91" t="s">
        <v>18</v>
      </c>
      <c r="G91" t="s">
        <v>91</v>
      </c>
      <c r="H91" t="s">
        <v>19</v>
      </c>
      <c r="I91" t="s">
        <v>20</v>
      </c>
      <c r="J91" t="s">
        <v>21</v>
      </c>
      <c r="K91" t="s">
        <v>28</v>
      </c>
      <c r="L91" t="s">
        <v>23</v>
      </c>
      <c r="M91" t="s">
        <v>24</v>
      </c>
      <c r="O91" t="s">
        <v>25</v>
      </c>
    </row>
    <row r="92" spans="1:15" x14ac:dyDescent="0.55000000000000004">
      <c r="A92">
        <v>590</v>
      </c>
      <c r="B92" t="s">
        <v>211</v>
      </c>
      <c r="C92" t="s">
        <v>212</v>
      </c>
      <c r="D92" t="s">
        <v>17</v>
      </c>
      <c r="E92" t="s">
        <v>18</v>
      </c>
      <c r="G92" t="s">
        <v>91</v>
      </c>
      <c r="H92" t="s">
        <v>19</v>
      </c>
      <c r="I92" t="s">
        <v>20</v>
      </c>
      <c r="J92" t="s">
        <v>21</v>
      </c>
      <c r="K92" t="s">
        <v>28</v>
      </c>
      <c r="L92" t="s">
        <v>23</v>
      </c>
      <c r="M92" t="s">
        <v>24</v>
      </c>
      <c r="O92" t="s">
        <v>25</v>
      </c>
    </row>
    <row r="93" spans="1:15" x14ac:dyDescent="0.55000000000000004">
      <c r="A93">
        <v>591</v>
      </c>
      <c r="B93" t="s">
        <v>213</v>
      </c>
      <c r="C93" t="s">
        <v>214</v>
      </c>
      <c r="D93" t="s">
        <v>17</v>
      </c>
      <c r="E93" t="s">
        <v>18</v>
      </c>
      <c r="G93" t="s">
        <v>91</v>
      </c>
      <c r="H93" t="s">
        <v>19</v>
      </c>
      <c r="I93" t="s">
        <v>20</v>
      </c>
      <c r="J93" t="s">
        <v>21</v>
      </c>
      <c r="K93" t="s">
        <v>28</v>
      </c>
      <c r="L93" t="s">
        <v>23</v>
      </c>
      <c r="M93" t="s">
        <v>24</v>
      </c>
      <c r="O93" t="s">
        <v>25</v>
      </c>
    </row>
    <row r="94" spans="1:15" x14ac:dyDescent="0.55000000000000004">
      <c r="A94">
        <v>592</v>
      </c>
      <c r="B94" t="s">
        <v>215</v>
      </c>
      <c r="C94" t="s">
        <v>216</v>
      </c>
      <c r="D94" t="s">
        <v>17</v>
      </c>
      <c r="E94" t="s">
        <v>18</v>
      </c>
      <c r="G94" t="s">
        <v>91</v>
      </c>
      <c r="H94" t="s">
        <v>19</v>
      </c>
      <c r="I94" t="s">
        <v>20</v>
      </c>
      <c r="J94" t="s">
        <v>21</v>
      </c>
      <c r="K94" t="s">
        <v>217</v>
      </c>
      <c r="L94" t="s">
        <v>23</v>
      </c>
      <c r="M94" t="s">
        <v>24</v>
      </c>
      <c r="O94" t="s">
        <v>25</v>
      </c>
    </row>
    <row r="95" spans="1:15" x14ac:dyDescent="0.55000000000000004">
      <c r="A95">
        <v>593</v>
      </c>
      <c r="B95" t="s">
        <v>218</v>
      </c>
      <c r="C95" t="s">
        <v>219</v>
      </c>
      <c r="D95" t="s">
        <v>17</v>
      </c>
      <c r="E95" t="s">
        <v>18</v>
      </c>
      <c r="H95" t="s">
        <v>19</v>
      </c>
      <c r="I95" t="s">
        <v>20</v>
      </c>
      <c r="J95" t="s">
        <v>21</v>
      </c>
      <c r="K95" t="s">
        <v>220</v>
      </c>
      <c r="L95" t="s">
        <v>23</v>
      </c>
      <c r="M95" t="s">
        <v>24</v>
      </c>
      <c r="O95" t="s">
        <v>25</v>
      </c>
    </row>
    <row r="96" spans="1:15" x14ac:dyDescent="0.55000000000000004">
      <c r="A96">
        <v>594</v>
      </c>
      <c r="B96" t="s">
        <v>221</v>
      </c>
      <c r="C96" t="s">
        <v>219</v>
      </c>
      <c r="D96" t="s">
        <v>17</v>
      </c>
      <c r="E96" t="s">
        <v>18</v>
      </c>
      <c r="H96" t="s">
        <v>19</v>
      </c>
      <c r="I96" t="s">
        <v>20</v>
      </c>
      <c r="J96" t="s">
        <v>21</v>
      </c>
      <c r="K96" t="s">
        <v>28</v>
      </c>
      <c r="L96" t="s">
        <v>23</v>
      </c>
      <c r="M96" t="s">
        <v>24</v>
      </c>
      <c r="O96" t="s">
        <v>25</v>
      </c>
    </row>
    <row r="97" spans="1:15" x14ac:dyDescent="0.55000000000000004">
      <c r="A97">
        <v>595</v>
      </c>
      <c r="B97" t="s">
        <v>222</v>
      </c>
      <c r="C97" t="s">
        <v>223</v>
      </c>
      <c r="D97" t="s">
        <v>17</v>
      </c>
      <c r="E97" t="s">
        <v>18</v>
      </c>
      <c r="H97" t="s">
        <v>19</v>
      </c>
      <c r="I97" t="s">
        <v>20</v>
      </c>
      <c r="J97" t="s">
        <v>21</v>
      </c>
      <c r="K97" t="s">
        <v>28</v>
      </c>
      <c r="L97" t="s">
        <v>23</v>
      </c>
      <c r="M97" t="s">
        <v>24</v>
      </c>
      <c r="O97" t="s">
        <v>25</v>
      </c>
    </row>
    <row r="98" spans="1:15" x14ac:dyDescent="0.55000000000000004">
      <c r="A98">
        <v>596</v>
      </c>
      <c r="B98" t="s">
        <v>224</v>
      </c>
      <c r="C98" t="s">
        <v>223</v>
      </c>
      <c r="D98" t="s">
        <v>17</v>
      </c>
      <c r="E98" t="s">
        <v>18</v>
      </c>
      <c r="H98" t="s">
        <v>19</v>
      </c>
      <c r="I98" t="s">
        <v>20</v>
      </c>
      <c r="J98" t="s">
        <v>21</v>
      </c>
      <c r="K98" t="s">
        <v>82</v>
      </c>
      <c r="L98" t="s">
        <v>23</v>
      </c>
      <c r="M98" t="s">
        <v>24</v>
      </c>
      <c r="O98" t="s">
        <v>25</v>
      </c>
    </row>
    <row r="99" spans="1:15" x14ac:dyDescent="0.55000000000000004">
      <c r="A99">
        <v>597</v>
      </c>
      <c r="B99" t="s">
        <v>225</v>
      </c>
      <c r="C99" t="s">
        <v>226</v>
      </c>
      <c r="D99" t="s">
        <v>17</v>
      </c>
      <c r="E99" t="s">
        <v>18</v>
      </c>
      <c r="H99" t="s">
        <v>19</v>
      </c>
      <c r="I99" t="s">
        <v>20</v>
      </c>
      <c r="J99" t="s">
        <v>21</v>
      </c>
      <c r="K99" t="s">
        <v>28</v>
      </c>
      <c r="L99" t="s">
        <v>23</v>
      </c>
      <c r="M99" t="s">
        <v>24</v>
      </c>
      <c r="O99" t="s">
        <v>25</v>
      </c>
    </row>
    <row r="100" spans="1:15" x14ac:dyDescent="0.55000000000000004">
      <c r="A100">
        <v>598</v>
      </c>
      <c r="B100" t="s">
        <v>227</v>
      </c>
      <c r="C100" t="s">
        <v>228</v>
      </c>
      <c r="D100" t="s">
        <v>17</v>
      </c>
      <c r="E100" t="s">
        <v>18</v>
      </c>
      <c r="G100" t="s">
        <v>229</v>
      </c>
      <c r="H100" t="s">
        <v>19</v>
      </c>
      <c r="I100" t="s">
        <v>20</v>
      </c>
      <c r="J100" t="s">
        <v>21</v>
      </c>
      <c r="K100" t="s">
        <v>62</v>
      </c>
      <c r="L100" t="s">
        <v>23</v>
      </c>
      <c r="M100" t="s">
        <v>24</v>
      </c>
      <c r="O100" t="s">
        <v>25</v>
      </c>
    </row>
    <row r="101" spans="1:15" x14ac:dyDescent="0.55000000000000004">
      <c r="A101">
        <v>599</v>
      </c>
      <c r="B101" t="s">
        <v>230</v>
      </c>
      <c r="C101" t="s">
        <v>231</v>
      </c>
      <c r="D101" t="s">
        <v>17</v>
      </c>
      <c r="E101" t="s">
        <v>18</v>
      </c>
      <c r="G101" t="s">
        <v>229</v>
      </c>
      <c r="H101" t="s">
        <v>19</v>
      </c>
      <c r="I101" t="s">
        <v>20</v>
      </c>
      <c r="J101" t="s">
        <v>21</v>
      </c>
      <c r="K101" t="s">
        <v>28</v>
      </c>
      <c r="L101" t="s">
        <v>23</v>
      </c>
      <c r="M101" t="s">
        <v>24</v>
      </c>
      <c r="O101" t="s">
        <v>25</v>
      </c>
    </row>
    <row r="102" spans="1:15" x14ac:dyDescent="0.55000000000000004">
      <c r="A102">
        <v>600</v>
      </c>
      <c r="B102" t="s">
        <v>232</v>
      </c>
      <c r="C102" t="s">
        <v>233</v>
      </c>
      <c r="D102" t="s">
        <v>17</v>
      </c>
      <c r="E102" t="s">
        <v>18</v>
      </c>
      <c r="G102" t="s">
        <v>229</v>
      </c>
      <c r="H102" t="s">
        <v>19</v>
      </c>
      <c r="I102" t="s">
        <v>20</v>
      </c>
      <c r="J102" t="s">
        <v>21</v>
      </c>
      <c r="K102" t="s">
        <v>28</v>
      </c>
      <c r="L102" t="s">
        <v>23</v>
      </c>
      <c r="M102" t="s">
        <v>24</v>
      </c>
      <c r="O102" t="s">
        <v>25</v>
      </c>
    </row>
    <row r="103" spans="1:15" x14ac:dyDescent="0.55000000000000004">
      <c r="A103">
        <v>601</v>
      </c>
      <c r="B103" t="s">
        <v>234</v>
      </c>
      <c r="C103" t="s">
        <v>235</v>
      </c>
      <c r="D103" t="s">
        <v>17</v>
      </c>
      <c r="E103" t="s">
        <v>18</v>
      </c>
      <c r="G103" t="s">
        <v>229</v>
      </c>
      <c r="H103" t="s">
        <v>19</v>
      </c>
      <c r="I103" t="s">
        <v>20</v>
      </c>
      <c r="J103" t="s">
        <v>21</v>
      </c>
      <c r="K103" t="s">
        <v>28</v>
      </c>
      <c r="L103" t="s">
        <v>23</v>
      </c>
      <c r="M103" t="s">
        <v>24</v>
      </c>
      <c r="O103" t="s">
        <v>25</v>
      </c>
    </row>
    <row r="104" spans="1:15" x14ac:dyDescent="0.55000000000000004">
      <c r="A104">
        <v>602</v>
      </c>
      <c r="B104" t="s">
        <v>236</v>
      </c>
      <c r="C104" t="s">
        <v>237</v>
      </c>
      <c r="D104" t="s">
        <v>17</v>
      </c>
      <c r="E104" t="s">
        <v>18</v>
      </c>
      <c r="G104" t="s">
        <v>229</v>
      </c>
      <c r="H104" t="s">
        <v>19</v>
      </c>
      <c r="I104" t="s">
        <v>20</v>
      </c>
      <c r="J104" t="s">
        <v>21</v>
      </c>
      <c r="K104" t="s">
        <v>28</v>
      </c>
      <c r="L104" t="s">
        <v>23</v>
      </c>
      <c r="M104" t="s">
        <v>24</v>
      </c>
      <c r="O104" t="s">
        <v>25</v>
      </c>
    </row>
    <row r="105" spans="1:15" x14ac:dyDescent="0.55000000000000004">
      <c r="A105">
        <v>603</v>
      </c>
      <c r="B105" t="s">
        <v>238</v>
      </c>
      <c r="C105" t="s">
        <v>239</v>
      </c>
      <c r="D105" t="s">
        <v>17</v>
      </c>
      <c r="E105" t="s">
        <v>18</v>
      </c>
      <c r="G105" t="s">
        <v>229</v>
      </c>
      <c r="H105" t="s">
        <v>19</v>
      </c>
      <c r="I105" t="s">
        <v>20</v>
      </c>
      <c r="J105" t="s">
        <v>21</v>
      </c>
      <c r="K105" t="s">
        <v>28</v>
      </c>
      <c r="L105" t="s">
        <v>23</v>
      </c>
      <c r="M105" t="s">
        <v>24</v>
      </c>
      <c r="O105" t="s">
        <v>25</v>
      </c>
    </row>
    <row r="106" spans="1:15" x14ac:dyDescent="0.55000000000000004">
      <c r="A106">
        <v>604</v>
      </c>
      <c r="B106" t="s">
        <v>240</v>
      </c>
      <c r="C106" t="s">
        <v>241</v>
      </c>
      <c r="D106" t="s">
        <v>17</v>
      </c>
      <c r="E106" t="s">
        <v>18</v>
      </c>
      <c r="G106" t="s">
        <v>229</v>
      </c>
      <c r="H106" t="s">
        <v>19</v>
      </c>
      <c r="I106" t="s">
        <v>20</v>
      </c>
      <c r="J106" t="s">
        <v>21</v>
      </c>
      <c r="K106" t="s">
        <v>28</v>
      </c>
      <c r="L106" t="s">
        <v>23</v>
      </c>
      <c r="M106" t="s">
        <v>24</v>
      </c>
      <c r="O106" t="s">
        <v>25</v>
      </c>
    </row>
    <row r="107" spans="1:15" x14ac:dyDescent="0.55000000000000004">
      <c r="A107">
        <v>605</v>
      </c>
      <c r="B107" t="s">
        <v>242</v>
      </c>
      <c r="C107" t="s">
        <v>243</v>
      </c>
      <c r="D107" t="s">
        <v>17</v>
      </c>
      <c r="E107" t="s">
        <v>18</v>
      </c>
      <c r="H107" t="s">
        <v>19</v>
      </c>
      <c r="I107" t="s">
        <v>20</v>
      </c>
      <c r="J107" t="s">
        <v>21</v>
      </c>
      <c r="K107" t="s">
        <v>28</v>
      </c>
      <c r="L107" t="s">
        <v>23</v>
      </c>
      <c r="M107" t="s">
        <v>24</v>
      </c>
      <c r="O107" t="s">
        <v>25</v>
      </c>
    </row>
    <row r="108" spans="1:15" x14ac:dyDescent="0.55000000000000004">
      <c r="A108">
        <v>606</v>
      </c>
      <c r="B108" t="s">
        <v>244</v>
      </c>
      <c r="C108" t="s">
        <v>245</v>
      </c>
      <c r="D108" t="s">
        <v>17</v>
      </c>
      <c r="E108" t="s">
        <v>18</v>
      </c>
      <c r="H108" t="s">
        <v>19</v>
      </c>
      <c r="I108" t="s">
        <v>20</v>
      </c>
      <c r="J108" t="s">
        <v>21</v>
      </c>
      <c r="K108" t="s">
        <v>28</v>
      </c>
      <c r="L108" t="s">
        <v>23</v>
      </c>
      <c r="M108" t="s">
        <v>24</v>
      </c>
      <c r="O108" t="s">
        <v>25</v>
      </c>
    </row>
    <row r="109" spans="1:15" x14ac:dyDescent="0.55000000000000004">
      <c r="A109">
        <v>607</v>
      </c>
      <c r="B109" t="s">
        <v>246</v>
      </c>
      <c r="C109" t="s">
        <v>247</v>
      </c>
      <c r="D109" t="s">
        <v>17</v>
      </c>
      <c r="E109" t="s">
        <v>18</v>
      </c>
      <c r="H109" t="s">
        <v>19</v>
      </c>
      <c r="I109" t="s">
        <v>20</v>
      </c>
      <c r="J109" t="s">
        <v>21</v>
      </c>
      <c r="K109" t="s">
        <v>248</v>
      </c>
      <c r="L109" t="s">
        <v>23</v>
      </c>
      <c r="M109" t="s">
        <v>24</v>
      </c>
      <c r="O109" t="s">
        <v>25</v>
      </c>
    </row>
    <row r="110" spans="1:15" x14ac:dyDescent="0.55000000000000004">
      <c r="A110">
        <v>608</v>
      </c>
      <c r="B110" t="s">
        <v>249</v>
      </c>
      <c r="C110" t="s">
        <v>250</v>
      </c>
      <c r="D110" t="s">
        <v>17</v>
      </c>
      <c r="E110" t="s">
        <v>18</v>
      </c>
      <c r="H110" t="s">
        <v>19</v>
      </c>
      <c r="I110" t="s">
        <v>20</v>
      </c>
      <c r="J110" t="s">
        <v>21</v>
      </c>
      <c r="K110" t="s">
        <v>28</v>
      </c>
      <c r="L110" t="s">
        <v>23</v>
      </c>
      <c r="M110" t="s">
        <v>24</v>
      </c>
      <c r="O110" t="s">
        <v>25</v>
      </c>
    </row>
    <row r="111" spans="1:15" x14ac:dyDescent="0.55000000000000004">
      <c r="A111">
        <v>609</v>
      </c>
      <c r="B111" t="s">
        <v>251</v>
      </c>
      <c r="C111" t="s">
        <v>250</v>
      </c>
      <c r="D111" t="s">
        <v>17</v>
      </c>
      <c r="E111" t="s">
        <v>18</v>
      </c>
      <c r="H111" t="s">
        <v>19</v>
      </c>
      <c r="I111" t="s">
        <v>20</v>
      </c>
      <c r="J111" t="s">
        <v>21</v>
      </c>
      <c r="K111" t="s">
        <v>69</v>
      </c>
      <c r="L111" t="s">
        <v>23</v>
      </c>
      <c r="M111" t="s">
        <v>24</v>
      </c>
      <c r="O111" t="s">
        <v>25</v>
      </c>
    </row>
    <row r="112" spans="1:15" x14ac:dyDescent="0.55000000000000004">
      <c r="A112">
        <v>610</v>
      </c>
      <c r="B112" t="s">
        <v>252</v>
      </c>
      <c r="C112" t="s">
        <v>253</v>
      </c>
      <c r="D112" t="s">
        <v>17</v>
      </c>
      <c r="E112" t="s">
        <v>18</v>
      </c>
      <c r="H112" t="s">
        <v>19</v>
      </c>
      <c r="I112" t="s">
        <v>20</v>
      </c>
      <c r="J112" t="s">
        <v>21</v>
      </c>
      <c r="K112" t="s">
        <v>82</v>
      </c>
      <c r="L112" t="s">
        <v>23</v>
      </c>
      <c r="M112" t="s">
        <v>24</v>
      </c>
      <c r="O112" t="s">
        <v>25</v>
      </c>
    </row>
    <row r="113" spans="1:15" x14ac:dyDescent="0.55000000000000004">
      <c r="A113">
        <v>611</v>
      </c>
      <c r="B113" t="s">
        <v>254</v>
      </c>
      <c r="C113" t="s">
        <v>255</v>
      </c>
      <c r="D113" t="s">
        <v>17</v>
      </c>
      <c r="E113" t="s">
        <v>18</v>
      </c>
      <c r="G113" t="s">
        <v>256</v>
      </c>
      <c r="H113" t="s">
        <v>19</v>
      </c>
      <c r="I113" t="s">
        <v>20</v>
      </c>
      <c r="J113" t="s">
        <v>21</v>
      </c>
      <c r="K113" t="s">
        <v>28</v>
      </c>
      <c r="L113" t="s">
        <v>23</v>
      </c>
      <c r="M113" t="s">
        <v>24</v>
      </c>
      <c r="O113" t="s">
        <v>25</v>
      </c>
    </row>
    <row r="114" spans="1:15" x14ac:dyDescent="0.55000000000000004">
      <c r="A114">
        <v>612</v>
      </c>
      <c r="B114" t="s">
        <v>257</v>
      </c>
      <c r="C114" t="s">
        <v>258</v>
      </c>
      <c r="D114" t="s">
        <v>17</v>
      </c>
      <c r="E114" t="s">
        <v>18</v>
      </c>
      <c r="G114" t="s">
        <v>256</v>
      </c>
      <c r="H114" t="s">
        <v>19</v>
      </c>
      <c r="I114" t="s">
        <v>20</v>
      </c>
      <c r="J114" t="s">
        <v>21</v>
      </c>
      <c r="K114" t="s">
        <v>28</v>
      </c>
      <c r="L114" t="s">
        <v>23</v>
      </c>
      <c r="M114" t="s">
        <v>24</v>
      </c>
      <c r="O114" t="s">
        <v>25</v>
      </c>
    </row>
    <row r="115" spans="1:15" x14ac:dyDescent="0.55000000000000004">
      <c r="A115">
        <v>613</v>
      </c>
      <c r="B115" t="s">
        <v>259</v>
      </c>
      <c r="C115" t="s">
        <v>260</v>
      </c>
      <c r="D115" t="s">
        <v>17</v>
      </c>
      <c r="E115" t="s">
        <v>18</v>
      </c>
      <c r="G115" t="s">
        <v>256</v>
      </c>
      <c r="H115" t="s">
        <v>19</v>
      </c>
      <c r="I115" t="s">
        <v>20</v>
      </c>
      <c r="J115" t="s">
        <v>21</v>
      </c>
      <c r="K115" t="s">
        <v>28</v>
      </c>
      <c r="L115" t="s">
        <v>23</v>
      </c>
      <c r="M115" t="s">
        <v>24</v>
      </c>
      <c r="O115" t="s">
        <v>25</v>
      </c>
    </row>
    <row r="116" spans="1:15" x14ac:dyDescent="0.55000000000000004">
      <c r="A116">
        <v>614</v>
      </c>
      <c r="B116" t="s">
        <v>261</v>
      </c>
      <c r="C116" t="s">
        <v>262</v>
      </c>
      <c r="D116" t="s">
        <v>17</v>
      </c>
      <c r="E116" t="s">
        <v>18</v>
      </c>
      <c r="G116" t="s">
        <v>256</v>
      </c>
      <c r="H116" t="s">
        <v>19</v>
      </c>
      <c r="I116" t="s">
        <v>20</v>
      </c>
      <c r="J116" t="s">
        <v>21</v>
      </c>
      <c r="K116" t="s">
        <v>28</v>
      </c>
      <c r="L116" t="s">
        <v>23</v>
      </c>
      <c r="M116" t="s">
        <v>24</v>
      </c>
      <c r="O116" t="s">
        <v>25</v>
      </c>
    </row>
    <row r="117" spans="1:15" x14ac:dyDescent="0.55000000000000004">
      <c r="A117">
        <v>615</v>
      </c>
      <c r="B117" t="s">
        <v>263</v>
      </c>
      <c r="C117" t="s">
        <v>264</v>
      </c>
      <c r="D117" t="s">
        <v>17</v>
      </c>
      <c r="E117" t="s">
        <v>18</v>
      </c>
      <c r="G117" t="s">
        <v>256</v>
      </c>
      <c r="H117" t="s">
        <v>19</v>
      </c>
      <c r="I117" t="s">
        <v>20</v>
      </c>
      <c r="J117" t="s">
        <v>21</v>
      </c>
      <c r="K117" t="s">
        <v>28</v>
      </c>
      <c r="L117" t="s">
        <v>23</v>
      </c>
      <c r="M117" t="s">
        <v>24</v>
      </c>
      <c r="O117" t="s">
        <v>25</v>
      </c>
    </row>
    <row r="118" spans="1:15" x14ac:dyDescent="0.55000000000000004">
      <c r="A118">
        <v>616</v>
      </c>
      <c r="B118" t="s">
        <v>265</v>
      </c>
      <c r="C118" t="s">
        <v>266</v>
      </c>
      <c r="D118" t="s">
        <v>17</v>
      </c>
      <c r="E118" t="s">
        <v>18</v>
      </c>
      <c r="G118" t="s">
        <v>256</v>
      </c>
      <c r="H118" t="s">
        <v>19</v>
      </c>
      <c r="I118" t="s">
        <v>20</v>
      </c>
      <c r="J118" t="s">
        <v>21</v>
      </c>
      <c r="K118" t="s">
        <v>28</v>
      </c>
      <c r="L118" t="s">
        <v>23</v>
      </c>
      <c r="M118" t="s">
        <v>24</v>
      </c>
      <c r="O118" t="s">
        <v>25</v>
      </c>
    </row>
    <row r="119" spans="1:15" x14ac:dyDescent="0.55000000000000004">
      <c r="A119">
        <v>617</v>
      </c>
      <c r="B119" t="s">
        <v>267</v>
      </c>
      <c r="C119" t="s">
        <v>268</v>
      </c>
      <c r="D119" t="s">
        <v>17</v>
      </c>
      <c r="E119" t="s">
        <v>18</v>
      </c>
      <c r="G119" t="s">
        <v>256</v>
      </c>
      <c r="H119" t="s">
        <v>19</v>
      </c>
      <c r="I119" t="s">
        <v>20</v>
      </c>
      <c r="J119" t="s">
        <v>21</v>
      </c>
      <c r="K119" t="s">
        <v>28</v>
      </c>
      <c r="L119" t="s">
        <v>23</v>
      </c>
      <c r="M119" t="s">
        <v>24</v>
      </c>
      <c r="O119" t="s">
        <v>25</v>
      </c>
    </row>
    <row r="120" spans="1:15" x14ac:dyDescent="0.55000000000000004">
      <c r="A120">
        <v>618</v>
      </c>
      <c r="B120" t="s">
        <v>269</v>
      </c>
      <c r="C120" t="s">
        <v>270</v>
      </c>
      <c r="D120" t="s">
        <v>17</v>
      </c>
      <c r="E120" t="s">
        <v>18</v>
      </c>
      <c r="G120" t="s">
        <v>256</v>
      </c>
      <c r="H120" t="s">
        <v>19</v>
      </c>
      <c r="I120" t="s">
        <v>20</v>
      </c>
      <c r="J120" t="s">
        <v>21</v>
      </c>
      <c r="K120" t="s">
        <v>28</v>
      </c>
      <c r="L120" t="s">
        <v>23</v>
      </c>
      <c r="M120" t="s">
        <v>24</v>
      </c>
      <c r="O120" t="s">
        <v>25</v>
      </c>
    </row>
    <row r="121" spans="1:15" x14ac:dyDescent="0.55000000000000004">
      <c r="A121">
        <v>619</v>
      </c>
      <c r="B121" t="s">
        <v>271</v>
      </c>
      <c r="C121" t="s">
        <v>272</v>
      </c>
      <c r="D121" t="s">
        <v>17</v>
      </c>
      <c r="E121" t="s">
        <v>18</v>
      </c>
      <c r="G121" t="s">
        <v>256</v>
      </c>
      <c r="H121" t="s">
        <v>19</v>
      </c>
      <c r="I121" t="s">
        <v>20</v>
      </c>
      <c r="J121" t="s">
        <v>21</v>
      </c>
      <c r="K121" t="s">
        <v>28</v>
      </c>
      <c r="L121" t="s">
        <v>23</v>
      </c>
      <c r="M121" t="s">
        <v>24</v>
      </c>
      <c r="O121" t="s">
        <v>25</v>
      </c>
    </row>
    <row r="122" spans="1:15" x14ac:dyDescent="0.55000000000000004">
      <c r="A122">
        <v>620</v>
      </c>
      <c r="B122" t="s">
        <v>273</v>
      </c>
      <c r="C122" t="s">
        <v>274</v>
      </c>
      <c r="D122" t="s">
        <v>17</v>
      </c>
      <c r="E122" t="s">
        <v>18</v>
      </c>
      <c r="G122" t="s">
        <v>256</v>
      </c>
      <c r="H122" t="s">
        <v>19</v>
      </c>
      <c r="I122" t="s">
        <v>20</v>
      </c>
      <c r="J122" t="s">
        <v>21</v>
      </c>
      <c r="K122" t="s">
        <v>28</v>
      </c>
      <c r="L122" t="s">
        <v>23</v>
      </c>
      <c r="M122" t="s">
        <v>24</v>
      </c>
      <c r="O122" t="s">
        <v>25</v>
      </c>
    </row>
    <row r="123" spans="1:15" x14ac:dyDescent="0.55000000000000004">
      <c r="A123">
        <v>621</v>
      </c>
      <c r="B123" t="s">
        <v>275</v>
      </c>
      <c r="C123" t="s">
        <v>276</v>
      </c>
      <c r="D123" t="s">
        <v>17</v>
      </c>
      <c r="E123" t="s">
        <v>18</v>
      </c>
      <c r="G123" t="s">
        <v>256</v>
      </c>
      <c r="H123" t="s">
        <v>19</v>
      </c>
      <c r="I123" t="s">
        <v>20</v>
      </c>
      <c r="J123" t="s">
        <v>21</v>
      </c>
      <c r="K123" t="s">
        <v>28</v>
      </c>
      <c r="L123" t="s">
        <v>23</v>
      </c>
      <c r="M123" t="s">
        <v>24</v>
      </c>
      <c r="O123" t="s">
        <v>25</v>
      </c>
    </row>
    <row r="124" spans="1:15" x14ac:dyDescent="0.55000000000000004">
      <c r="A124">
        <v>622</v>
      </c>
      <c r="B124" t="s">
        <v>277</v>
      </c>
      <c r="C124" t="s">
        <v>278</v>
      </c>
      <c r="D124" t="s">
        <v>17</v>
      </c>
      <c r="E124" t="s">
        <v>18</v>
      </c>
      <c r="G124" t="s">
        <v>256</v>
      </c>
      <c r="H124" t="s">
        <v>19</v>
      </c>
      <c r="I124" t="s">
        <v>20</v>
      </c>
      <c r="J124" t="s">
        <v>21</v>
      </c>
      <c r="K124" t="s">
        <v>28</v>
      </c>
      <c r="L124" t="s">
        <v>23</v>
      </c>
      <c r="M124" t="s">
        <v>24</v>
      </c>
      <c r="O124" t="s">
        <v>25</v>
      </c>
    </row>
    <row r="125" spans="1:15" x14ac:dyDescent="0.55000000000000004">
      <c r="A125">
        <v>623</v>
      </c>
      <c r="B125" t="s">
        <v>279</v>
      </c>
      <c r="C125" t="s">
        <v>280</v>
      </c>
      <c r="D125" t="s">
        <v>17</v>
      </c>
      <c r="E125" t="s">
        <v>18</v>
      </c>
      <c r="G125" t="s">
        <v>256</v>
      </c>
      <c r="H125" t="s">
        <v>19</v>
      </c>
      <c r="I125" t="s">
        <v>20</v>
      </c>
      <c r="J125" t="s">
        <v>21</v>
      </c>
      <c r="K125" t="s">
        <v>28</v>
      </c>
      <c r="L125" t="s">
        <v>23</v>
      </c>
      <c r="M125" t="s">
        <v>24</v>
      </c>
      <c r="O125" t="s">
        <v>25</v>
      </c>
    </row>
    <row r="126" spans="1:15" x14ac:dyDescent="0.55000000000000004">
      <c r="A126">
        <v>624</v>
      </c>
      <c r="B126" t="s">
        <v>281</v>
      </c>
      <c r="C126" t="s">
        <v>282</v>
      </c>
      <c r="D126" t="s">
        <v>17</v>
      </c>
      <c r="E126" t="s">
        <v>18</v>
      </c>
      <c r="G126" t="s">
        <v>256</v>
      </c>
      <c r="H126" t="s">
        <v>19</v>
      </c>
      <c r="I126" t="s">
        <v>20</v>
      </c>
      <c r="J126" t="s">
        <v>21</v>
      </c>
      <c r="K126" t="s">
        <v>28</v>
      </c>
      <c r="L126" t="s">
        <v>23</v>
      </c>
      <c r="M126" t="s">
        <v>24</v>
      </c>
      <c r="O126" t="s">
        <v>25</v>
      </c>
    </row>
    <row r="127" spans="1:15" x14ac:dyDescent="0.55000000000000004">
      <c r="A127">
        <v>625</v>
      </c>
      <c r="B127" t="s">
        <v>283</v>
      </c>
      <c r="C127" t="s">
        <v>284</v>
      </c>
      <c r="D127" t="s">
        <v>17</v>
      </c>
      <c r="E127" t="s">
        <v>18</v>
      </c>
      <c r="G127" t="s">
        <v>256</v>
      </c>
      <c r="H127" t="s">
        <v>19</v>
      </c>
      <c r="I127" t="s">
        <v>20</v>
      </c>
      <c r="J127" t="s">
        <v>21</v>
      </c>
      <c r="K127" t="s">
        <v>28</v>
      </c>
      <c r="L127" t="s">
        <v>23</v>
      </c>
      <c r="M127" t="s">
        <v>24</v>
      </c>
      <c r="O127" t="s">
        <v>25</v>
      </c>
    </row>
    <row r="128" spans="1:15" x14ac:dyDescent="0.55000000000000004">
      <c r="A128">
        <v>626</v>
      </c>
      <c r="B128" t="s">
        <v>285</v>
      </c>
      <c r="C128" t="s">
        <v>286</v>
      </c>
      <c r="D128" t="s">
        <v>17</v>
      </c>
      <c r="E128" t="s">
        <v>18</v>
      </c>
      <c r="G128" t="s">
        <v>256</v>
      </c>
      <c r="H128" t="s">
        <v>19</v>
      </c>
      <c r="I128" t="s">
        <v>20</v>
      </c>
      <c r="J128" t="s">
        <v>21</v>
      </c>
      <c r="K128" t="s">
        <v>28</v>
      </c>
      <c r="L128" t="s">
        <v>23</v>
      </c>
      <c r="M128" t="s">
        <v>24</v>
      </c>
      <c r="O128" t="s">
        <v>25</v>
      </c>
    </row>
    <row r="129" spans="1:15" x14ac:dyDescent="0.55000000000000004">
      <c r="A129">
        <v>627</v>
      </c>
      <c r="B129" t="s">
        <v>287</v>
      </c>
      <c r="C129" t="s">
        <v>288</v>
      </c>
      <c r="D129" t="s">
        <v>17</v>
      </c>
      <c r="E129" t="s">
        <v>18</v>
      </c>
      <c r="G129" t="s">
        <v>256</v>
      </c>
      <c r="H129" t="s">
        <v>19</v>
      </c>
      <c r="I129" t="s">
        <v>20</v>
      </c>
      <c r="J129" t="s">
        <v>21</v>
      </c>
      <c r="K129" t="s">
        <v>28</v>
      </c>
      <c r="L129" t="s">
        <v>23</v>
      </c>
      <c r="M129" t="s">
        <v>24</v>
      </c>
      <c r="O129" t="s">
        <v>25</v>
      </c>
    </row>
    <row r="130" spans="1:15" x14ac:dyDescent="0.55000000000000004">
      <c r="A130">
        <v>628</v>
      </c>
      <c r="B130" t="s">
        <v>289</v>
      </c>
      <c r="C130" t="s">
        <v>290</v>
      </c>
      <c r="D130" t="s">
        <v>17</v>
      </c>
      <c r="E130" t="s">
        <v>18</v>
      </c>
      <c r="G130" t="s">
        <v>256</v>
      </c>
      <c r="H130" t="s">
        <v>19</v>
      </c>
      <c r="I130" t="s">
        <v>20</v>
      </c>
      <c r="J130" t="s">
        <v>21</v>
      </c>
      <c r="K130" t="s">
        <v>28</v>
      </c>
      <c r="L130" t="s">
        <v>23</v>
      </c>
      <c r="M130" t="s">
        <v>24</v>
      </c>
      <c r="O130" t="s">
        <v>25</v>
      </c>
    </row>
    <row r="131" spans="1:15" x14ac:dyDescent="0.55000000000000004">
      <c r="A131">
        <v>629</v>
      </c>
      <c r="B131" t="s">
        <v>291</v>
      </c>
      <c r="C131" t="s">
        <v>292</v>
      </c>
      <c r="D131" t="s">
        <v>17</v>
      </c>
      <c r="E131" t="s">
        <v>18</v>
      </c>
      <c r="G131" t="s">
        <v>256</v>
      </c>
      <c r="H131" t="s">
        <v>19</v>
      </c>
      <c r="I131" t="s">
        <v>20</v>
      </c>
      <c r="J131" t="s">
        <v>21</v>
      </c>
      <c r="K131" t="s">
        <v>28</v>
      </c>
      <c r="L131" t="s">
        <v>23</v>
      </c>
      <c r="M131" t="s">
        <v>24</v>
      </c>
      <c r="O131" t="s">
        <v>25</v>
      </c>
    </row>
    <row r="132" spans="1:15" x14ac:dyDescent="0.55000000000000004">
      <c r="A132">
        <v>630</v>
      </c>
      <c r="B132" t="s">
        <v>293</v>
      </c>
      <c r="C132" t="s">
        <v>294</v>
      </c>
      <c r="D132" t="s">
        <v>17</v>
      </c>
      <c r="E132" t="s">
        <v>18</v>
      </c>
      <c r="G132" t="s">
        <v>256</v>
      </c>
      <c r="H132" t="s">
        <v>19</v>
      </c>
      <c r="I132" t="s">
        <v>20</v>
      </c>
      <c r="J132" t="s">
        <v>21</v>
      </c>
      <c r="K132" t="s">
        <v>28</v>
      </c>
      <c r="L132" t="s">
        <v>23</v>
      </c>
      <c r="M132" t="s">
        <v>24</v>
      </c>
      <c r="O132" t="s">
        <v>25</v>
      </c>
    </row>
    <row r="133" spans="1:15" x14ac:dyDescent="0.55000000000000004">
      <c r="A133">
        <v>631</v>
      </c>
      <c r="B133" t="s">
        <v>295</v>
      </c>
      <c r="C133" t="s">
        <v>296</v>
      </c>
      <c r="D133" t="s">
        <v>17</v>
      </c>
      <c r="E133" t="s">
        <v>18</v>
      </c>
      <c r="G133" t="s">
        <v>256</v>
      </c>
      <c r="H133" t="s">
        <v>19</v>
      </c>
      <c r="I133" t="s">
        <v>20</v>
      </c>
      <c r="J133" t="s">
        <v>21</v>
      </c>
      <c r="K133" t="s">
        <v>28</v>
      </c>
      <c r="L133" t="s">
        <v>23</v>
      </c>
      <c r="M133" t="s">
        <v>24</v>
      </c>
      <c r="O133" t="s">
        <v>25</v>
      </c>
    </row>
    <row r="134" spans="1:15" x14ac:dyDescent="0.55000000000000004">
      <c r="A134">
        <v>632</v>
      </c>
      <c r="B134" t="s">
        <v>297</v>
      </c>
      <c r="C134" t="s">
        <v>298</v>
      </c>
      <c r="D134" t="s">
        <v>17</v>
      </c>
      <c r="E134" t="s">
        <v>18</v>
      </c>
      <c r="G134" t="s">
        <v>256</v>
      </c>
      <c r="H134" t="s">
        <v>19</v>
      </c>
      <c r="I134" t="s">
        <v>20</v>
      </c>
      <c r="J134" t="s">
        <v>21</v>
      </c>
      <c r="K134" t="s">
        <v>28</v>
      </c>
      <c r="L134" t="s">
        <v>23</v>
      </c>
      <c r="M134" t="s">
        <v>24</v>
      </c>
      <c r="O134" t="s">
        <v>25</v>
      </c>
    </row>
    <row r="135" spans="1:15" x14ac:dyDescent="0.55000000000000004">
      <c r="A135">
        <v>633</v>
      </c>
      <c r="B135" t="s">
        <v>299</v>
      </c>
      <c r="C135" t="s">
        <v>300</v>
      </c>
      <c r="D135" t="s">
        <v>17</v>
      </c>
      <c r="E135" t="s">
        <v>18</v>
      </c>
      <c r="G135" t="s">
        <v>256</v>
      </c>
      <c r="H135" t="s">
        <v>19</v>
      </c>
      <c r="I135" t="s">
        <v>20</v>
      </c>
      <c r="J135" t="s">
        <v>21</v>
      </c>
      <c r="K135" t="s">
        <v>28</v>
      </c>
      <c r="L135" t="s">
        <v>23</v>
      </c>
      <c r="M135" t="s">
        <v>24</v>
      </c>
      <c r="O135" t="s">
        <v>25</v>
      </c>
    </row>
    <row r="136" spans="1:15" x14ac:dyDescent="0.55000000000000004">
      <c r="A136">
        <v>634</v>
      </c>
      <c r="B136" t="s">
        <v>301</v>
      </c>
      <c r="C136" t="s">
        <v>302</v>
      </c>
      <c r="D136" t="s">
        <v>17</v>
      </c>
      <c r="E136" t="s">
        <v>18</v>
      </c>
      <c r="G136" t="s">
        <v>256</v>
      </c>
      <c r="H136" t="s">
        <v>19</v>
      </c>
      <c r="I136" t="s">
        <v>20</v>
      </c>
      <c r="J136" t="s">
        <v>21</v>
      </c>
      <c r="K136" t="s">
        <v>28</v>
      </c>
      <c r="L136" t="s">
        <v>23</v>
      </c>
      <c r="M136" t="s">
        <v>24</v>
      </c>
      <c r="O136" t="s">
        <v>25</v>
      </c>
    </row>
    <row r="137" spans="1:15" x14ac:dyDescent="0.55000000000000004">
      <c r="A137">
        <v>635</v>
      </c>
      <c r="B137" t="s">
        <v>303</v>
      </c>
      <c r="C137" t="s">
        <v>304</v>
      </c>
      <c r="D137" t="s">
        <v>17</v>
      </c>
      <c r="E137" t="s">
        <v>18</v>
      </c>
      <c r="G137" t="s">
        <v>256</v>
      </c>
      <c r="H137" t="s">
        <v>19</v>
      </c>
      <c r="I137" t="s">
        <v>20</v>
      </c>
      <c r="J137" t="s">
        <v>21</v>
      </c>
      <c r="K137" t="s">
        <v>28</v>
      </c>
      <c r="L137" t="s">
        <v>23</v>
      </c>
      <c r="M137" t="s">
        <v>24</v>
      </c>
      <c r="O137" t="s">
        <v>25</v>
      </c>
    </row>
    <row r="138" spans="1:15" x14ac:dyDescent="0.55000000000000004">
      <c r="A138">
        <v>636</v>
      </c>
      <c r="B138" t="s">
        <v>305</v>
      </c>
      <c r="C138" t="s">
        <v>306</v>
      </c>
      <c r="D138" t="s">
        <v>17</v>
      </c>
      <c r="E138" t="s">
        <v>18</v>
      </c>
      <c r="G138" t="s">
        <v>256</v>
      </c>
      <c r="H138" t="s">
        <v>19</v>
      </c>
      <c r="I138" t="s">
        <v>20</v>
      </c>
      <c r="J138" t="s">
        <v>21</v>
      </c>
      <c r="K138" t="s">
        <v>28</v>
      </c>
      <c r="L138" t="s">
        <v>23</v>
      </c>
      <c r="M138" t="s">
        <v>24</v>
      </c>
      <c r="O138" t="s">
        <v>25</v>
      </c>
    </row>
    <row r="139" spans="1:15" x14ac:dyDescent="0.55000000000000004">
      <c r="A139">
        <v>637</v>
      </c>
      <c r="B139" t="s">
        <v>307</v>
      </c>
      <c r="C139" t="s">
        <v>308</v>
      </c>
      <c r="D139" t="s">
        <v>17</v>
      </c>
      <c r="E139" t="s">
        <v>18</v>
      </c>
      <c r="G139" t="s">
        <v>256</v>
      </c>
      <c r="H139" t="s">
        <v>19</v>
      </c>
      <c r="I139" t="s">
        <v>20</v>
      </c>
      <c r="J139" t="s">
        <v>21</v>
      </c>
      <c r="K139" t="s">
        <v>28</v>
      </c>
      <c r="L139" t="s">
        <v>23</v>
      </c>
      <c r="M139" t="s">
        <v>24</v>
      </c>
      <c r="O139" t="s">
        <v>25</v>
      </c>
    </row>
    <row r="140" spans="1:15" x14ac:dyDescent="0.55000000000000004">
      <c r="A140">
        <v>638</v>
      </c>
      <c r="B140" t="s">
        <v>309</v>
      </c>
      <c r="C140" t="s">
        <v>310</v>
      </c>
      <c r="D140" t="s">
        <v>17</v>
      </c>
      <c r="E140" t="s">
        <v>18</v>
      </c>
      <c r="G140" t="s">
        <v>256</v>
      </c>
      <c r="H140" t="s">
        <v>19</v>
      </c>
      <c r="I140" t="s">
        <v>20</v>
      </c>
      <c r="J140" t="s">
        <v>21</v>
      </c>
      <c r="K140" t="s">
        <v>28</v>
      </c>
      <c r="L140" t="s">
        <v>23</v>
      </c>
      <c r="M140" t="s">
        <v>24</v>
      </c>
      <c r="O140" t="s">
        <v>25</v>
      </c>
    </row>
    <row r="141" spans="1:15" x14ac:dyDescent="0.55000000000000004">
      <c r="A141">
        <v>639</v>
      </c>
      <c r="B141" t="s">
        <v>311</v>
      </c>
      <c r="C141" t="s">
        <v>312</v>
      </c>
      <c r="D141" t="s">
        <v>17</v>
      </c>
      <c r="E141" t="s">
        <v>18</v>
      </c>
      <c r="G141" t="s">
        <v>256</v>
      </c>
      <c r="H141" t="s">
        <v>19</v>
      </c>
      <c r="I141" t="s">
        <v>20</v>
      </c>
      <c r="J141" t="s">
        <v>21</v>
      </c>
      <c r="K141" t="s">
        <v>28</v>
      </c>
      <c r="L141" t="s">
        <v>23</v>
      </c>
      <c r="M141" t="s">
        <v>24</v>
      </c>
      <c r="O141" t="s">
        <v>25</v>
      </c>
    </row>
    <row r="142" spans="1:15" x14ac:dyDescent="0.55000000000000004">
      <c r="A142">
        <v>640</v>
      </c>
      <c r="B142" t="s">
        <v>313</v>
      </c>
      <c r="C142" t="s">
        <v>314</v>
      </c>
      <c r="D142" t="s">
        <v>17</v>
      </c>
      <c r="E142" t="s">
        <v>18</v>
      </c>
      <c r="G142" t="s">
        <v>256</v>
      </c>
      <c r="H142" t="s">
        <v>19</v>
      </c>
      <c r="I142" t="s">
        <v>20</v>
      </c>
      <c r="J142" t="s">
        <v>21</v>
      </c>
      <c r="K142" t="s">
        <v>28</v>
      </c>
      <c r="L142" t="s">
        <v>23</v>
      </c>
      <c r="M142" t="s">
        <v>24</v>
      </c>
      <c r="O142" t="s">
        <v>25</v>
      </c>
    </row>
    <row r="143" spans="1:15" x14ac:dyDescent="0.55000000000000004">
      <c r="A143">
        <v>641</v>
      </c>
      <c r="B143" t="s">
        <v>315</v>
      </c>
      <c r="C143" t="s">
        <v>316</v>
      </c>
      <c r="D143" t="s">
        <v>17</v>
      </c>
      <c r="E143" t="s">
        <v>18</v>
      </c>
      <c r="G143" t="s">
        <v>256</v>
      </c>
      <c r="H143" t="s">
        <v>19</v>
      </c>
      <c r="I143" t="s">
        <v>20</v>
      </c>
      <c r="J143" t="s">
        <v>21</v>
      </c>
      <c r="K143" t="s">
        <v>28</v>
      </c>
      <c r="L143" t="s">
        <v>23</v>
      </c>
      <c r="M143" t="s">
        <v>24</v>
      </c>
      <c r="O143" t="s">
        <v>25</v>
      </c>
    </row>
    <row r="144" spans="1:15" x14ac:dyDescent="0.55000000000000004">
      <c r="A144">
        <v>642</v>
      </c>
      <c r="B144" t="s">
        <v>317</v>
      </c>
      <c r="C144" t="s">
        <v>318</v>
      </c>
      <c r="D144" t="s">
        <v>17</v>
      </c>
      <c r="E144" t="s">
        <v>18</v>
      </c>
      <c r="G144" t="s">
        <v>256</v>
      </c>
      <c r="H144" t="s">
        <v>19</v>
      </c>
      <c r="I144" t="s">
        <v>20</v>
      </c>
      <c r="J144" t="s">
        <v>21</v>
      </c>
      <c r="K144" t="s">
        <v>28</v>
      </c>
      <c r="L144" t="s">
        <v>23</v>
      </c>
      <c r="M144" t="s">
        <v>24</v>
      </c>
      <c r="O144" t="s">
        <v>25</v>
      </c>
    </row>
    <row r="145" spans="1:15" x14ac:dyDescent="0.55000000000000004">
      <c r="A145">
        <v>643</v>
      </c>
      <c r="B145" t="s">
        <v>319</v>
      </c>
      <c r="C145" t="s">
        <v>320</v>
      </c>
      <c r="D145" t="s">
        <v>17</v>
      </c>
      <c r="E145" t="s">
        <v>18</v>
      </c>
      <c r="G145" t="s">
        <v>256</v>
      </c>
      <c r="H145" t="s">
        <v>19</v>
      </c>
      <c r="I145" t="s">
        <v>20</v>
      </c>
      <c r="J145" t="s">
        <v>21</v>
      </c>
      <c r="K145" t="s">
        <v>28</v>
      </c>
      <c r="L145" t="s">
        <v>23</v>
      </c>
      <c r="M145" t="s">
        <v>24</v>
      </c>
      <c r="O145" t="s">
        <v>25</v>
      </c>
    </row>
    <row r="146" spans="1:15" x14ac:dyDescent="0.55000000000000004">
      <c r="A146">
        <v>644</v>
      </c>
      <c r="B146" t="s">
        <v>321</v>
      </c>
      <c r="C146" t="s">
        <v>322</v>
      </c>
      <c r="D146" t="s">
        <v>17</v>
      </c>
      <c r="E146" t="s">
        <v>18</v>
      </c>
      <c r="H146" t="s">
        <v>19</v>
      </c>
      <c r="I146" t="s">
        <v>20</v>
      </c>
      <c r="J146" t="s">
        <v>21</v>
      </c>
      <c r="K146" t="s">
        <v>28</v>
      </c>
      <c r="L146" t="s">
        <v>23</v>
      </c>
      <c r="M146" t="s">
        <v>24</v>
      </c>
      <c r="O146" t="s">
        <v>25</v>
      </c>
    </row>
    <row r="147" spans="1:15" x14ac:dyDescent="0.55000000000000004">
      <c r="A147">
        <v>645</v>
      </c>
      <c r="B147" t="s">
        <v>323</v>
      </c>
      <c r="C147" t="s">
        <v>324</v>
      </c>
      <c r="D147" t="s">
        <v>17</v>
      </c>
      <c r="E147" t="s">
        <v>18</v>
      </c>
      <c r="H147" t="s">
        <v>19</v>
      </c>
      <c r="I147" t="s">
        <v>20</v>
      </c>
      <c r="J147" t="s">
        <v>21</v>
      </c>
      <c r="K147" t="s">
        <v>28</v>
      </c>
      <c r="L147" t="s">
        <v>23</v>
      </c>
      <c r="M147" t="s">
        <v>24</v>
      </c>
      <c r="O147" t="s">
        <v>25</v>
      </c>
    </row>
    <row r="148" spans="1:15" x14ac:dyDescent="0.55000000000000004">
      <c r="A148">
        <v>646</v>
      </c>
      <c r="B148" t="s">
        <v>325</v>
      </c>
      <c r="C148" t="s">
        <v>324</v>
      </c>
      <c r="D148" t="s">
        <v>17</v>
      </c>
      <c r="E148" t="s">
        <v>18</v>
      </c>
      <c r="H148" t="s">
        <v>19</v>
      </c>
      <c r="I148" t="s">
        <v>20</v>
      </c>
      <c r="J148" t="s">
        <v>21</v>
      </c>
      <c r="K148" t="s">
        <v>57</v>
      </c>
      <c r="L148" t="s">
        <v>23</v>
      </c>
      <c r="M148" t="s">
        <v>24</v>
      </c>
      <c r="O148" t="s">
        <v>25</v>
      </c>
    </row>
    <row r="149" spans="1:15" x14ac:dyDescent="0.55000000000000004">
      <c r="A149">
        <v>647</v>
      </c>
      <c r="B149" t="s">
        <v>326</v>
      </c>
      <c r="C149" t="s">
        <v>327</v>
      </c>
      <c r="D149" t="s">
        <v>17</v>
      </c>
      <c r="E149" t="s">
        <v>18</v>
      </c>
      <c r="H149" t="s">
        <v>19</v>
      </c>
      <c r="I149" t="s">
        <v>20</v>
      </c>
      <c r="J149" t="s">
        <v>21</v>
      </c>
      <c r="K149" t="s">
        <v>28</v>
      </c>
      <c r="L149" t="s">
        <v>23</v>
      </c>
      <c r="M149" t="s">
        <v>24</v>
      </c>
      <c r="O149" t="s">
        <v>25</v>
      </c>
    </row>
    <row r="150" spans="1:15" x14ac:dyDescent="0.55000000000000004">
      <c r="A150">
        <v>648</v>
      </c>
      <c r="B150" t="s">
        <v>328</v>
      </c>
      <c r="C150" t="s">
        <v>329</v>
      </c>
      <c r="D150" t="s">
        <v>17</v>
      </c>
      <c r="E150" t="s">
        <v>18</v>
      </c>
      <c r="H150" t="s">
        <v>19</v>
      </c>
      <c r="I150" t="s">
        <v>20</v>
      </c>
      <c r="J150" t="s">
        <v>21</v>
      </c>
      <c r="K150" t="s">
        <v>330</v>
      </c>
      <c r="L150" t="s">
        <v>23</v>
      </c>
      <c r="M150" t="s">
        <v>24</v>
      </c>
      <c r="O150" t="s">
        <v>25</v>
      </c>
    </row>
    <row r="151" spans="1:15" x14ac:dyDescent="0.55000000000000004">
      <c r="A151">
        <v>649</v>
      </c>
      <c r="B151" t="s">
        <v>331</v>
      </c>
      <c r="C151" t="s">
        <v>329</v>
      </c>
      <c r="D151" t="s">
        <v>17</v>
      </c>
      <c r="E151" t="s">
        <v>18</v>
      </c>
      <c r="H151" t="s">
        <v>19</v>
      </c>
      <c r="I151" t="s">
        <v>20</v>
      </c>
      <c r="J151" t="s">
        <v>21</v>
      </c>
      <c r="K151" t="s">
        <v>28</v>
      </c>
      <c r="L151" t="s">
        <v>23</v>
      </c>
      <c r="M151" t="s">
        <v>24</v>
      </c>
      <c r="O151" t="s">
        <v>25</v>
      </c>
    </row>
    <row r="152" spans="1:15" x14ac:dyDescent="0.55000000000000004">
      <c r="A152">
        <v>650</v>
      </c>
      <c r="B152" t="s">
        <v>332</v>
      </c>
      <c r="C152" t="s">
        <v>329</v>
      </c>
      <c r="D152" t="s">
        <v>17</v>
      </c>
      <c r="E152" t="s">
        <v>18</v>
      </c>
      <c r="H152" t="s">
        <v>19</v>
      </c>
      <c r="I152" t="s">
        <v>20</v>
      </c>
      <c r="J152" t="s">
        <v>21</v>
      </c>
      <c r="K152" t="s">
        <v>69</v>
      </c>
      <c r="L152" t="s">
        <v>23</v>
      </c>
      <c r="M152" t="s">
        <v>24</v>
      </c>
      <c r="O152" t="s">
        <v>25</v>
      </c>
    </row>
    <row r="153" spans="1:15" x14ac:dyDescent="0.55000000000000004">
      <c r="A153">
        <v>651</v>
      </c>
      <c r="B153" t="s">
        <v>333</v>
      </c>
      <c r="C153" t="s">
        <v>334</v>
      </c>
      <c r="D153" t="s">
        <v>17</v>
      </c>
      <c r="E153" t="s">
        <v>18</v>
      </c>
      <c r="H153" t="s">
        <v>19</v>
      </c>
      <c r="I153" t="s">
        <v>20</v>
      </c>
      <c r="J153" t="s">
        <v>21</v>
      </c>
      <c r="K153" t="s">
        <v>36</v>
      </c>
      <c r="L153" t="s">
        <v>23</v>
      </c>
      <c r="M153" t="s">
        <v>24</v>
      </c>
      <c r="O153" t="s">
        <v>25</v>
      </c>
    </row>
    <row r="154" spans="1:15" x14ac:dyDescent="0.55000000000000004">
      <c r="A154">
        <v>652</v>
      </c>
      <c r="B154" t="s">
        <v>335</v>
      </c>
      <c r="C154" t="s">
        <v>336</v>
      </c>
      <c r="D154" t="s">
        <v>17</v>
      </c>
      <c r="E154" t="s">
        <v>18</v>
      </c>
      <c r="H154" t="s">
        <v>19</v>
      </c>
      <c r="I154" t="s">
        <v>20</v>
      </c>
      <c r="J154" t="s">
        <v>21</v>
      </c>
      <c r="K154" t="s">
        <v>76</v>
      </c>
      <c r="L154" t="s">
        <v>23</v>
      </c>
      <c r="M154" t="s">
        <v>24</v>
      </c>
      <c r="O154" t="s">
        <v>25</v>
      </c>
    </row>
    <row r="155" spans="1:15" x14ac:dyDescent="0.55000000000000004">
      <c r="A155">
        <v>653</v>
      </c>
      <c r="B155" t="s">
        <v>337</v>
      </c>
      <c r="C155" t="s">
        <v>336</v>
      </c>
      <c r="D155" t="s">
        <v>17</v>
      </c>
      <c r="E155" t="s">
        <v>18</v>
      </c>
      <c r="H155" t="s">
        <v>19</v>
      </c>
      <c r="I155" t="s">
        <v>20</v>
      </c>
      <c r="J155" t="s">
        <v>21</v>
      </c>
      <c r="K155" t="s">
        <v>69</v>
      </c>
      <c r="L155" t="s">
        <v>23</v>
      </c>
      <c r="M155" t="s">
        <v>24</v>
      </c>
      <c r="O155" t="s">
        <v>25</v>
      </c>
    </row>
    <row r="156" spans="1:15" x14ac:dyDescent="0.55000000000000004">
      <c r="A156">
        <v>654</v>
      </c>
      <c r="B156" t="s">
        <v>338</v>
      </c>
      <c r="C156" t="s">
        <v>339</v>
      </c>
      <c r="D156" t="s">
        <v>17</v>
      </c>
      <c r="E156" t="s">
        <v>18</v>
      </c>
      <c r="H156" t="s">
        <v>19</v>
      </c>
      <c r="I156" t="s">
        <v>20</v>
      </c>
      <c r="J156" t="s">
        <v>21</v>
      </c>
      <c r="K156" t="s">
        <v>28</v>
      </c>
      <c r="L156" t="s">
        <v>23</v>
      </c>
      <c r="M156" t="s">
        <v>24</v>
      </c>
      <c r="O156" t="s">
        <v>25</v>
      </c>
    </row>
    <row r="157" spans="1:15" x14ac:dyDescent="0.55000000000000004">
      <c r="A157">
        <v>655</v>
      </c>
      <c r="B157" t="s">
        <v>340</v>
      </c>
      <c r="C157" t="s">
        <v>341</v>
      </c>
      <c r="D157" t="s">
        <v>17</v>
      </c>
      <c r="E157" t="s">
        <v>18</v>
      </c>
      <c r="H157" t="s">
        <v>19</v>
      </c>
      <c r="I157" t="s">
        <v>20</v>
      </c>
      <c r="J157" t="s">
        <v>21</v>
      </c>
      <c r="K157" t="s">
        <v>28</v>
      </c>
      <c r="L157" t="s">
        <v>23</v>
      </c>
      <c r="M157" t="s">
        <v>24</v>
      </c>
      <c r="O157" t="s">
        <v>25</v>
      </c>
    </row>
    <row r="158" spans="1:15" x14ac:dyDescent="0.55000000000000004">
      <c r="A158">
        <v>656</v>
      </c>
      <c r="B158" t="s">
        <v>342</v>
      </c>
      <c r="C158" t="s">
        <v>343</v>
      </c>
      <c r="D158" t="s">
        <v>17</v>
      </c>
      <c r="E158" t="s">
        <v>18</v>
      </c>
      <c r="H158" t="s">
        <v>19</v>
      </c>
      <c r="I158" t="s">
        <v>20</v>
      </c>
      <c r="J158" t="s">
        <v>21</v>
      </c>
      <c r="K158" t="s">
        <v>28</v>
      </c>
      <c r="L158" t="s">
        <v>23</v>
      </c>
      <c r="M158" t="s">
        <v>24</v>
      </c>
      <c r="O158" t="s">
        <v>25</v>
      </c>
    </row>
    <row r="159" spans="1:15" x14ac:dyDescent="0.55000000000000004">
      <c r="A159">
        <v>657</v>
      </c>
      <c r="B159" t="s">
        <v>344</v>
      </c>
      <c r="C159" t="s">
        <v>345</v>
      </c>
      <c r="D159" t="s">
        <v>17</v>
      </c>
      <c r="E159" t="s">
        <v>18</v>
      </c>
      <c r="H159" t="s">
        <v>19</v>
      </c>
      <c r="I159" t="s">
        <v>20</v>
      </c>
      <c r="J159" t="s">
        <v>21</v>
      </c>
      <c r="K159" t="s">
        <v>82</v>
      </c>
      <c r="L159" t="s">
        <v>23</v>
      </c>
      <c r="M159" t="s">
        <v>24</v>
      </c>
      <c r="O159" t="s">
        <v>25</v>
      </c>
    </row>
    <row r="160" spans="1:15" x14ac:dyDescent="0.55000000000000004">
      <c r="A160">
        <v>658</v>
      </c>
      <c r="B160" t="s">
        <v>346</v>
      </c>
      <c r="C160" t="s">
        <v>347</v>
      </c>
      <c r="D160" t="s">
        <v>17</v>
      </c>
      <c r="E160" t="s">
        <v>18</v>
      </c>
      <c r="H160" t="s">
        <v>19</v>
      </c>
      <c r="I160" t="s">
        <v>20</v>
      </c>
      <c r="J160" t="s">
        <v>21</v>
      </c>
      <c r="K160" t="s">
        <v>36</v>
      </c>
      <c r="L160" t="s">
        <v>23</v>
      </c>
      <c r="M160" t="s">
        <v>24</v>
      </c>
      <c r="O160" t="s">
        <v>25</v>
      </c>
    </row>
    <row r="161" spans="1:15" x14ac:dyDescent="0.55000000000000004">
      <c r="A161">
        <v>659</v>
      </c>
      <c r="B161" t="s">
        <v>348</v>
      </c>
      <c r="C161" t="s">
        <v>349</v>
      </c>
      <c r="D161" t="s">
        <v>17</v>
      </c>
      <c r="E161" t="s">
        <v>18</v>
      </c>
      <c r="H161" t="s">
        <v>19</v>
      </c>
      <c r="I161" t="s">
        <v>20</v>
      </c>
      <c r="J161" t="s">
        <v>21</v>
      </c>
      <c r="K161" t="s">
        <v>36</v>
      </c>
      <c r="L161" t="s">
        <v>23</v>
      </c>
      <c r="M161" t="s">
        <v>24</v>
      </c>
      <c r="O161" t="s">
        <v>25</v>
      </c>
    </row>
    <row r="162" spans="1:15" x14ac:dyDescent="0.55000000000000004">
      <c r="A162">
        <v>660</v>
      </c>
      <c r="B162" t="s">
        <v>350</v>
      </c>
      <c r="C162" t="s">
        <v>351</v>
      </c>
      <c r="D162" t="s">
        <v>17</v>
      </c>
      <c r="E162" t="s">
        <v>18</v>
      </c>
      <c r="H162" t="s">
        <v>19</v>
      </c>
      <c r="I162" t="s">
        <v>20</v>
      </c>
      <c r="J162" t="s">
        <v>21</v>
      </c>
      <c r="K162" t="s">
        <v>28</v>
      </c>
      <c r="L162" t="s">
        <v>23</v>
      </c>
      <c r="M162" t="s">
        <v>24</v>
      </c>
      <c r="O162" t="s">
        <v>25</v>
      </c>
    </row>
    <row r="163" spans="1:15" x14ac:dyDescent="0.55000000000000004">
      <c r="A163">
        <v>661</v>
      </c>
      <c r="B163" t="s">
        <v>352</v>
      </c>
      <c r="C163" t="s">
        <v>353</v>
      </c>
      <c r="D163" t="s">
        <v>17</v>
      </c>
      <c r="E163" t="s">
        <v>18</v>
      </c>
      <c r="H163" t="s">
        <v>19</v>
      </c>
      <c r="I163" t="s">
        <v>20</v>
      </c>
      <c r="J163" t="s">
        <v>21</v>
      </c>
      <c r="K163" t="s">
        <v>69</v>
      </c>
      <c r="L163" t="s">
        <v>23</v>
      </c>
      <c r="M163" t="s">
        <v>24</v>
      </c>
      <c r="O163" t="s">
        <v>25</v>
      </c>
    </row>
    <row r="164" spans="1:15" x14ac:dyDescent="0.55000000000000004">
      <c r="A164">
        <v>662</v>
      </c>
      <c r="B164" t="s">
        <v>352</v>
      </c>
      <c r="C164" t="s">
        <v>353</v>
      </c>
      <c r="D164" t="s">
        <v>17</v>
      </c>
      <c r="E164" t="s">
        <v>18</v>
      </c>
      <c r="H164" t="s">
        <v>19</v>
      </c>
      <c r="I164" t="s">
        <v>20</v>
      </c>
      <c r="J164" t="s">
        <v>21</v>
      </c>
      <c r="K164" t="s">
        <v>69</v>
      </c>
      <c r="L164" t="s">
        <v>23</v>
      </c>
      <c r="M164" t="s">
        <v>24</v>
      </c>
      <c r="O164" t="s">
        <v>25</v>
      </c>
    </row>
    <row r="165" spans="1:15" x14ac:dyDescent="0.55000000000000004">
      <c r="A165">
        <v>663</v>
      </c>
      <c r="B165" t="s">
        <v>354</v>
      </c>
      <c r="C165" t="s">
        <v>355</v>
      </c>
      <c r="D165" t="s">
        <v>17</v>
      </c>
      <c r="E165" t="s">
        <v>18</v>
      </c>
      <c r="H165" t="s">
        <v>19</v>
      </c>
      <c r="I165" t="s">
        <v>20</v>
      </c>
      <c r="J165" t="s">
        <v>21</v>
      </c>
      <c r="K165" t="s">
        <v>36</v>
      </c>
      <c r="L165" t="s">
        <v>23</v>
      </c>
      <c r="M165" t="s">
        <v>24</v>
      </c>
      <c r="O165" t="s">
        <v>25</v>
      </c>
    </row>
    <row r="166" spans="1:15" x14ac:dyDescent="0.55000000000000004">
      <c r="A166">
        <v>664</v>
      </c>
      <c r="B166" t="s">
        <v>356</v>
      </c>
      <c r="C166" t="s">
        <v>357</v>
      </c>
      <c r="D166" t="s">
        <v>17</v>
      </c>
      <c r="E166" t="s">
        <v>18</v>
      </c>
      <c r="H166" t="s">
        <v>19</v>
      </c>
      <c r="I166" t="s">
        <v>20</v>
      </c>
      <c r="J166" t="s">
        <v>21</v>
      </c>
      <c r="K166" t="s">
        <v>330</v>
      </c>
      <c r="L166" t="s">
        <v>23</v>
      </c>
      <c r="M166" t="s">
        <v>24</v>
      </c>
      <c r="O166" t="s">
        <v>25</v>
      </c>
    </row>
    <row r="167" spans="1:15" x14ac:dyDescent="0.55000000000000004">
      <c r="A167">
        <v>665</v>
      </c>
      <c r="B167" t="s">
        <v>358</v>
      </c>
      <c r="C167" t="s">
        <v>359</v>
      </c>
      <c r="D167" t="s">
        <v>17</v>
      </c>
      <c r="E167" t="s">
        <v>18</v>
      </c>
      <c r="H167" t="s">
        <v>19</v>
      </c>
      <c r="I167" t="s">
        <v>20</v>
      </c>
      <c r="J167" t="s">
        <v>21</v>
      </c>
      <c r="K167" t="s">
        <v>28</v>
      </c>
      <c r="L167" t="s">
        <v>23</v>
      </c>
      <c r="M167" t="s">
        <v>24</v>
      </c>
      <c r="O167" t="s">
        <v>25</v>
      </c>
    </row>
    <row r="168" spans="1:15" x14ac:dyDescent="0.55000000000000004">
      <c r="A168">
        <v>666</v>
      </c>
      <c r="B168" t="s">
        <v>360</v>
      </c>
      <c r="C168" t="s">
        <v>361</v>
      </c>
      <c r="D168" t="s">
        <v>17</v>
      </c>
      <c r="E168" t="s">
        <v>18</v>
      </c>
      <c r="H168" t="s">
        <v>19</v>
      </c>
      <c r="I168" t="s">
        <v>20</v>
      </c>
      <c r="J168" t="s">
        <v>21</v>
      </c>
      <c r="K168" t="s">
        <v>220</v>
      </c>
      <c r="L168" t="s">
        <v>23</v>
      </c>
      <c r="M168" t="s">
        <v>24</v>
      </c>
      <c r="O168" t="s">
        <v>25</v>
      </c>
    </row>
    <row r="169" spans="1:15" x14ac:dyDescent="0.55000000000000004">
      <c r="A169">
        <v>667</v>
      </c>
      <c r="B169" t="s">
        <v>362</v>
      </c>
      <c r="C169" t="s">
        <v>361</v>
      </c>
      <c r="D169" t="s">
        <v>17</v>
      </c>
      <c r="E169" t="s">
        <v>18</v>
      </c>
      <c r="H169" t="s">
        <v>19</v>
      </c>
      <c r="I169" t="s">
        <v>20</v>
      </c>
      <c r="J169" t="s">
        <v>21</v>
      </c>
      <c r="K169" t="s">
        <v>28</v>
      </c>
      <c r="L169" t="s">
        <v>23</v>
      </c>
      <c r="M169" t="s">
        <v>24</v>
      </c>
      <c r="O169" t="s">
        <v>25</v>
      </c>
    </row>
    <row r="170" spans="1:15" x14ac:dyDescent="0.55000000000000004">
      <c r="A170">
        <v>668</v>
      </c>
      <c r="B170" t="s">
        <v>363</v>
      </c>
      <c r="C170" t="s">
        <v>361</v>
      </c>
      <c r="D170" t="s">
        <v>17</v>
      </c>
      <c r="E170" t="s">
        <v>18</v>
      </c>
      <c r="H170" t="s">
        <v>19</v>
      </c>
      <c r="I170" t="s">
        <v>20</v>
      </c>
      <c r="J170" t="s">
        <v>21</v>
      </c>
      <c r="K170" t="s">
        <v>69</v>
      </c>
      <c r="L170" t="s">
        <v>23</v>
      </c>
      <c r="M170" t="s">
        <v>24</v>
      </c>
      <c r="O170" t="s">
        <v>25</v>
      </c>
    </row>
    <row r="171" spans="1:15" x14ac:dyDescent="0.55000000000000004">
      <c r="A171">
        <v>669</v>
      </c>
      <c r="B171" t="s">
        <v>364</v>
      </c>
      <c r="C171" t="s">
        <v>365</v>
      </c>
      <c r="D171" t="s">
        <v>17</v>
      </c>
      <c r="E171" t="s">
        <v>18</v>
      </c>
      <c r="H171" t="s">
        <v>19</v>
      </c>
      <c r="I171" t="s">
        <v>20</v>
      </c>
      <c r="J171" t="s">
        <v>21</v>
      </c>
      <c r="K171" t="s">
        <v>28</v>
      </c>
      <c r="L171" t="s">
        <v>23</v>
      </c>
      <c r="M171" t="s">
        <v>24</v>
      </c>
      <c r="O171" t="s">
        <v>25</v>
      </c>
    </row>
    <row r="172" spans="1:15" x14ac:dyDescent="0.55000000000000004">
      <c r="A172">
        <v>670</v>
      </c>
      <c r="B172" t="s">
        <v>366</v>
      </c>
      <c r="C172" t="s">
        <v>367</v>
      </c>
      <c r="D172" t="s">
        <v>17</v>
      </c>
      <c r="E172" t="s">
        <v>18</v>
      </c>
      <c r="H172" t="s">
        <v>19</v>
      </c>
      <c r="I172" t="s">
        <v>20</v>
      </c>
      <c r="J172" t="s">
        <v>21</v>
      </c>
      <c r="K172" t="s">
        <v>28</v>
      </c>
      <c r="L172" t="s">
        <v>23</v>
      </c>
      <c r="M172" t="s">
        <v>24</v>
      </c>
      <c r="O172" t="s">
        <v>25</v>
      </c>
    </row>
    <row r="173" spans="1:15" x14ac:dyDescent="0.55000000000000004">
      <c r="A173">
        <v>671</v>
      </c>
      <c r="B173" t="s">
        <v>368</v>
      </c>
      <c r="C173" t="s">
        <v>369</v>
      </c>
      <c r="D173" t="s">
        <v>17</v>
      </c>
      <c r="E173" t="s">
        <v>18</v>
      </c>
      <c r="H173" t="s">
        <v>19</v>
      </c>
      <c r="I173" t="s">
        <v>20</v>
      </c>
      <c r="J173" t="s">
        <v>21</v>
      </c>
      <c r="K173" t="s">
        <v>220</v>
      </c>
      <c r="L173" t="s">
        <v>23</v>
      </c>
      <c r="M173" t="s">
        <v>24</v>
      </c>
      <c r="O173" t="s">
        <v>25</v>
      </c>
    </row>
    <row r="174" spans="1:15" x14ac:dyDescent="0.55000000000000004">
      <c r="A174">
        <v>672</v>
      </c>
      <c r="B174" t="s">
        <v>370</v>
      </c>
      <c r="C174" t="s">
        <v>369</v>
      </c>
      <c r="D174" t="s">
        <v>17</v>
      </c>
      <c r="E174" t="s">
        <v>18</v>
      </c>
      <c r="H174" t="s">
        <v>19</v>
      </c>
      <c r="I174" t="s">
        <v>20</v>
      </c>
      <c r="J174" t="s">
        <v>21</v>
      </c>
      <c r="K174" t="s">
        <v>28</v>
      </c>
      <c r="L174" t="s">
        <v>23</v>
      </c>
      <c r="M174" t="s">
        <v>24</v>
      </c>
      <c r="O174" t="s">
        <v>25</v>
      </c>
    </row>
    <row r="175" spans="1:15" x14ac:dyDescent="0.55000000000000004">
      <c r="A175">
        <v>673</v>
      </c>
      <c r="B175" t="s">
        <v>371</v>
      </c>
      <c r="C175" t="s">
        <v>372</v>
      </c>
      <c r="D175" t="s">
        <v>17</v>
      </c>
      <c r="E175" t="s">
        <v>18</v>
      </c>
      <c r="H175" t="s">
        <v>19</v>
      </c>
      <c r="I175" t="s">
        <v>20</v>
      </c>
      <c r="J175" t="s">
        <v>21</v>
      </c>
      <c r="K175" t="s">
        <v>330</v>
      </c>
      <c r="L175" t="s">
        <v>23</v>
      </c>
      <c r="M175" t="s">
        <v>24</v>
      </c>
      <c r="O175" t="s">
        <v>25</v>
      </c>
    </row>
    <row r="176" spans="1:15" x14ac:dyDescent="0.55000000000000004">
      <c r="A176">
        <v>674</v>
      </c>
      <c r="B176" t="s">
        <v>373</v>
      </c>
      <c r="C176" t="s">
        <v>372</v>
      </c>
      <c r="D176" t="s">
        <v>17</v>
      </c>
      <c r="E176" t="s">
        <v>18</v>
      </c>
      <c r="H176" t="s">
        <v>19</v>
      </c>
      <c r="I176" t="s">
        <v>20</v>
      </c>
      <c r="J176" t="s">
        <v>21</v>
      </c>
      <c r="K176" t="s">
        <v>28</v>
      </c>
      <c r="L176" t="s">
        <v>23</v>
      </c>
      <c r="M176" t="s">
        <v>24</v>
      </c>
      <c r="O176" t="s">
        <v>25</v>
      </c>
    </row>
    <row r="177" spans="1:15" x14ac:dyDescent="0.55000000000000004">
      <c r="A177">
        <v>675</v>
      </c>
      <c r="B177" t="s">
        <v>374</v>
      </c>
      <c r="C177" t="s">
        <v>372</v>
      </c>
      <c r="D177" t="s">
        <v>17</v>
      </c>
      <c r="E177" t="s">
        <v>18</v>
      </c>
      <c r="H177" t="s">
        <v>19</v>
      </c>
      <c r="I177" t="s">
        <v>20</v>
      </c>
      <c r="J177" t="s">
        <v>21</v>
      </c>
      <c r="K177" t="s">
        <v>82</v>
      </c>
      <c r="L177" t="s">
        <v>23</v>
      </c>
      <c r="M177" t="s">
        <v>24</v>
      </c>
      <c r="O177" t="s">
        <v>25</v>
      </c>
    </row>
    <row r="178" spans="1:15" x14ac:dyDescent="0.55000000000000004">
      <c r="A178">
        <v>676</v>
      </c>
      <c r="B178" t="s">
        <v>375</v>
      </c>
      <c r="C178" t="s">
        <v>372</v>
      </c>
      <c r="D178" t="s">
        <v>17</v>
      </c>
      <c r="E178" t="s">
        <v>18</v>
      </c>
      <c r="H178" t="s">
        <v>19</v>
      </c>
      <c r="I178" t="s">
        <v>20</v>
      </c>
      <c r="J178" t="s">
        <v>21</v>
      </c>
      <c r="K178" t="s">
        <v>69</v>
      </c>
      <c r="L178" t="s">
        <v>23</v>
      </c>
      <c r="M178" t="s">
        <v>24</v>
      </c>
      <c r="O178" t="s">
        <v>25</v>
      </c>
    </row>
    <row r="179" spans="1:15" x14ac:dyDescent="0.55000000000000004">
      <c r="A179">
        <v>677</v>
      </c>
      <c r="B179" t="s">
        <v>376</v>
      </c>
      <c r="C179" t="s">
        <v>377</v>
      </c>
      <c r="D179" t="s">
        <v>17</v>
      </c>
      <c r="E179" t="s">
        <v>18</v>
      </c>
      <c r="H179" t="s">
        <v>19</v>
      </c>
      <c r="I179" t="s">
        <v>20</v>
      </c>
      <c r="J179" t="s">
        <v>21</v>
      </c>
      <c r="K179" t="s">
        <v>36</v>
      </c>
      <c r="L179" t="s">
        <v>23</v>
      </c>
      <c r="M179" t="s">
        <v>24</v>
      </c>
      <c r="O179" t="s">
        <v>25</v>
      </c>
    </row>
    <row r="180" spans="1:15" x14ac:dyDescent="0.55000000000000004">
      <c r="A180">
        <v>678</v>
      </c>
      <c r="B180" t="s">
        <v>378</v>
      </c>
      <c r="C180" t="s">
        <v>379</v>
      </c>
      <c r="D180" t="s">
        <v>17</v>
      </c>
      <c r="E180" t="s">
        <v>18</v>
      </c>
      <c r="H180" t="s">
        <v>19</v>
      </c>
      <c r="I180" t="s">
        <v>20</v>
      </c>
      <c r="J180" t="s">
        <v>21</v>
      </c>
      <c r="K180" t="s">
        <v>36</v>
      </c>
      <c r="L180" t="s">
        <v>23</v>
      </c>
      <c r="M180" t="s">
        <v>24</v>
      </c>
      <c r="O180" t="s">
        <v>25</v>
      </c>
    </row>
    <row r="181" spans="1:15" x14ac:dyDescent="0.55000000000000004">
      <c r="A181">
        <v>679</v>
      </c>
      <c r="B181" t="s">
        <v>380</v>
      </c>
      <c r="C181" t="s">
        <v>381</v>
      </c>
      <c r="D181" t="s">
        <v>17</v>
      </c>
      <c r="E181" t="s">
        <v>18</v>
      </c>
      <c r="H181" t="s">
        <v>19</v>
      </c>
      <c r="I181" t="s">
        <v>20</v>
      </c>
      <c r="J181" t="s">
        <v>21</v>
      </c>
      <c r="K181" t="s">
        <v>28</v>
      </c>
      <c r="L181" t="s">
        <v>23</v>
      </c>
      <c r="M181" t="s">
        <v>24</v>
      </c>
      <c r="O181" t="s">
        <v>25</v>
      </c>
    </row>
    <row r="182" spans="1:15" x14ac:dyDescent="0.55000000000000004">
      <c r="A182">
        <v>680</v>
      </c>
      <c r="B182" t="s">
        <v>382</v>
      </c>
      <c r="C182" t="s">
        <v>381</v>
      </c>
      <c r="D182" t="s">
        <v>17</v>
      </c>
      <c r="E182" t="s">
        <v>18</v>
      </c>
      <c r="H182" t="s">
        <v>19</v>
      </c>
      <c r="I182" t="s">
        <v>20</v>
      </c>
      <c r="J182" t="s">
        <v>21</v>
      </c>
      <c r="K182" t="s">
        <v>69</v>
      </c>
      <c r="L182" t="s">
        <v>23</v>
      </c>
      <c r="M182" t="s">
        <v>24</v>
      </c>
      <c r="O182" t="s">
        <v>25</v>
      </c>
    </row>
    <row r="183" spans="1:15" x14ac:dyDescent="0.55000000000000004">
      <c r="A183">
        <v>681</v>
      </c>
      <c r="B183" t="s">
        <v>383</v>
      </c>
      <c r="C183" t="s">
        <v>384</v>
      </c>
      <c r="D183" t="s">
        <v>17</v>
      </c>
      <c r="E183" t="s">
        <v>18</v>
      </c>
      <c r="H183" t="s">
        <v>19</v>
      </c>
      <c r="I183" t="s">
        <v>20</v>
      </c>
      <c r="J183" t="s">
        <v>21</v>
      </c>
      <c r="K183" t="s">
        <v>82</v>
      </c>
      <c r="L183" t="s">
        <v>23</v>
      </c>
      <c r="M183" t="s">
        <v>24</v>
      </c>
      <c r="O183" t="s">
        <v>25</v>
      </c>
    </row>
    <row r="184" spans="1:15" x14ac:dyDescent="0.55000000000000004">
      <c r="A184">
        <v>682</v>
      </c>
      <c r="B184" t="s">
        <v>385</v>
      </c>
      <c r="C184" t="s">
        <v>386</v>
      </c>
      <c r="D184" t="s">
        <v>17</v>
      </c>
      <c r="E184" t="s">
        <v>18</v>
      </c>
      <c r="H184" t="s">
        <v>19</v>
      </c>
      <c r="I184" t="s">
        <v>20</v>
      </c>
      <c r="J184" t="s">
        <v>21</v>
      </c>
      <c r="K184" t="s">
        <v>82</v>
      </c>
      <c r="L184" t="s">
        <v>23</v>
      </c>
      <c r="M184" t="s">
        <v>24</v>
      </c>
      <c r="O184" t="s">
        <v>25</v>
      </c>
    </row>
    <row r="185" spans="1:15" x14ac:dyDescent="0.55000000000000004">
      <c r="A185">
        <v>683</v>
      </c>
      <c r="B185" t="s">
        <v>387</v>
      </c>
      <c r="C185" t="s">
        <v>388</v>
      </c>
      <c r="D185" t="s">
        <v>17</v>
      </c>
      <c r="E185" t="s">
        <v>18</v>
      </c>
      <c r="G185" t="s">
        <v>389</v>
      </c>
      <c r="H185" t="s">
        <v>19</v>
      </c>
      <c r="I185" t="s">
        <v>20</v>
      </c>
      <c r="J185" t="s">
        <v>21</v>
      </c>
      <c r="K185" t="s">
        <v>28</v>
      </c>
      <c r="L185" t="s">
        <v>23</v>
      </c>
      <c r="M185" t="s">
        <v>24</v>
      </c>
      <c r="O185" t="s">
        <v>25</v>
      </c>
    </row>
    <row r="186" spans="1:15" x14ac:dyDescent="0.55000000000000004">
      <c r="A186">
        <v>684</v>
      </c>
      <c r="B186" t="s">
        <v>390</v>
      </c>
      <c r="C186" t="s">
        <v>388</v>
      </c>
      <c r="D186" t="s">
        <v>17</v>
      </c>
      <c r="E186" t="s">
        <v>18</v>
      </c>
      <c r="G186" t="s">
        <v>389</v>
      </c>
      <c r="H186" t="s">
        <v>19</v>
      </c>
      <c r="I186" t="s">
        <v>20</v>
      </c>
      <c r="J186" t="s">
        <v>21</v>
      </c>
      <c r="K186" t="s">
        <v>69</v>
      </c>
      <c r="L186" t="s">
        <v>23</v>
      </c>
      <c r="M186" t="s">
        <v>24</v>
      </c>
      <c r="O186" t="s">
        <v>25</v>
      </c>
    </row>
    <row r="187" spans="1:15" x14ac:dyDescent="0.55000000000000004">
      <c r="A187">
        <v>685</v>
      </c>
      <c r="B187" t="s">
        <v>391</v>
      </c>
      <c r="C187" t="s">
        <v>392</v>
      </c>
      <c r="D187" t="s">
        <v>17</v>
      </c>
      <c r="E187" t="s">
        <v>18</v>
      </c>
      <c r="G187" t="s">
        <v>389</v>
      </c>
      <c r="H187" t="s">
        <v>19</v>
      </c>
      <c r="I187" t="s">
        <v>20</v>
      </c>
      <c r="J187" t="s">
        <v>21</v>
      </c>
      <c r="K187" t="s">
        <v>28</v>
      </c>
      <c r="L187" t="s">
        <v>23</v>
      </c>
      <c r="M187" t="s">
        <v>24</v>
      </c>
      <c r="O187" t="s">
        <v>25</v>
      </c>
    </row>
    <row r="188" spans="1:15" x14ac:dyDescent="0.55000000000000004">
      <c r="A188">
        <v>686</v>
      </c>
      <c r="B188" t="s">
        <v>393</v>
      </c>
      <c r="C188" t="s">
        <v>392</v>
      </c>
      <c r="D188" t="s">
        <v>17</v>
      </c>
      <c r="E188" t="s">
        <v>18</v>
      </c>
      <c r="G188" t="s">
        <v>389</v>
      </c>
      <c r="H188" t="s">
        <v>19</v>
      </c>
      <c r="I188" t="s">
        <v>20</v>
      </c>
      <c r="J188" t="s">
        <v>21</v>
      </c>
      <c r="K188" t="s">
        <v>69</v>
      </c>
      <c r="L188" t="s">
        <v>23</v>
      </c>
      <c r="M188" t="s">
        <v>24</v>
      </c>
      <c r="O188" t="s">
        <v>25</v>
      </c>
    </row>
    <row r="189" spans="1:15" x14ac:dyDescent="0.55000000000000004">
      <c r="A189">
        <v>687</v>
      </c>
      <c r="B189" t="s">
        <v>394</v>
      </c>
      <c r="C189" t="s">
        <v>395</v>
      </c>
      <c r="D189" t="s">
        <v>17</v>
      </c>
      <c r="E189" t="s">
        <v>18</v>
      </c>
      <c r="G189" t="s">
        <v>389</v>
      </c>
      <c r="H189" t="s">
        <v>19</v>
      </c>
      <c r="I189" t="s">
        <v>20</v>
      </c>
      <c r="J189" t="s">
        <v>21</v>
      </c>
      <c r="K189" t="s">
        <v>28</v>
      </c>
      <c r="L189" t="s">
        <v>23</v>
      </c>
      <c r="M189" t="s">
        <v>24</v>
      </c>
      <c r="O189" t="s">
        <v>25</v>
      </c>
    </row>
    <row r="190" spans="1:15" x14ac:dyDescent="0.55000000000000004">
      <c r="A190">
        <v>688</v>
      </c>
      <c r="B190" t="s">
        <v>396</v>
      </c>
      <c r="C190" t="s">
        <v>395</v>
      </c>
      <c r="D190" t="s">
        <v>17</v>
      </c>
      <c r="E190" t="s">
        <v>18</v>
      </c>
      <c r="G190" t="s">
        <v>389</v>
      </c>
      <c r="H190" t="s">
        <v>19</v>
      </c>
      <c r="I190" t="s">
        <v>20</v>
      </c>
      <c r="J190" t="s">
        <v>21</v>
      </c>
      <c r="K190" t="s">
        <v>69</v>
      </c>
      <c r="L190" t="s">
        <v>23</v>
      </c>
      <c r="M190" t="s">
        <v>24</v>
      </c>
      <c r="O190" t="s">
        <v>25</v>
      </c>
    </row>
    <row r="191" spans="1:15" x14ac:dyDescent="0.55000000000000004">
      <c r="A191">
        <v>689</v>
      </c>
      <c r="B191" t="s">
        <v>397</v>
      </c>
      <c r="C191" t="s">
        <v>398</v>
      </c>
      <c r="D191" t="s">
        <v>17</v>
      </c>
      <c r="E191" t="s">
        <v>18</v>
      </c>
      <c r="G191" t="s">
        <v>389</v>
      </c>
      <c r="H191" t="s">
        <v>19</v>
      </c>
      <c r="I191" t="s">
        <v>20</v>
      </c>
      <c r="J191" t="s">
        <v>21</v>
      </c>
      <c r="K191" t="s">
        <v>28</v>
      </c>
      <c r="L191" t="s">
        <v>23</v>
      </c>
      <c r="M191" t="s">
        <v>24</v>
      </c>
      <c r="O191" t="s">
        <v>25</v>
      </c>
    </row>
    <row r="192" spans="1:15" x14ac:dyDescent="0.55000000000000004">
      <c r="A192">
        <v>690</v>
      </c>
      <c r="B192" t="s">
        <v>399</v>
      </c>
      <c r="C192" t="s">
        <v>398</v>
      </c>
      <c r="D192" t="s">
        <v>17</v>
      </c>
      <c r="E192" t="s">
        <v>18</v>
      </c>
      <c r="G192" t="s">
        <v>389</v>
      </c>
      <c r="H192" t="s">
        <v>19</v>
      </c>
      <c r="I192" t="s">
        <v>20</v>
      </c>
      <c r="J192" t="s">
        <v>21</v>
      </c>
      <c r="K192" t="s">
        <v>69</v>
      </c>
      <c r="L192" t="s">
        <v>23</v>
      </c>
      <c r="M192" t="s">
        <v>24</v>
      </c>
      <c r="O192" t="s">
        <v>25</v>
      </c>
    </row>
    <row r="193" spans="1:15" x14ac:dyDescent="0.55000000000000004">
      <c r="A193">
        <v>691</v>
      </c>
      <c r="B193" t="s">
        <v>400</v>
      </c>
      <c r="C193" t="s">
        <v>401</v>
      </c>
      <c r="D193" t="s">
        <v>17</v>
      </c>
      <c r="E193" t="s">
        <v>18</v>
      </c>
      <c r="H193" t="s">
        <v>19</v>
      </c>
      <c r="I193" t="s">
        <v>20</v>
      </c>
      <c r="J193" t="s">
        <v>21</v>
      </c>
      <c r="K193" t="s">
        <v>82</v>
      </c>
      <c r="L193" t="s">
        <v>23</v>
      </c>
      <c r="M193" t="s">
        <v>24</v>
      </c>
      <c r="O193" t="s">
        <v>25</v>
      </c>
    </row>
    <row r="194" spans="1:15" x14ac:dyDescent="0.55000000000000004">
      <c r="A194">
        <v>692</v>
      </c>
      <c r="B194" t="s">
        <v>402</v>
      </c>
      <c r="C194" t="s">
        <v>403</v>
      </c>
      <c r="D194" t="s">
        <v>17</v>
      </c>
      <c r="E194" t="s">
        <v>18</v>
      </c>
      <c r="H194" t="s">
        <v>19</v>
      </c>
      <c r="I194" t="s">
        <v>20</v>
      </c>
      <c r="J194" t="s">
        <v>21</v>
      </c>
      <c r="K194" t="s">
        <v>28</v>
      </c>
      <c r="L194" t="s">
        <v>23</v>
      </c>
      <c r="M194" t="s">
        <v>24</v>
      </c>
      <c r="O194" t="s">
        <v>25</v>
      </c>
    </row>
    <row r="195" spans="1:15" x14ac:dyDescent="0.55000000000000004">
      <c r="A195">
        <v>693</v>
      </c>
      <c r="B195" t="s">
        <v>404</v>
      </c>
      <c r="C195" t="s">
        <v>405</v>
      </c>
      <c r="D195" t="s">
        <v>17</v>
      </c>
      <c r="E195" t="s">
        <v>18</v>
      </c>
      <c r="H195" t="s">
        <v>19</v>
      </c>
      <c r="I195" t="s">
        <v>20</v>
      </c>
      <c r="J195" t="s">
        <v>21</v>
      </c>
      <c r="K195" t="s">
        <v>57</v>
      </c>
      <c r="L195" t="s">
        <v>23</v>
      </c>
      <c r="M195" t="s">
        <v>24</v>
      </c>
      <c r="O195" t="s">
        <v>25</v>
      </c>
    </row>
    <row r="196" spans="1:15" x14ac:dyDescent="0.55000000000000004">
      <c r="A196">
        <v>694</v>
      </c>
      <c r="B196" t="s">
        <v>406</v>
      </c>
      <c r="C196" t="s">
        <v>407</v>
      </c>
      <c r="D196" t="s">
        <v>17</v>
      </c>
      <c r="E196" t="s">
        <v>18</v>
      </c>
      <c r="H196" t="s">
        <v>19</v>
      </c>
      <c r="I196" t="s">
        <v>20</v>
      </c>
      <c r="J196" t="s">
        <v>21</v>
      </c>
      <c r="K196" t="s">
        <v>28</v>
      </c>
      <c r="L196" t="s">
        <v>23</v>
      </c>
      <c r="M196" t="s">
        <v>24</v>
      </c>
      <c r="O196" t="s">
        <v>25</v>
      </c>
    </row>
    <row r="197" spans="1:15" x14ac:dyDescent="0.55000000000000004">
      <c r="A197">
        <v>695</v>
      </c>
      <c r="B197" t="s">
        <v>408</v>
      </c>
      <c r="C197" t="s">
        <v>407</v>
      </c>
      <c r="D197" t="s">
        <v>17</v>
      </c>
      <c r="E197" t="s">
        <v>18</v>
      </c>
      <c r="H197" t="s">
        <v>19</v>
      </c>
      <c r="I197" t="s">
        <v>20</v>
      </c>
      <c r="J197" t="s">
        <v>21</v>
      </c>
      <c r="K197" t="s">
        <v>82</v>
      </c>
      <c r="L197" t="s">
        <v>23</v>
      </c>
      <c r="M197" t="s">
        <v>24</v>
      </c>
      <c r="O197" t="s">
        <v>25</v>
      </c>
    </row>
    <row r="198" spans="1:15" x14ac:dyDescent="0.55000000000000004">
      <c r="A198">
        <v>696</v>
      </c>
      <c r="B198" t="s">
        <v>409</v>
      </c>
      <c r="C198" t="s">
        <v>410</v>
      </c>
      <c r="D198" t="s">
        <v>17</v>
      </c>
      <c r="E198" t="s">
        <v>18</v>
      </c>
      <c r="H198" t="s">
        <v>19</v>
      </c>
      <c r="I198" t="s">
        <v>20</v>
      </c>
      <c r="J198" t="s">
        <v>21</v>
      </c>
      <c r="K198" t="s">
        <v>28</v>
      </c>
      <c r="L198" t="s">
        <v>23</v>
      </c>
      <c r="M198" t="s">
        <v>24</v>
      </c>
      <c r="O198" t="s">
        <v>25</v>
      </c>
    </row>
    <row r="199" spans="1:15" x14ac:dyDescent="0.55000000000000004">
      <c r="A199">
        <v>697</v>
      </c>
      <c r="B199" t="s">
        <v>411</v>
      </c>
      <c r="C199" t="s">
        <v>412</v>
      </c>
      <c r="D199" t="s">
        <v>17</v>
      </c>
      <c r="E199" t="s">
        <v>18</v>
      </c>
      <c r="H199" t="s">
        <v>19</v>
      </c>
      <c r="I199" t="s">
        <v>20</v>
      </c>
      <c r="J199" t="s">
        <v>21</v>
      </c>
      <c r="K199" t="s">
        <v>28</v>
      </c>
      <c r="L199" t="s">
        <v>23</v>
      </c>
      <c r="M199" t="s">
        <v>24</v>
      </c>
      <c r="O199" t="s">
        <v>25</v>
      </c>
    </row>
    <row r="200" spans="1:15" x14ac:dyDescent="0.55000000000000004">
      <c r="A200">
        <v>698</v>
      </c>
      <c r="B200" t="s">
        <v>413</v>
      </c>
      <c r="C200" t="s">
        <v>414</v>
      </c>
      <c r="D200" t="s">
        <v>17</v>
      </c>
      <c r="E200" t="s">
        <v>18</v>
      </c>
      <c r="H200" t="s">
        <v>19</v>
      </c>
      <c r="I200" t="s">
        <v>20</v>
      </c>
      <c r="J200" t="s">
        <v>21</v>
      </c>
      <c r="K200" t="s">
        <v>36</v>
      </c>
      <c r="L200" t="s">
        <v>23</v>
      </c>
      <c r="M200" t="s">
        <v>24</v>
      </c>
      <c r="O200" t="s">
        <v>25</v>
      </c>
    </row>
    <row r="201" spans="1:15" x14ac:dyDescent="0.55000000000000004">
      <c r="A201">
        <v>699</v>
      </c>
      <c r="B201" t="s">
        <v>415</v>
      </c>
      <c r="C201" t="s">
        <v>416</v>
      </c>
      <c r="D201" t="s">
        <v>17</v>
      </c>
      <c r="E201" t="s">
        <v>18</v>
      </c>
      <c r="H201" t="s">
        <v>19</v>
      </c>
      <c r="I201" t="s">
        <v>20</v>
      </c>
      <c r="J201" t="s">
        <v>21</v>
      </c>
      <c r="K201" t="s">
        <v>36</v>
      </c>
      <c r="L201" t="s">
        <v>23</v>
      </c>
      <c r="M201" t="s">
        <v>24</v>
      </c>
      <c r="O201" t="s">
        <v>25</v>
      </c>
    </row>
    <row r="202" spans="1:15" x14ac:dyDescent="0.55000000000000004">
      <c r="A202">
        <v>700</v>
      </c>
      <c r="B202" t="s">
        <v>417</v>
      </c>
      <c r="C202" t="s">
        <v>418</v>
      </c>
      <c r="D202" t="s">
        <v>17</v>
      </c>
      <c r="E202" t="s">
        <v>18</v>
      </c>
      <c r="H202" t="s">
        <v>19</v>
      </c>
      <c r="I202" t="s">
        <v>20</v>
      </c>
      <c r="J202" t="s">
        <v>21</v>
      </c>
      <c r="K202" t="s">
        <v>36</v>
      </c>
      <c r="L202" t="s">
        <v>23</v>
      </c>
      <c r="M202" t="s">
        <v>24</v>
      </c>
      <c r="O202" t="s">
        <v>25</v>
      </c>
    </row>
    <row r="203" spans="1:15" x14ac:dyDescent="0.55000000000000004">
      <c r="A203">
        <v>701</v>
      </c>
      <c r="B203" t="s">
        <v>419</v>
      </c>
      <c r="C203" t="s">
        <v>420</v>
      </c>
      <c r="D203" t="s">
        <v>17</v>
      </c>
      <c r="E203" t="s">
        <v>18</v>
      </c>
      <c r="H203" t="s">
        <v>19</v>
      </c>
      <c r="I203" t="s">
        <v>20</v>
      </c>
      <c r="J203" t="s">
        <v>21</v>
      </c>
      <c r="K203" t="s">
        <v>36</v>
      </c>
      <c r="L203" t="s">
        <v>23</v>
      </c>
      <c r="M203" t="s">
        <v>24</v>
      </c>
      <c r="O203" t="s">
        <v>25</v>
      </c>
    </row>
    <row r="204" spans="1:15" x14ac:dyDescent="0.55000000000000004">
      <c r="A204">
        <v>702</v>
      </c>
      <c r="B204" t="s">
        <v>421</v>
      </c>
      <c r="C204" t="s">
        <v>422</v>
      </c>
      <c r="D204" t="s">
        <v>17</v>
      </c>
      <c r="E204" t="s">
        <v>18</v>
      </c>
      <c r="H204" t="s">
        <v>19</v>
      </c>
      <c r="I204" t="s">
        <v>20</v>
      </c>
      <c r="J204" t="s">
        <v>21</v>
      </c>
      <c r="K204" t="s">
        <v>36</v>
      </c>
      <c r="L204" t="s">
        <v>23</v>
      </c>
      <c r="M204" t="s">
        <v>24</v>
      </c>
      <c r="O204" t="s">
        <v>25</v>
      </c>
    </row>
    <row r="205" spans="1:15" x14ac:dyDescent="0.55000000000000004">
      <c r="A205">
        <v>703</v>
      </c>
      <c r="B205" t="s">
        <v>423</v>
      </c>
      <c r="C205" t="s">
        <v>424</v>
      </c>
      <c r="D205" t="s">
        <v>17</v>
      </c>
      <c r="E205" t="s">
        <v>18</v>
      </c>
      <c r="H205" t="s">
        <v>19</v>
      </c>
      <c r="I205" t="s">
        <v>20</v>
      </c>
      <c r="J205" t="s">
        <v>21</v>
      </c>
      <c r="K205" t="s">
        <v>36</v>
      </c>
      <c r="L205" t="s">
        <v>23</v>
      </c>
      <c r="M205" t="s">
        <v>24</v>
      </c>
      <c r="O205" t="s">
        <v>25</v>
      </c>
    </row>
    <row r="206" spans="1:15" x14ac:dyDescent="0.55000000000000004">
      <c r="A206">
        <v>704</v>
      </c>
      <c r="B206" t="s">
        <v>425</v>
      </c>
      <c r="C206" t="s">
        <v>426</v>
      </c>
      <c r="D206" t="s">
        <v>17</v>
      </c>
      <c r="E206" t="s">
        <v>18</v>
      </c>
      <c r="H206" t="s">
        <v>19</v>
      </c>
      <c r="I206" t="s">
        <v>20</v>
      </c>
      <c r="J206" t="s">
        <v>21</v>
      </c>
      <c r="K206" t="s">
        <v>36</v>
      </c>
      <c r="L206" t="s">
        <v>23</v>
      </c>
      <c r="M206" t="s">
        <v>24</v>
      </c>
      <c r="O206" t="s">
        <v>25</v>
      </c>
    </row>
    <row r="207" spans="1:15" x14ac:dyDescent="0.55000000000000004">
      <c r="A207">
        <v>705</v>
      </c>
      <c r="B207" t="s">
        <v>427</v>
      </c>
      <c r="C207" t="s">
        <v>428</v>
      </c>
      <c r="D207" t="s">
        <v>17</v>
      </c>
      <c r="E207" t="s">
        <v>18</v>
      </c>
      <c r="H207" t="s">
        <v>19</v>
      </c>
      <c r="I207" t="s">
        <v>20</v>
      </c>
      <c r="J207" t="s">
        <v>21</v>
      </c>
      <c r="K207" t="s">
        <v>28</v>
      </c>
      <c r="L207" t="s">
        <v>23</v>
      </c>
      <c r="M207" t="s">
        <v>24</v>
      </c>
      <c r="O207" t="s">
        <v>25</v>
      </c>
    </row>
    <row r="208" spans="1:15" x14ac:dyDescent="0.55000000000000004">
      <c r="A208">
        <v>706</v>
      </c>
      <c r="B208" t="s">
        <v>429</v>
      </c>
      <c r="C208" t="s">
        <v>430</v>
      </c>
      <c r="D208" t="s">
        <v>17</v>
      </c>
      <c r="E208" t="s">
        <v>18</v>
      </c>
      <c r="H208" t="s">
        <v>19</v>
      </c>
      <c r="I208" t="s">
        <v>20</v>
      </c>
      <c r="J208" t="s">
        <v>21</v>
      </c>
      <c r="K208" t="s">
        <v>28</v>
      </c>
      <c r="L208" t="s">
        <v>23</v>
      </c>
      <c r="M208" t="s">
        <v>24</v>
      </c>
      <c r="O208" t="s">
        <v>25</v>
      </c>
    </row>
    <row r="209" spans="1:15" x14ac:dyDescent="0.55000000000000004">
      <c r="A209">
        <v>707</v>
      </c>
      <c r="B209" t="s">
        <v>431</v>
      </c>
      <c r="C209" t="s">
        <v>432</v>
      </c>
      <c r="D209" t="s">
        <v>17</v>
      </c>
      <c r="E209" t="s">
        <v>18</v>
      </c>
      <c r="H209" t="s">
        <v>19</v>
      </c>
      <c r="I209" t="s">
        <v>20</v>
      </c>
      <c r="J209" t="s">
        <v>21</v>
      </c>
      <c r="K209" t="s">
        <v>28</v>
      </c>
      <c r="L209" t="s">
        <v>23</v>
      </c>
      <c r="M209" t="s">
        <v>24</v>
      </c>
      <c r="O209" t="s">
        <v>25</v>
      </c>
    </row>
    <row r="210" spans="1:15" x14ac:dyDescent="0.55000000000000004">
      <c r="A210">
        <v>708</v>
      </c>
      <c r="B210" t="s">
        <v>433</v>
      </c>
      <c r="C210" t="s">
        <v>434</v>
      </c>
      <c r="D210" t="s">
        <v>17</v>
      </c>
      <c r="E210" t="s">
        <v>18</v>
      </c>
      <c r="H210" t="s">
        <v>19</v>
      </c>
      <c r="I210" t="s">
        <v>20</v>
      </c>
      <c r="J210" t="s">
        <v>21</v>
      </c>
      <c r="K210" t="s">
        <v>28</v>
      </c>
      <c r="L210" t="s">
        <v>23</v>
      </c>
      <c r="M210" t="s">
        <v>24</v>
      </c>
      <c r="O210" t="s">
        <v>25</v>
      </c>
    </row>
    <row r="211" spans="1:15" x14ac:dyDescent="0.55000000000000004">
      <c r="A211">
        <v>709</v>
      </c>
      <c r="B211" t="s">
        <v>435</v>
      </c>
      <c r="C211" t="s">
        <v>436</v>
      </c>
      <c r="D211" t="s">
        <v>17</v>
      </c>
      <c r="E211" t="s">
        <v>18</v>
      </c>
      <c r="G211" t="s">
        <v>437</v>
      </c>
      <c r="H211" t="s">
        <v>19</v>
      </c>
      <c r="I211" t="s">
        <v>20</v>
      </c>
      <c r="J211" t="s">
        <v>21</v>
      </c>
      <c r="K211" t="s">
        <v>28</v>
      </c>
      <c r="L211" t="s">
        <v>23</v>
      </c>
      <c r="M211" t="s">
        <v>24</v>
      </c>
      <c r="O211" t="s">
        <v>25</v>
      </c>
    </row>
    <row r="212" spans="1:15" x14ac:dyDescent="0.55000000000000004">
      <c r="A212">
        <v>710</v>
      </c>
      <c r="B212" t="s">
        <v>438</v>
      </c>
      <c r="C212" t="s">
        <v>436</v>
      </c>
      <c r="D212" t="s">
        <v>17</v>
      </c>
      <c r="E212" t="s">
        <v>18</v>
      </c>
      <c r="G212" t="s">
        <v>437</v>
      </c>
      <c r="H212" t="s">
        <v>19</v>
      </c>
      <c r="I212" t="s">
        <v>20</v>
      </c>
      <c r="J212" t="s">
        <v>21</v>
      </c>
      <c r="K212" t="s">
        <v>69</v>
      </c>
      <c r="L212" t="s">
        <v>23</v>
      </c>
      <c r="M212" t="s">
        <v>24</v>
      </c>
      <c r="O212" t="s">
        <v>25</v>
      </c>
    </row>
    <row r="213" spans="1:15" x14ac:dyDescent="0.55000000000000004">
      <c r="A213">
        <v>711</v>
      </c>
      <c r="B213" t="s">
        <v>439</v>
      </c>
      <c r="C213" t="s">
        <v>440</v>
      </c>
      <c r="D213" t="s">
        <v>17</v>
      </c>
      <c r="E213" t="s">
        <v>18</v>
      </c>
      <c r="G213" t="s">
        <v>437</v>
      </c>
      <c r="H213" t="s">
        <v>19</v>
      </c>
      <c r="I213" t="s">
        <v>20</v>
      </c>
      <c r="J213" t="s">
        <v>21</v>
      </c>
      <c r="K213" t="s">
        <v>28</v>
      </c>
      <c r="L213" t="s">
        <v>23</v>
      </c>
      <c r="M213" t="s">
        <v>24</v>
      </c>
      <c r="O213" t="s">
        <v>25</v>
      </c>
    </row>
    <row r="214" spans="1:15" x14ac:dyDescent="0.55000000000000004">
      <c r="A214">
        <v>712</v>
      </c>
      <c r="B214" t="s">
        <v>441</v>
      </c>
      <c r="C214" t="s">
        <v>440</v>
      </c>
      <c r="D214" t="s">
        <v>17</v>
      </c>
      <c r="E214" t="s">
        <v>18</v>
      </c>
      <c r="G214" t="s">
        <v>437</v>
      </c>
      <c r="H214" t="s">
        <v>19</v>
      </c>
      <c r="I214" t="s">
        <v>20</v>
      </c>
      <c r="J214" t="s">
        <v>21</v>
      </c>
      <c r="K214" t="s">
        <v>69</v>
      </c>
      <c r="L214" t="s">
        <v>23</v>
      </c>
      <c r="M214" t="s">
        <v>24</v>
      </c>
      <c r="O214" t="s">
        <v>25</v>
      </c>
    </row>
    <row r="215" spans="1:15" x14ac:dyDescent="0.55000000000000004">
      <c r="A215">
        <v>713</v>
      </c>
      <c r="B215" t="s">
        <v>442</v>
      </c>
      <c r="C215" t="s">
        <v>443</v>
      </c>
      <c r="D215" t="s">
        <v>17</v>
      </c>
      <c r="E215" t="s">
        <v>18</v>
      </c>
      <c r="G215" t="s">
        <v>437</v>
      </c>
      <c r="H215" t="s">
        <v>19</v>
      </c>
      <c r="I215" t="s">
        <v>20</v>
      </c>
      <c r="J215" t="s">
        <v>21</v>
      </c>
      <c r="K215" t="s">
        <v>28</v>
      </c>
      <c r="L215" t="s">
        <v>23</v>
      </c>
      <c r="M215" t="s">
        <v>24</v>
      </c>
      <c r="O215" t="s">
        <v>25</v>
      </c>
    </row>
    <row r="216" spans="1:15" x14ac:dyDescent="0.55000000000000004">
      <c r="A216">
        <v>714</v>
      </c>
      <c r="B216" t="s">
        <v>444</v>
      </c>
      <c r="C216" t="s">
        <v>443</v>
      </c>
      <c r="D216" t="s">
        <v>17</v>
      </c>
      <c r="E216" t="s">
        <v>18</v>
      </c>
      <c r="G216" t="s">
        <v>437</v>
      </c>
      <c r="H216" t="s">
        <v>19</v>
      </c>
      <c r="I216" t="s">
        <v>20</v>
      </c>
      <c r="J216" t="s">
        <v>21</v>
      </c>
      <c r="K216" t="s">
        <v>69</v>
      </c>
      <c r="L216" t="s">
        <v>23</v>
      </c>
      <c r="M216" t="s">
        <v>24</v>
      </c>
      <c r="O216" t="s">
        <v>25</v>
      </c>
    </row>
    <row r="217" spans="1:15" x14ac:dyDescent="0.55000000000000004">
      <c r="A217">
        <v>715</v>
      </c>
      <c r="B217" t="s">
        <v>445</v>
      </c>
      <c r="C217" t="s">
        <v>446</v>
      </c>
      <c r="D217" t="s">
        <v>17</v>
      </c>
      <c r="E217" t="s">
        <v>18</v>
      </c>
      <c r="G217" t="s">
        <v>437</v>
      </c>
      <c r="H217" t="s">
        <v>19</v>
      </c>
      <c r="I217" t="s">
        <v>20</v>
      </c>
      <c r="J217" t="s">
        <v>21</v>
      </c>
      <c r="K217" t="s">
        <v>28</v>
      </c>
      <c r="L217" t="s">
        <v>23</v>
      </c>
      <c r="M217" t="s">
        <v>24</v>
      </c>
      <c r="O217" t="s">
        <v>25</v>
      </c>
    </row>
    <row r="218" spans="1:15" x14ac:dyDescent="0.55000000000000004">
      <c r="A218">
        <v>716</v>
      </c>
      <c r="B218" t="s">
        <v>447</v>
      </c>
      <c r="C218" t="s">
        <v>446</v>
      </c>
      <c r="D218" t="s">
        <v>17</v>
      </c>
      <c r="E218" t="s">
        <v>18</v>
      </c>
      <c r="G218" t="s">
        <v>437</v>
      </c>
      <c r="H218" t="s">
        <v>19</v>
      </c>
      <c r="I218" t="s">
        <v>20</v>
      </c>
      <c r="J218" t="s">
        <v>21</v>
      </c>
      <c r="K218" t="s">
        <v>69</v>
      </c>
      <c r="L218" t="s">
        <v>23</v>
      </c>
      <c r="M218" t="s">
        <v>24</v>
      </c>
      <c r="O218" t="s">
        <v>25</v>
      </c>
    </row>
    <row r="219" spans="1:15" x14ac:dyDescent="0.55000000000000004">
      <c r="A219">
        <v>717</v>
      </c>
      <c r="B219" t="s">
        <v>448</v>
      </c>
      <c r="C219" t="s">
        <v>449</v>
      </c>
      <c r="D219" t="s">
        <v>17</v>
      </c>
      <c r="E219" t="s">
        <v>18</v>
      </c>
      <c r="H219" t="s">
        <v>19</v>
      </c>
      <c r="I219" t="s">
        <v>20</v>
      </c>
      <c r="J219" t="s">
        <v>21</v>
      </c>
      <c r="K219" t="s">
        <v>28</v>
      </c>
      <c r="L219" t="s">
        <v>23</v>
      </c>
      <c r="M219" t="s">
        <v>24</v>
      </c>
      <c r="O219" t="s">
        <v>25</v>
      </c>
    </row>
    <row r="220" spans="1:15" x14ac:dyDescent="0.55000000000000004">
      <c r="A220">
        <v>718</v>
      </c>
      <c r="B220" t="s">
        <v>450</v>
      </c>
      <c r="C220" t="s">
        <v>451</v>
      </c>
      <c r="D220" t="s">
        <v>17</v>
      </c>
      <c r="E220" t="s">
        <v>18</v>
      </c>
      <c r="H220" t="s">
        <v>19</v>
      </c>
      <c r="I220" t="s">
        <v>20</v>
      </c>
      <c r="J220" t="s">
        <v>21</v>
      </c>
      <c r="K220" t="s">
        <v>36</v>
      </c>
      <c r="L220" t="s">
        <v>23</v>
      </c>
      <c r="M220" t="s">
        <v>24</v>
      </c>
      <c r="O220" t="s">
        <v>25</v>
      </c>
    </row>
    <row r="221" spans="1:15" x14ac:dyDescent="0.55000000000000004">
      <c r="A221">
        <v>719</v>
      </c>
      <c r="B221" t="s">
        <v>452</v>
      </c>
      <c r="C221" t="s">
        <v>453</v>
      </c>
      <c r="D221" t="s">
        <v>17</v>
      </c>
      <c r="E221" t="s">
        <v>18</v>
      </c>
      <c r="H221" t="s">
        <v>19</v>
      </c>
      <c r="I221" t="s">
        <v>20</v>
      </c>
      <c r="J221" t="s">
        <v>21</v>
      </c>
      <c r="K221" t="s">
        <v>28</v>
      </c>
      <c r="L221" t="s">
        <v>23</v>
      </c>
      <c r="M221" t="s">
        <v>24</v>
      </c>
      <c r="O221" t="s">
        <v>25</v>
      </c>
    </row>
    <row r="222" spans="1:15" x14ac:dyDescent="0.55000000000000004">
      <c r="A222">
        <v>720</v>
      </c>
      <c r="B222" t="s">
        <v>454</v>
      </c>
      <c r="C222" t="s">
        <v>455</v>
      </c>
      <c r="D222" t="s">
        <v>17</v>
      </c>
      <c r="E222" t="s">
        <v>18</v>
      </c>
      <c r="H222" t="s">
        <v>19</v>
      </c>
      <c r="I222" t="s">
        <v>20</v>
      </c>
      <c r="J222" t="s">
        <v>21</v>
      </c>
      <c r="K222" t="s">
        <v>28</v>
      </c>
      <c r="L222" t="s">
        <v>23</v>
      </c>
      <c r="M222" t="s">
        <v>24</v>
      </c>
      <c r="O222" t="s">
        <v>25</v>
      </c>
    </row>
    <row r="223" spans="1:15" x14ac:dyDescent="0.55000000000000004">
      <c r="A223">
        <v>721</v>
      </c>
      <c r="B223" t="s">
        <v>456</v>
      </c>
      <c r="C223" t="s">
        <v>457</v>
      </c>
      <c r="D223" t="s">
        <v>17</v>
      </c>
      <c r="E223" t="s">
        <v>18</v>
      </c>
      <c r="H223" t="s">
        <v>19</v>
      </c>
      <c r="I223" t="s">
        <v>20</v>
      </c>
      <c r="J223" t="s">
        <v>21</v>
      </c>
      <c r="K223" t="s">
        <v>28</v>
      </c>
      <c r="L223" t="s">
        <v>23</v>
      </c>
      <c r="M223" t="s">
        <v>24</v>
      </c>
      <c r="O223" t="s">
        <v>25</v>
      </c>
    </row>
    <row r="224" spans="1:15" x14ac:dyDescent="0.55000000000000004">
      <c r="A224">
        <v>722</v>
      </c>
      <c r="B224" t="s">
        <v>458</v>
      </c>
      <c r="C224" t="s">
        <v>459</v>
      </c>
      <c r="D224" t="s">
        <v>17</v>
      </c>
      <c r="E224" t="s">
        <v>18</v>
      </c>
      <c r="H224" t="s">
        <v>19</v>
      </c>
      <c r="I224" t="s">
        <v>20</v>
      </c>
      <c r="J224" t="s">
        <v>21</v>
      </c>
      <c r="K224" t="s">
        <v>28</v>
      </c>
      <c r="L224" t="s">
        <v>23</v>
      </c>
      <c r="M224" t="s">
        <v>24</v>
      </c>
      <c r="O224" t="s">
        <v>25</v>
      </c>
    </row>
    <row r="225" spans="1:15" x14ac:dyDescent="0.55000000000000004">
      <c r="A225">
        <v>723</v>
      </c>
      <c r="B225" t="s">
        <v>460</v>
      </c>
      <c r="C225" t="s">
        <v>461</v>
      </c>
      <c r="D225" t="s">
        <v>17</v>
      </c>
      <c r="E225" t="s">
        <v>18</v>
      </c>
      <c r="H225" t="s">
        <v>19</v>
      </c>
      <c r="I225" t="s">
        <v>20</v>
      </c>
      <c r="J225" t="s">
        <v>21</v>
      </c>
      <c r="K225" t="s">
        <v>28</v>
      </c>
      <c r="L225" t="s">
        <v>23</v>
      </c>
      <c r="M225" t="s">
        <v>24</v>
      </c>
      <c r="O225" t="s">
        <v>25</v>
      </c>
    </row>
    <row r="226" spans="1:15" x14ac:dyDescent="0.55000000000000004">
      <c r="A226">
        <v>724</v>
      </c>
      <c r="B226" t="s">
        <v>462</v>
      </c>
      <c r="C226" t="s">
        <v>463</v>
      </c>
      <c r="D226" t="s">
        <v>17</v>
      </c>
      <c r="E226" t="s">
        <v>18</v>
      </c>
      <c r="H226" t="s">
        <v>19</v>
      </c>
      <c r="I226" t="s">
        <v>20</v>
      </c>
      <c r="J226" t="s">
        <v>21</v>
      </c>
      <c r="K226" t="s">
        <v>76</v>
      </c>
      <c r="L226" t="s">
        <v>23</v>
      </c>
      <c r="M226" t="s">
        <v>24</v>
      </c>
      <c r="O226" t="s">
        <v>25</v>
      </c>
    </row>
    <row r="227" spans="1:15" x14ac:dyDescent="0.55000000000000004">
      <c r="A227">
        <v>725</v>
      </c>
      <c r="B227" t="s">
        <v>464</v>
      </c>
      <c r="C227" t="s">
        <v>463</v>
      </c>
      <c r="D227" t="s">
        <v>17</v>
      </c>
      <c r="E227" t="s">
        <v>18</v>
      </c>
      <c r="H227" t="s">
        <v>19</v>
      </c>
      <c r="I227" t="s">
        <v>20</v>
      </c>
      <c r="J227" t="s">
        <v>21</v>
      </c>
      <c r="K227" t="s">
        <v>28</v>
      </c>
      <c r="L227" t="s">
        <v>23</v>
      </c>
      <c r="M227" t="s">
        <v>24</v>
      </c>
      <c r="O227" t="s">
        <v>25</v>
      </c>
    </row>
    <row r="228" spans="1:15" x14ac:dyDescent="0.55000000000000004">
      <c r="A228">
        <v>726</v>
      </c>
      <c r="B228" t="s">
        <v>465</v>
      </c>
      <c r="C228" t="s">
        <v>463</v>
      </c>
      <c r="D228" t="s">
        <v>17</v>
      </c>
      <c r="E228" t="s">
        <v>18</v>
      </c>
      <c r="H228" t="s">
        <v>19</v>
      </c>
      <c r="I228" t="s">
        <v>20</v>
      </c>
      <c r="J228" t="s">
        <v>21</v>
      </c>
      <c r="K228" t="s">
        <v>57</v>
      </c>
      <c r="L228" t="s">
        <v>23</v>
      </c>
      <c r="M228" t="s">
        <v>24</v>
      </c>
      <c r="O228" t="s">
        <v>25</v>
      </c>
    </row>
    <row r="229" spans="1:15" x14ac:dyDescent="0.55000000000000004">
      <c r="A229">
        <v>727</v>
      </c>
      <c r="B229" t="s">
        <v>466</v>
      </c>
      <c r="C229" t="s">
        <v>467</v>
      </c>
      <c r="D229" t="s">
        <v>17</v>
      </c>
      <c r="E229" t="s">
        <v>18</v>
      </c>
      <c r="H229" t="s">
        <v>19</v>
      </c>
      <c r="I229" t="s">
        <v>20</v>
      </c>
      <c r="J229" t="s">
        <v>21</v>
      </c>
      <c r="K229" t="s">
        <v>69</v>
      </c>
      <c r="L229" t="s">
        <v>23</v>
      </c>
      <c r="M229" t="s">
        <v>24</v>
      </c>
      <c r="O229" t="s">
        <v>25</v>
      </c>
    </row>
    <row r="230" spans="1:15" x14ac:dyDescent="0.55000000000000004">
      <c r="A230">
        <v>728</v>
      </c>
      <c r="B230" t="s">
        <v>468</v>
      </c>
      <c r="C230" t="s">
        <v>469</v>
      </c>
      <c r="D230" t="s">
        <v>17</v>
      </c>
      <c r="E230" t="s">
        <v>18</v>
      </c>
      <c r="G230" t="s">
        <v>470</v>
      </c>
      <c r="H230" t="s">
        <v>19</v>
      </c>
      <c r="I230" t="s">
        <v>20</v>
      </c>
      <c r="J230" t="s">
        <v>21</v>
      </c>
      <c r="K230" t="s">
        <v>36</v>
      </c>
      <c r="L230" t="s">
        <v>23</v>
      </c>
      <c r="M230" t="s">
        <v>24</v>
      </c>
      <c r="O230" t="s">
        <v>25</v>
      </c>
    </row>
    <row r="231" spans="1:15" x14ac:dyDescent="0.55000000000000004">
      <c r="A231">
        <v>729</v>
      </c>
      <c r="B231" t="s">
        <v>471</v>
      </c>
      <c r="C231" t="s">
        <v>472</v>
      </c>
      <c r="D231" t="s">
        <v>17</v>
      </c>
      <c r="E231" t="s">
        <v>18</v>
      </c>
      <c r="G231" t="s">
        <v>470</v>
      </c>
      <c r="H231" t="s">
        <v>19</v>
      </c>
      <c r="I231" t="s">
        <v>20</v>
      </c>
      <c r="J231" t="s">
        <v>21</v>
      </c>
      <c r="K231" t="s">
        <v>36</v>
      </c>
      <c r="L231" t="s">
        <v>23</v>
      </c>
      <c r="M231" t="s">
        <v>24</v>
      </c>
      <c r="O231" t="s">
        <v>25</v>
      </c>
    </row>
    <row r="232" spans="1:15" x14ac:dyDescent="0.55000000000000004">
      <c r="A232">
        <v>730</v>
      </c>
      <c r="B232" t="s">
        <v>473</v>
      </c>
      <c r="C232" t="s">
        <v>474</v>
      </c>
      <c r="D232" t="s">
        <v>17</v>
      </c>
      <c r="E232" t="s">
        <v>18</v>
      </c>
      <c r="G232" t="s">
        <v>470</v>
      </c>
      <c r="H232" t="s">
        <v>19</v>
      </c>
      <c r="I232" t="s">
        <v>20</v>
      </c>
      <c r="J232" t="s">
        <v>21</v>
      </c>
      <c r="K232" t="s">
        <v>36</v>
      </c>
      <c r="L232" t="s">
        <v>23</v>
      </c>
      <c r="M232" t="s">
        <v>24</v>
      </c>
      <c r="O232" t="s">
        <v>25</v>
      </c>
    </row>
    <row r="233" spans="1:15" x14ac:dyDescent="0.55000000000000004">
      <c r="A233">
        <v>731</v>
      </c>
      <c r="B233" t="s">
        <v>475</v>
      </c>
      <c r="C233" t="s">
        <v>476</v>
      </c>
      <c r="D233" t="s">
        <v>17</v>
      </c>
      <c r="E233" t="s">
        <v>18</v>
      </c>
      <c r="G233" t="s">
        <v>470</v>
      </c>
      <c r="H233" t="s">
        <v>19</v>
      </c>
      <c r="I233" t="s">
        <v>20</v>
      </c>
      <c r="J233" t="s">
        <v>21</v>
      </c>
      <c r="K233" t="s">
        <v>36</v>
      </c>
      <c r="L233" t="s">
        <v>23</v>
      </c>
      <c r="M233" t="s">
        <v>24</v>
      </c>
      <c r="O233" t="s">
        <v>25</v>
      </c>
    </row>
    <row r="234" spans="1:15" x14ac:dyDescent="0.55000000000000004">
      <c r="A234">
        <v>732</v>
      </c>
      <c r="B234" t="s">
        <v>477</v>
      </c>
      <c r="C234" t="s">
        <v>478</v>
      </c>
      <c r="D234" t="s">
        <v>17</v>
      </c>
      <c r="E234" t="s">
        <v>18</v>
      </c>
      <c r="G234" t="s">
        <v>470</v>
      </c>
      <c r="H234" t="s">
        <v>19</v>
      </c>
      <c r="I234" t="s">
        <v>20</v>
      </c>
      <c r="J234" t="s">
        <v>21</v>
      </c>
      <c r="K234" t="s">
        <v>36</v>
      </c>
      <c r="L234" t="s">
        <v>23</v>
      </c>
      <c r="M234" t="s">
        <v>24</v>
      </c>
      <c r="O234" t="s">
        <v>25</v>
      </c>
    </row>
    <row r="235" spans="1:15" x14ac:dyDescent="0.55000000000000004">
      <c r="A235">
        <v>733</v>
      </c>
      <c r="B235" t="s">
        <v>479</v>
      </c>
      <c r="C235" t="s">
        <v>480</v>
      </c>
      <c r="D235" t="s">
        <v>17</v>
      </c>
      <c r="E235" t="s">
        <v>18</v>
      </c>
      <c r="G235" t="s">
        <v>470</v>
      </c>
      <c r="H235" t="s">
        <v>19</v>
      </c>
      <c r="I235" t="s">
        <v>20</v>
      </c>
      <c r="J235" t="s">
        <v>21</v>
      </c>
      <c r="K235" t="s">
        <v>36</v>
      </c>
      <c r="L235" t="s">
        <v>23</v>
      </c>
      <c r="M235" t="s">
        <v>24</v>
      </c>
      <c r="O235" t="s">
        <v>25</v>
      </c>
    </row>
    <row r="236" spans="1:15" x14ac:dyDescent="0.55000000000000004">
      <c r="A236">
        <v>734</v>
      </c>
      <c r="B236" t="s">
        <v>481</v>
      </c>
      <c r="C236" t="s">
        <v>482</v>
      </c>
      <c r="D236" t="s">
        <v>17</v>
      </c>
      <c r="E236" t="s">
        <v>18</v>
      </c>
      <c r="G236" t="s">
        <v>470</v>
      </c>
      <c r="H236" t="s">
        <v>19</v>
      </c>
      <c r="I236" t="s">
        <v>20</v>
      </c>
      <c r="J236" t="s">
        <v>21</v>
      </c>
      <c r="K236" t="s">
        <v>36</v>
      </c>
      <c r="L236" t="s">
        <v>23</v>
      </c>
      <c r="M236" t="s">
        <v>24</v>
      </c>
      <c r="O236" t="s">
        <v>25</v>
      </c>
    </row>
    <row r="237" spans="1:15" x14ac:dyDescent="0.55000000000000004">
      <c r="A237">
        <v>735</v>
      </c>
      <c r="B237" t="s">
        <v>483</v>
      </c>
      <c r="C237" t="s">
        <v>484</v>
      </c>
      <c r="D237" t="s">
        <v>17</v>
      </c>
      <c r="E237" t="s">
        <v>18</v>
      </c>
      <c r="G237" t="s">
        <v>470</v>
      </c>
      <c r="H237" t="s">
        <v>19</v>
      </c>
      <c r="I237" t="s">
        <v>20</v>
      </c>
      <c r="J237" t="s">
        <v>21</v>
      </c>
      <c r="K237" t="s">
        <v>36</v>
      </c>
      <c r="L237" t="s">
        <v>23</v>
      </c>
      <c r="M237" t="s">
        <v>24</v>
      </c>
      <c r="O237" t="s">
        <v>25</v>
      </c>
    </row>
    <row r="238" spans="1:15" x14ac:dyDescent="0.55000000000000004">
      <c r="A238">
        <v>736</v>
      </c>
      <c r="B238" t="s">
        <v>485</v>
      </c>
      <c r="C238" t="s">
        <v>486</v>
      </c>
      <c r="D238" t="s">
        <v>17</v>
      </c>
      <c r="E238" t="s">
        <v>18</v>
      </c>
      <c r="G238" t="s">
        <v>470</v>
      </c>
      <c r="H238" t="s">
        <v>19</v>
      </c>
      <c r="I238" t="s">
        <v>20</v>
      </c>
      <c r="J238" t="s">
        <v>21</v>
      </c>
      <c r="K238" t="s">
        <v>36</v>
      </c>
      <c r="L238" t="s">
        <v>23</v>
      </c>
      <c r="M238" t="s">
        <v>24</v>
      </c>
      <c r="O238" t="s">
        <v>25</v>
      </c>
    </row>
    <row r="239" spans="1:15" x14ac:dyDescent="0.55000000000000004">
      <c r="A239">
        <v>737</v>
      </c>
      <c r="B239" t="s">
        <v>487</v>
      </c>
      <c r="C239" t="s">
        <v>488</v>
      </c>
      <c r="D239" t="s">
        <v>17</v>
      </c>
      <c r="E239" t="s">
        <v>18</v>
      </c>
      <c r="G239" t="s">
        <v>470</v>
      </c>
      <c r="H239" t="s">
        <v>19</v>
      </c>
      <c r="I239" t="s">
        <v>20</v>
      </c>
      <c r="J239" t="s">
        <v>21</v>
      </c>
      <c r="K239" t="s">
        <v>36</v>
      </c>
      <c r="L239" t="s">
        <v>23</v>
      </c>
      <c r="M239" t="s">
        <v>24</v>
      </c>
      <c r="O239" t="s">
        <v>25</v>
      </c>
    </row>
    <row r="240" spans="1:15" x14ac:dyDescent="0.55000000000000004">
      <c r="A240">
        <v>738</v>
      </c>
      <c r="B240" t="s">
        <v>489</v>
      </c>
      <c r="C240" t="s">
        <v>490</v>
      </c>
      <c r="D240" t="s">
        <v>17</v>
      </c>
      <c r="E240" t="s">
        <v>18</v>
      </c>
      <c r="G240" t="s">
        <v>470</v>
      </c>
      <c r="H240" t="s">
        <v>19</v>
      </c>
      <c r="I240" t="s">
        <v>20</v>
      </c>
      <c r="J240" t="s">
        <v>21</v>
      </c>
      <c r="K240" t="s">
        <v>36</v>
      </c>
      <c r="L240" t="s">
        <v>23</v>
      </c>
      <c r="M240" t="s">
        <v>24</v>
      </c>
      <c r="O240" t="s">
        <v>25</v>
      </c>
    </row>
    <row r="241" spans="1:15" x14ac:dyDescent="0.55000000000000004">
      <c r="A241">
        <v>739</v>
      </c>
      <c r="B241" t="s">
        <v>491</v>
      </c>
      <c r="C241" t="s">
        <v>492</v>
      </c>
      <c r="D241" t="s">
        <v>17</v>
      </c>
      <c r="E241" t="s">
        <v>18</v>
      </c>
      <c r="G241" t="s">
        <v>470</v>
      </c>
      <c r="H241" t="s">
        <v>19</v>
      </c>
      <c r="I241" t="s">
        <v>20</v>
      </c>
      <c r="J241" t="s">
        <v>21</v>
      </c>
      <c r="K241" t="s">
        <v>36</v>
      </c>
      <c r="L241" t="s">
        <v>23</v>
      </c>
      <c r="M241" t="s">
        <v>24</v>
      </c>
      <c r="O241" t="s">
        <v>25</v>
      </c>
    </row>
    <row r="242" spans="1:15" x14ac:dyDescent="0.55000000000000004">
      <c r="A242">
        <v>740</v>
      </c>
      <c r="B242" t="s">
        <v>493</v>
      </c>
      <c r="C242" t="s">
        <v>494</v>
      </c>
      <c r="D242" t="s">
        <v>17</v>
      </c>
      <c r="E242" t="s">
        <v>18</v>
      </c>
      <c r="G242" t="s">
        <v>470</v>
      </c>
      <c r="H242" t="s">
        <v>19</v>
      </c>
      <c r="I242" t="s">
        <v>20</v>
      </c>
      <c r="J242" t="s">
        <v>21</v>
      </c>
      <c r="K242" t="s">
        <v>36</v>
      </c>
      <c r="L242" t="s">
        <v>23</v>
      </c>
      <c r="M242" t="s">
        <v>24</v>
      </c>
      <c r="O242" t="s">
        <v>25</v>
      </c>
    </row>
    <row r="243" spans="1:15" x14ac:dyDescent="0.55000000000000004">
      <c r="A243">
        <v>741</v>
      </c>
      <c r="B243" t="s">
        <v>495</v>
      </c>
      <c r="C243" t="s">
        <v>496</v>
      </c>
      <c r="D243" t="s">
        <v>17</v>
      </c>
      <c r="E243" t="s">
        <v>18</v>
      </c>
      <c r="G243" t="s">
        <v>470</v>
      </c>
      <c r="H243" t="s">
        <v>19</v>
      </c>
      <c r="I243" t="s">
        <v>20</v>
      </c>
      <c r="J243" t="s">
        <v>21</v>
      </c>
      <c r="K243" t="s">
        <v>36</v>
      </c>
      <c r="L243" t="s">
        <v>23</v>
      </c>
      <c r="M243" t="s">
        <v>24</v>
      </c>
      <c r="O243" t="s">
        <v>25</v>
      </c>
    </row>
    <row r="244" spans="1:15" x14ac:dyDescent="0.55000000000000004">
      <c r="A244">
        <v>742</v>
      </c>
      <c r="B244" t="s">
        <v>497</v>
      </c>
      <c r="C244" t="s">
        <v>498</v>
      </c>
      <c r="D244" t="s">
        <v>17</v>
      </c>
      <c r="E244" t="s">
        <v>18</v>
      </c>
      <c r="G244" t="s">
        <v>470</v>
      </c>
      <c r="H244" t="s">
        <v>19</v>
      </c>
      <c r="I244" t="s">
        <v>20</v>
      </c>
      <c r="J244" t="s">
        <v>21</v>
      </c>
      <c r="K244" t="s">
        <v>36</v>
      </c>
      <c r="L244" t="s">
        <v>23</v>
      </c>
      <c r="M244" t="s">
        <v>24</v>
      </c>
      <c r="O244" t="s">
        <v>25</v>
      </c>
    </row>
    <row r="245" spans="1:15" x14ac:dyDescent="0.55000000000000004">
      <c r="A245">
        <v>743</v>
      </c>
      <c r="B245" t="s">
        <v>499</v>
      </c>
      <c r="C245" t="s">
        <v>500</v>
      </c>
      <c r="D245" t="s">
        <v>17</v>
      </c>
      <c r="E245" t="s">
        <v>18</v>
      </c>
      <c r="G245" t="s">
        <v>470</v>
      </c>
      <c r="H245" t="s">
        <v>19</v>
      </c>
      <c r="I245" t="s">
        <v>20</v>
      </c>
      <c r="J245" t="s">
        <v>21</v>
      </c>
      <c r="K245" t="s">
        <v>36</v>
      </c>
      <c r="L245" t="s">
        <v>23</v>
      </c>
      <c r="M245" t="s">
        <v>24</v>
      </c>
      <c r="O245" t="s">
        <v>25</v>
      </c>
    </row>
    <row r="246" spans="1:15" x14ac:dyDescent="0.55000000000000004">
      <c r="A246">
        <v>744</v>
      </c>
      <c r="B246" t="s">
        <v>501</v>
      </c>
      <c r="C246" t="s">
        <v>502</v>
      </c>
      <c r="D246" t="s">
        <v>17</v>
      </c>
      <c r="E246" t="s">
        <v>18</v>
      </c>
      <c r="G246" t="s">
        <v>470</v>
      </c>
      <c r="H246" t="s">
        <v>19</v>
      </c>
      <c r="I246" t="s">
        <v>20</v>
      </c>
      <c r="J246" t="s">
        <v>21</v>
      </c>
      <c r="K246" t="s">
        <v>36</v>
      </c>
      <c r="L246" t="s">
        <v>23</v>
      </c>
      <c r="M246" t="s">
        <v>24</v>
      </c>
      <c r="O246" t="s">
        <v>25</v>
      </c>
    </row>
    <row r="247" spans="1:15" x14ac:dyDescent="0.55000000000000004">
      <c r="A247">
        <v>745</v>
      </c>
      <c r="B247" t="s">
        <v>503</v>
      </c>
      <c r="C247" t="s">
        <v>504</v>
      </c>
      <c r="D247" t="s">
        <v>17</v>
      </c>
      <c r="E247" t="s">
        <v>18</v>
      </c>
      <c r="G247" t="s">
        <v>470</v>
      </c>
      <c r="H247" t="s">
        <v>19</v>
      </c>
      <c r="I247" t="s">
        <v>20</v>
      </c>
      <c r="J247" t="s">
        <v>21</v>
      </c>
      <c r="K247" t="s">
        <v>36</v>
      </c>
      <c r="L247" t="s">
        <v>23</v>
      </c>
      <c r="M247" t="s">
        <v>24</v>
      </c>
      <c r="O247" t="s">
        <v>25</v>
      </c>
    </row>
    <row r="248" spans="1:15" x14ac:dyDescent="0.55000000000000004">
      <c r="A248">
        <v>746</v>
      </c>
      <c r="B248" t="s">
        <v>505</v>
      </c>
      <c r="C248" t="s">
        <v>506</v>
      </c>
      <c r="D248" t="s">
        <v>17</v>
      </c>
      <c r="E248" t="s">
        <v>18</v>
      </c>
      <c r="G248" t="s">
        <v>470</v>
      </c>
      <c r="H248" t="s">
        <v>19</v>
      </c>
      <c r="I248" t="s">
        <v>20</v>
      </c>
      <c r="J248" t="s">
        <v>21</v>
      </c>
      <c r="K248" t="s">
        <v>36</v>
      </c>
      <c r="L248" t="s">
        <v>23</v>
      </c>
      <c r="M248" t="s">
        <v>24</v>
      </c>
      <c r="O248" t="s">
        <v>25</v>
      </c>
    </row>
    <row r="249" spans="1:15" x14ac:dyDescent="0.55000000000000004">
      <c r="A249">
        <v>747</v>
      </c>
      <c r="B249" t="s">
        <v>507</v>
      </c>
      <c r="C249" t="s">
        <v>508</v>
      </c>
      <c r="D249" t="s">
        <v>17</v>
      </c>
      <c r="E249" t="s">
        <v>18</v>
      </c>
      <c r="G249" t="s">
        <v>470</v>
      </c>
      <c r="H249" t="s">
        <v>19</v>
      </c>
      <c r="I249" t="s">
        <v>20</v>
      </c>
      <c r="J249" t="s">
        <v>21</v>
      </c>
      <c r="K249" t="s">
        <v>36</v>
      </c>
      <c r="L249" t="s">
        <v>23</v>
      </c>
      <c r="M249" t="s">
        <v>24</v>
      </c>
      <c r="O249" t="s">
        <v>25</v>
      </c>
    </row>
    <row r="250" spans="1:15" x14ac:dyDescent="0.55000000000000004">
      <c r="A250">
        <v>748</v>
      </c>
      <c r="B250" t="s">
        <v>509</v>
      </c>
      <c r="C250" t="s">
        <v>510</v>
      </c>
      <c r="D250" t="s">
        <v>17</v>
      </c>
      <c r="E250" t="s">
        <v>18</v>
      </c>
      <c r="G250" t="s">
        <v>470</v>
      </c>
      <c r="H250" t="s">
        <v>19</v>
      </c>
      <c r="I250" t="s">
        <v>20</v>
      </c>
      <c r="J250" t="s">
        <v>21</v>
      </c>
      <c r="K250" t="s">
        <v>36</v>
      </c>
      <c r="L250" t="s">
        <v>23</v>
      </c>
      <c r="M250" t="s">
        <v>24</v>
      </c>
      <c r="O250" t="s">
        <v>25</v>
      </c>
    </row>
    <row r="251" spans="1:15" x14ac:dyDescent="0.55000000000000004">
      <c r="A251">
        <v>749</v>
      </c>
      <c r="B251" t="s">
        <v>511</v>
      </c>
      <c r="C251" t="s">
        <v>512</v>
      </c>
      <c r="D251" t="s">
        <v>17</v>
      </c>
      <c r="E251" t="s">
        <v>18</v>
      </c>
      <c r="G251" t="s">
        <v>470</v>
      </c>
      <c r="H251" t="s">
        <v>19</v>
      </c>
      <c r="I251" t="s">
        <v>20</v>
      </c>
      <c r="J251" t="s">
        <v>21</v>
      </c>
      <c r="K251" t="s">
        <v>36</v>
      </c>
      <c r="L251" t="s">
        <v>23</v>
      </c>
      <c r="M251" t="s">
        <v>24</v>
      </c>
      <c r="O251" t="s">
        <v>25</v>
      </c>
    </row>
    <row r="252" spans="1:15" x14ac:dyDescent="0.55000000000000004">
      <c r="A252">
        <v>750</v>
      </c>
      <c r="B252" t="s">
        <v>513</v>
      </c>
      <c r="C252" t="s">
        <v>514</v>
      </c>
      <c r="D252" t="s">
        <v>17</v>
      </c>
      <c r="E252" t="s">
        <v>18</v>
      </c>
      <c r="G252" t="s">
        <v>470</v>
      </c>
      <c r="H252" t="s">
        <v>19</v>
      </c>
      <c r="I252" t="s">
        <v>20</v>
      </c>
      <c r="J252" t="s">
        <v>21</v>
      </c>
      <c r="K252" t="s">
        <v>36</v>
      </c>
      <c r="L252" t="s">
        <v>23</v>
      </c>
      <c r="M252" t="s">
        <v>24</v>
      </c>
      <c r="O252" t="s">
        <v>25</v>
      </c>
    </row>
    <row r="253" spans="1:15" x14ac:dyDescent="0.55000000000000004">
      <c r="A253">
        <v>751</v>
      </c>
      <c r="B253" t="s">
        <v>515</v>
      </c>
      <c r="C253" t="s">
        <v>516</v>
      </c>
      <c r="D253" t="s">
        <v>17</v>
      </c>
      <c r="E253" t="s">
        <v>18</v>
      </c>
      <c r="G253" t="s">
        <v>470</v>
      </c>
      <c r="H253" t="s">
        <v>19</v>
      </c>
      <c r="I253" t="s">
        <v>20</v>
      </c>
      <c r="J253" t="s">
        <v>21</v>
      </c>
      <c r="K253" t="s">
        <v>36</v>
      </c>
      <c r="L253" t="s">
        <v>23</v>
      </c>
      <c r="M253" t="s">
        <v>24</v>
      </c>
      <c r="O253" t="s">
        <v>25</v>
      </c>
    </row>
    <row r="254" spans="1:15" x14ac:dyDescent="0.55000000000000004">
      <c r="A254">
        <v>752</v>
      </c>
      <c r="B254" t="s">
        <v>517</v>
      </c>
      <c r="C254" t="s">
        <v>518</v>
      </c>
      <c r="D254" t="s">
        <v>17</v>
      </c>
      <c r="E254" t="s">
        <v>18</v>
      </c>
      <c r="G254" t="s">
        <v>470</v>
      </c>
      <c r="H254" t="s">
        <v>19</v>
      </c>
      <c r="I254" t="s">
        <v>20</v>
      </c>
      <c r="J254" t="s">
        <v>21</v>
      </c>
      <c r="K254" t="s">
        <v>36</v>
      </c>
      <c r="L254" t="s">
        <v>23</v>
      </c>
      <c r="M254" t="s">
        <v>24</v>
      </c>
      <c r="O254" t="s">
        <v>25</v>
      </c>
    </row>
    <row r="255" spans="1:15" x14ac:dyDescent="0.55000000000000004">
      <c r="A255">
        <v>753</v>
      </c>
      <c r="B255" t="s">
        <v>519</v>
      </c>
      <c r="C255" t="s">
        <v>520</v>
      </c>
      <c r="D255" t="s">
        <v>17</v>
      </c>
      <c r="E255" t="s">
        <v>18</v>
      </c>
      <c r="G255" t="s">
        <v>470</v>
      </c>
      <c r="H255" t="s">
        <v>19</v>
      </c>
      <c r="I255" t="s">
        <v>20</v>
      </c>
      <c r="J255" t="s">
        <v>21</v>
      </c>
      <c r="K255" t="s">
        <v>36</v>
      </c>
      <c r="L255" t="s">
        <v>23</v>
      </c>
      <c r="M255" t="s">
        <v>24</v>
      </c>
      <c r="O255" t="s">
        <v>25</v>
      </c>
    </row>
    <row r="256" spans="1:15" x14ac:dyDescent="0.55000000000000004">
      <c r="A256">
        <v>754</v>
      </c>
      <c r="B256" t="s">
        <v>521</v>
      </c>
      <c r="C256" t="s">
        <v>522</v>
      </c>
      <c r="D256" t="s">
        <v>17</v>
      </c>
      <c r="E256" t="s">
        <v>18</v>
      </c>
      <c r="G256" t="s">
        <v>470</v>
      </c>
      <c r="H256" t="s">
        <v>19</v>
      </c>
      <c r="I256" t="s">
        <v>20</v>
      </c>
      <c r="J256" t="s">
        <v>21</v>
      </c>
      <c r="K256" t="s">
        <v>36</v>
      </c>
      <c r="L256" t="s">
        <v>23</v>
      </c>
      <c r="M256" t="s">
        <v>24</v>
      </c>
      <c r="O256" t="s">
        <v>25</v>
      </c>
    </row>
    <row r="257" spans="1:15" x14ac:dyDescent="0.55000000000000004">
      <c r="A257">
        <v>755</v>
      </c>
      <c r="B257" t="s">
        <v>523</v>
      </c>
      <c r="C257" t="s">
        <v>524</v>
      </c>
      <c r="D257" t="s">
        <v>17</v>
      </c>
      <c r="E257" t="s">
        <v>18</v>
      </c>
      <c r="G257" t="s">
        <v>470</v>
      </c>
      <c r="H257" t="s">
        <v>19</v>
      </c>
      <c r="I257" t="s">
        <v>20</v>
      </c>
      <c r="J257" t="s">
        <v>21</v>
      </c>
      <c r="K257" t="s">
        <v>36</v>
      </c>
      <c r="L257" t="s">
        <v>23</v>
      </c>
      <c r="M257" t="s">
        <v>24</v>
      </c>
      <c r="O257" t="s">
        <v>25</v>
      </c>
    </row>
    <row r="258" spans="1:15" x14ac:dyDescent="0.55000000000000004">
      <c r="A258">
        <v>756</v>
      </c>
      <c r="B258" t="s">
        <v>525</v>
      </c>
      <c r="C258" t="s">
        <v>526</v>
      </c>
      <c r="D258" t="s">
        <v>17</v>
      </c>
      <c r="E258" t="s">
        <v>18</v>
      </c>
      <c r="G258" t="s">
        <v>470</v>
      </c>
      <c r="H258" t="s">
        <v>19</v>
      </c>
      <c r="I258" t="s">
        <v>20</v>
      </c>
      <c r="J258" t="s">
        <v>21</v>
      </c>
      <c r="K258" t="s">
        <v>36</v>
      </c>
      <c r="L258" t="s">
        <v>23</v>
      </c>
      <c r="M258" t="s">
        <v>24</v>
      </c>
      <c r="O258" t="s">
        <v>25</v>
      </c>
    </row>
    <row r="259" spans="1:15" x14ac:dyDescent="0.55000000000000004">
      <c r="A259">
        <v>757</v>
      </c>
      <c r="B259" t="s">
        <v>527</v>
      </c>
      <c r="C259" t="s">
        <v>528</v>
      </c>
      <c r="D259" t="s">
        <v>17</v>
      </c>
      <c r="E259" t="s">
        <v>18</v>
      </c>
      <c r="G259" t="s">
        <v>470</v>
      </c>
      <c r="H259" t="s">
        <v>19</v>
      </c>
      <c r="I259" t="s">
        <v>20</v>
      </c>
      <c r="J259" t="s">
        <v>21</v>
      </c>
      <c r="K259" t="s">
        <v>36</v>
      </c>
      <c r="L259" t="s">
        <v>23</v>
      </c>
      <c r="M259" t="s">
        <v>24</v>
      </c>
      <c r="O259" t="s">
        <v>25</v>
      </c>
    </row>
    <row r="260" spans="1:15" x14ac:dyDescent="0.55000000000000004">
      <c r="A260">
        <v>758</v>
      </c>
      <c r="B260" t="s">
        <v>529</v>
      </c>
      <c r="C260" t="s">
        <v>530</v>
      </c>
      <c r="D260" t="s">
        <v>17</v>
      </c>
      <c r="E260" t="s">
        <v>18</v>
      </c>
      <c r="G260" t="s">
        <v>470</v>
      </c>
      <c r="H260" t="s">
        <v>19</v>
      </c>
      <c r="I260" t="s">
        <v>20</v>
      </c>
      <c r="J260" t="s">
        <v>21</v>
      </c>
      <c r="K260" t="s">
        <v>36</v>
      </c>
      <c r="L260" t="s">
        <v>23</v>
      </c>
      <c r="M260" t="s">
        <v>24</v>
      </c>
      <c r="O260" t="s">
        <v>25</v>
      </c>
    </row>
    <row r="261" spans="1:15" x14ac:dyDescent="0.55000000000000004">
      <c r="A261">
        <v>759</v>
      </c>
      <c r="B261" t="s">
        <v>531</v>
      </c>
      <c r="C261" t="s">
        <v>532</v>
      </c>
      <c r="D261" t="s">
        <v>17</v>
      </c>
      <c r="E261" t="s">
        <v>18</v>
      </c>
      <c r="G261" t="s">
        <v>470</v>
      </c>
      <c r="H261" t="s">
        <v>19</v>
      </c>
      <c r="I261" t="s">
        <v>20</v>
      </c>
      <c r="J261" t="s">
        <v>21</v>
      </c>
      <c r="K261" t="s">
        <v>36</v>
      </c>
      <c r="L261" t="s">
        <v>23</v>
      </c>
      <c r="M261" t="s">
        <v>24</v>
      </c>
      <c r="O261" t="s">
        <v>25</v>
      </c>
    </row>
    <row r="262" spans="1:15" x14ac:dyDescent="0.55000000000000004">
      <c r="A262">
        <v>760</v>
      </c>
      <c r="B262" t="s">
        <v>533</v>
      </c>
      <c r="C262" t="s">
        <v>534</v>
      </c>
      <c r="D262" t="s">
        <v>17</v>
      </c>
      <c r="E262" t="s">
        <v>18</v>
      </c>
      <c r="G262" t="s">
        <v>470</v>
      </c>
      <c r="H262" t="s">
        <v>19</v>
      </c>
      <c r="I262" t="s">
        <v>20</v>
      </c>
      <c r="J262" t="s">
        <v>21</v>
      </c>
      <c r="K262" t="s">
        <v>36</v>
      </c>
      <c r="L262" t="s">
        <v>23</v>
      </c>
      <c r="M262" t="s">
        <v>24</v>
      </c>
      <c r="O262" t="s">
        <v>25</v>
      </c>
    </row>
    <row r="263" spans="1:15" x14ac:dyDescent="0.55000000000000004">
      <c r="A263">
        <v>761</v>
      </c>
      <c r="B263" t="s">
        <v>535</v>
      </c>
      <c r="C263" t="s">
        <v>536</v>
      </c>
      <c r="D263" t="s">
        <v>17</v>
      </c>
      <c r="E263" t="s">
        <v>18</v>
      </c>
      <c r="G263" t="s">
        <v>470</v>
      </c>
      <c r="H263" t="s">
        <v>19</v>
      </c>
      <c r="I263" t="s">
        <v>20</v>
      </c>
      <c r="J263" t="s">
        <v>21</v>
      </c>
      <c r="K263" t="s">
        <v>36</v>
      </c>
      <c r="L263" t="s">
        <v>23</v>
      </c>
      <c r="M263" t="s">
        <v>24</v>
      </c>
      <c r="O263" t="s">
        <v>25</v>
      </c>
    </row>
    <row r="264" spans="1:15" x14ac:dyDescent="0.55000000000000004">
      <c r="A264">
        <v>762</v>
      </c>
      <c r="B264" t="s">
        <v>537</v>
      </c>
      <c r="C264" t="s">
        <v>538</v>
      </c>
      <c r="D264" t="s">
        <v>17</v>
      </c>
      <c r="E264" t="s">
        <v>18</v>
      </c>
      <c r="G264" t="s">
        <v>470</v>
      </c>
      <c r="H264" t="s">
        <v>19</v>
      </c>
      <c r="I264" t="s">
        <v>20</v>
      </c>
      <c r="J264" t="s">
        <v>21</v>
      </c>
      <c r="K264" t="s">
        <v>36</v>
      </c>
      <c r="L264" t="s">
        <v>23</v>
      </c>
      <c r="M264" t="s">
        <v>24</v>
      </c>
      <c r="O264" t="s">
        <v>25</v>
      </c>
    </row>
    <row r="265" spans="1:15" x14ac:dyDescent="0.55000000000000004">
      <c r="A265">
        <v>763</v>
      </c>
      <c r="B265" t="s">
        <v>539</v>
      </c>
      <c r="C265" t="s">
        <v>540</v>
      </c>
      <c r="D265" t="s">
        <v>17</v>
      </c>
      <c r="E265" t="s">
        <v>18</v>
      </c>
      <c r="G265" t="s">
        <v>470</v>
      </c>
      <c r="H265" t="s">
        <v>19</v>
      </c>
      <c r="I265" t="s">
        <v>20</v>
      </c>
      <c r="J265" t="s">
        <v>21</v>
      </c>
      <c r="K265" t="s">
        <v>36</v>
      </c>
      <c r="L265" t="s">
        <v>23</v>
      </c>
      <c r="M265" t="s">
        <v>24</v>
      </c>
      <c r="O265" t="s">
        <v>25</v>
      </c>
    </row>
    <row r="266" spans="1:15" x14ac:dyDescent="0.55000000000000004">
      <c r="A266">
        <v>764</v>
      </c>
      <c r="B266" t="s">
        <v>541</v>
      </c>
      <c r="C266" t="s">
        <v>542</v>
      </c>
      <c r="D266" t="s">
        <v>17</v>
      </c>
      <c r="E266" t="s">
        <v>18</v>
      </c>
      <c r="G266" t="s">
        <v>470</v>
      </c>
      <c r="H266" t="s">
        <v>19</v>
      </c>
      <c r="I266" t="s">
        <v>20</v>
      </c>
      <c r="J266" t="s">
        <v>21</v>
      </c>
      <c r="K266" t="s">
        <v>36</v>
      </c>
      <c r="L266" t="s">
        <v>23</v>
      </c>
      <c r="M266" t="s">
        <v>24</v>
      </c>
      <c r="O266" t="s">
        <v>25</v>
      </c>
    </row>
    <row r="267" spans="1:15" x14ac:dyDescent="0.55000000000000004">
      <c r="A267">
        <v>765</v>
      </c>
      <c r="B267" t="s">
        <v>543</v>
      </c>
      <c r="C267" t="s">
        <v>544</v>
      </c>
      <c r="D267" t="s">
        <v>17</v>
      </c>
      <c r="E267" t="s">
        <v>18</v>
      </c>
      <c r="G267" t="s">
        <v>470</v>
      </c>
      <c r="H267" t="s">
        <v>19</v>
      </c>
      <c r="I267" t="s">
        <v>20</v>
      </c>
      <c r="J267" t="s">
        <v>21</v>
      </c>
      <c r="K267" t="s">
        <v>36</v>
      </c>
      <c r="L267" t="s">
        <v>23</v>
      </c>
      <c r="M267" t="s">
        <v>24</v>
      </c>
      <c r="O267" t="s">
        <v>25</v>
      </c>
    </row>
    <row r="268" spans="1:15" x14ac:dyDescent="0.55000000000000004">
      <c r="A268">
        <v>766</v>
      </c>
      <c r="B268" t="s">
        <v>545</v>
      </c>
      <c r="C268" t="s">
        <v>546</v>
      </c>
      <c r="D268" t="s">
        <v>17</v>
      </c>
      <c r="E268" t="s">
        <v>18</v>
      </c>
      <c r="G268" t="s">
        <v>470</v>
      </c>
      <c r="H268" t="s">
        <v>19</v>
      </c>
      <c r="I268" t="s">
        <v>20</v>
      </c>
      <c r="J268" t="s">
        <v>21</v>
      </c>
      <c r="K268" t="s">
        <v>36</v>
      </c>
      <c r="L268" t="s">
        <v>23</v>
      </c>
      <c r="M268" t="s">
        <v>24</v>
      </c>
      <c r="O268" t="s">
        <v>25</v>
      </c>
    </row>
    <row r="269" spans="1:15" x14ac:dyDescent="0.55000000000000004">
      <c r="A269">
        <v>767</v>
      </c>
      <c r="B269" t="s">
        <v>547</v>
      </c>
      <c r="C269" t="s">
        <v>548</v>
      </c>
      <c r="D269" t="s">
        <v>17</v>
      </c>
      <c r="E269" t="s">
        <v>18</v>
      </c>
      <c r="G269" t="s">
        <v>470</v>
      </c>
      <c r="H269" t="s">
        <v>19</v>
      </c>
      <c r="I269" t="s">
        <v>20</v>
      </c>
      <c r="J269" t="s">
        <v>21</v>
      </c>
      <c r="K269" t="s">
        <v>36</v>
      </c>
      <c r="L269" t="s">
        <v>23</v>
      </c>
      <c r="M269" t="s">
        <v>24</v>
      </c>
      <c r="O269" t="s">
        <v>25</v>
      </c>
    </row>
    <row r="270" spans="1:15" x14ac:dyDescent="0.55000000000000004">
      <c r="A270">
        <v>768</v>
      </c>
      <c r="B270" t="s">
        <v>549</v>
      </c>
      <c r="C270" t="s">
        <v>550</v>
      </c>
      <c r="D270" t="s">
        <v>17</v>
      </c>
      <c r="E270" t="s">
        <v>18</v>
      </c>
      <c r="G270" t="s">
        <v>470</v>
      </c>
      <c r="H270" t="s">
        <v>19</v>
      </c>
      <c r="I270" t="s">
        <v>20</v>
      </c>
      <c r="J270" t="s">
        <v>21</v>
      </c>
      <c r="K270" t="s">
        <v>36</v>
      </c>
      <c r="L270" t="s">
        <v>23</v>
      </c>
      <c r="M270" t="s">
        <v>24</v>
      </c>
      <c r="O270" t="s">
        <v>25</v>
      </c>
    </row>
    <row r="271" spans="1:15" x14ac:dyDescent="0.55000000000000004">
      <c r="A271">
        <v>769</v>
      </c>
      <c r="B271" t="s">
        <v>551</v>
      </c>
      <c r="C271" t="s">
        <v>552</v>
      </c>
      <c r="D271" t="s">
        <v>17</v>
      </c>
      <c r="E271" t="s">
        <v>18</v>
      </c>
      <c r="G271" t="s">
        <v>470</v>
      </c>
      <c r="H271" t="s">
        <v>19</v>
      </c>
      <c r="I271" t="s">
        <v>20</v>
      </c>
      <c r="J271" t="s">
        <v>21</v>
      </c>
      <c r="K271" t="s">
        <v>36</v>
      </c>
      <c r="L271" t="s">
        <v>23</v>
      </c>
      <c r="M271" t="s">
        <v>24</v>
      </c>
      <c r="O271" t="s">
        <v>25</v>
      </c>
    </row>
    <row r="272" spans="1:15" x14ac:dyDescent="0.55000000000000004">
      <c r="A272">
        <v>770</v>
      </c>
      <c r="B272" t="s">
        <v>553</v>
      </c>
      <c r="C272" t="s">
        <v>554</v>
      </c>
      <c r="D272" t="s">
        <v>17</v>
      </c>
      <c r="E272" t="s">
        <v>18</v>
      </c>
      <c r="G272" t="s">
        <v>470</v>
      </c>
      <c r="H272" t="s">
        <v>19</v>
      </c>
      <c r="I272" t="s">
        <v>20</v>
      </c>
      <c r="J272" t="s">
        <v>21</v>
      </c>
      <c r="K272" t="s">
        <v>36</v>
      </c>
      <c r="L272" t="s">
        <v>23</v>
      </c>
      <c r="M272" t="s">
        <v>24</v>
      </c>
      <c r="O272" t="s">
        <v>25</v>
      </c>
    </row>
    <row r="273" spans="1:15" x14ac:dyDescent="0.55000000000000004">
      <c r="A273">
        <v>771</v>
      </c>
      <c r="B273" t="s">
        <v>555</v>
      </c>
      <c r="C273" t="s">
        <v>556</v>
      </c>
      <c r="D273" t="s">
        <v>17</v>
      </c>
      <c r="E273" t="s">
        <v>18</v>
      </c>
      <c r="G273" t="s">
        <v>470</v>
      </c>
      <c r="H273" t="s">
        <v>19</v>
      </c>
      <c r="I273" t="s">
        <v>20</v>
      </c>
      <c r="J273" t="s">
        <v>21</v>
      </c>
      <c r="K273" t="s">
        <v>36</v>
      </c>
      <c r="L273" t="s">
        <v>23</v>
      </c>
      <c r="M273" t="s">
        <v>24</v>
      </c>
      <c r="O273" t="s">
        <v>25</v>
      </c>
    </row>
    <row r="274" spans="1:15" x14ac:dyDescent="0.55000000000000004">
      <c r="A274">
        <v>772</v>
      </c>
      <c r="B274" t="s">
        <v>557</v>
      </c>
      <c r="C274" t="s">
        <v>558</v>
      </c>
      <c r="D274" t="s">
        <v>17</v>
      </c>
      <c r="E274" t="s">
        <v>18</v>
      </c>
      <c r="G274" t="s">
        <v>470</v>
      </c>
      <c r="H274" t="s">
        <v>19</v>
      </c>
      <c r="I274" t="s">
        <v>20</v>
      </c>
      <c r="J274" t="s">
        <v>21</v>
      </c>
      <c r="K274" t="s">
        <v>36</v>
      </c>
      <c r="L274" t="s">
        <v>23</v>
      </c>
      <c r="M274" t="s">
        <v>24</v>
      </c>
      <c r="O274" t="s">
        <v>25</v>
      </c>
    </row>
    <row r="275" spans="1:15" x14ac:dyDescent="0.55000000000000004">
      <c r="A275">
        <v>773</v>
      </c>
      <c r="B275" t="s">
        <v>559</v>
      </c>
      <c r="C275" t="s">
        <v>560</v>
      </c>
      <c r="D275" t="s">
        <v>17</v>
      </c>
      <c r="E275" t="s">
        <v>18</v>
      </c>
      <c r="G275" t="s">
        <v>470</v>
      </c>
      <c r="H275" t="s">
        <v>19</v>
      </c>
      <c r="I275" t="s">
        <v>20</v>
      </c>
      <c r="J275" t="s">
        <v>21</v>
      </c>
      <c r="K275" t="s">
        <v>36</v>
      </c>
      <c r="L275" t="s">
        <v>23</v>
      </c>
      <c r="M275" t="s">
        <v>24</v>
      </c>
      <c r="O275" t="s">
        <v>25</v>
      </c>
    </row>
    <row r="276" spans="1:15" x14ac:dyDescent="0.55000000000000004">
      <c r="A276">
        <v>774</v>
      </c>
      <c r="B276" t="s">
        <v>561</v>
      </c>
      <c r="C276" t="s">
        <v>562</v>
      </c>
      <c r="D276" t="s">
        <v>17</v>
      </c>
      <c r="E276" t="s">
        <v>18</v>
      </c>
      <c r="G276" t="s">
        <v>470</v>
      </c>
      <c r="H276" t="s">
        <v>19</v>
      </c>
      <c r="I276" t="s">
        <v>20</v>
      </c>
      <c r="J276" t="s">
        <v>21</v>
      </c>
      <c r="K276" t="s">
        <v>36</v>
      </c>
      <c r="L276" t="s">
        <v>23</v>
      </c>
      <c r="M276" t="s">
        <v>24</v>
      </c>
      <c r="O276" t="s">
        <v>25</v>
      </c>
    </row>
    <row r="277" spans="1:15" x14ac:dyDescent="0.55000000000000004">
      <c r="A277">
        <v>775</v>
      </c>
      <c r="B277" t="s">
        <v>563</v>
      </c>
      <c r="C277" t="s">
        <v>564</v>
      </c>
      <c r="D277" t="s">
        <v>17</v>
      </c>
      <c r="E277" t="s">
        <v>18</v>
      </c>
      <c r="G277" t="s">
        <v>470</v>
      </c>
      <c r="H277" t="s">
        <v>19</v>
      </c>
      <c r="I277" t="s">
        <v>20</v>
      </c>
      <c r="J277" t="s">
        <v>21</v>
      </c>
      <c r="K277" t="s">
        <v>36</v>
      </c>
      <c r="L277" t="s">
        <v>23</v>
      </c>
      <c r="M277" t="s">
        <v>24</v>
      </c>
      <c r="O277" t="s">
        <v>25</v>
      </c>
    </row>
    <row r="278" spans="1:15" x14ac:dyDescent="0.55000000000000004">
      <c r="A278">
        <v>776</v>
      </c>
      <c r="B278" t="s">
        <v>565</v>
      </c>
      <c r="C278" t="s">
        <v>566</v>
      </c>
      <c r="D278" t="s">
        <v>17</v>
      </c>
      <c r="E278" t="s">
        <v>18</v>
      </c>
      <c r="H278" t="s">
        <v>19</v>
      </c>
      <c r="I278" t="s">
        <v>20</v>
      </c>
      <c r="J278" t="s">
        <v>21</v>
      </c>
      <c r="K278" t="s">
        <v>36</v>
      </c>
      <c r="L278" t="s">
        <v>23</v>
      </c>
      <c r="M278" t="s">
        <v>24</v>
      </c>
      <c r="O278" t="s">
        <v>25</v>
      </c>
    </row>
    <row r="279" spans="1:15" x14ac:dyDescent="0.55000000000000004">
      <c r="A279">
        <v>777</v>
      </c>
      <c r="B279" t="s">
        <v>567</v>
      </c>
      <c r="C279" t="s">
        <v>568</v>
      </c>
      <c r="D279" t="s">
        <v>17</v>
      </c>
      <c r="E279" t="s">
        <v>18</v>
      </c>
      <c r="H279" t="s">
        <v>19</v>
      </c>
      <c r="I279" t="s">
        <v>20</v>
      </c>
      <c r="J279" t="s">
        <v>21</v>
      </c>
      <c r="K279" t="s">
        <v>76</v>
      </c>
      <c r="L279" t="s">
        <v>23</v>
      </c>
      <c r="M279" t="s">
        <v>24</v>
      </c>
      <c r="O279" t="s">
        <v>25</v>
      </c>
    </row>
    <row r="280" spans="1:15" x14ac:dyDescent="0.55000000000000004">
      <c r="A280">
        <v>778</v>
      </c>
      <c r="B280" t="s">
        <v>569</v>
      </c>
      <c r="C280" t="s">
        <v>568</v>
      </c>
      <c r="D280" t="s">
        <v>17</v>
      </c>
      <c r="E280" t="s">
        <v>18</v>
      </c>
      <c r="H280" t="s">
        <v>19</v>
      </c>
      <c r="I280" t="s">
        <v>20</v>
      </c>
      <c r="J280" t="s">
        <v>21</v>
      </c>
      <c r="K280" t="s">
        <v>330</v>
      </c>
      <c r="L280" t="s">
        <v>23</v>
      </c>
      <c r="M280" t="s">
        <v>24</v>
      </c>
      <c r="O280" t="s">
        <v>25</v>
      </c>
    </row>
    <row r="281" spans="1:15" x14ac:dyDescent="0.55000000000000004">
      <c r="A281">
        <v>779</v>
      </c>
      <c r="B281" t="s">
        <v>570</v>
      </c>
      <c r="C281" t="s">
        <v>568</v>
      </c>
      <c r="D281" t="s">
        <v>17</v>
      </c>
      <c r="E281" t="s">
        <v>18</v>
      </c>
      <c r="H281" t="s">
        <v>19</v>
      </c>
      <c r="I281" t="s">
        <v>20</v>
      </c>
      <c r="J281" t="s">
        <v>21</v>
      </c>
      <c r="K281" t="s">
        <v>330</v>
      </c>
      <c r="L281" t="s">
        <v>23</v>
      </c>
      <c r="M281" t="s">
        <v>24</v>
      </c>
      <c r="O281" t="s">
        <v>25</v>
      </c>
    </row>
    <row r="282" spans="1:15" x14ac:dyDescent="0.55000000000000004">
      <c r="A282">
        <v>780</v>
      </c>
      <c r="B282" t="s">
        <v>571</v>
      </c>
      <c r="C282" t="s">
        <v>568</v>
      </c>
      <c r="D282" t="s">
        <v>17</v>
      </c>
      <c r="E282" t="s">
        <v>18</v>
      </c>
      <c r="H282" t="s">
        <v>19</v>
      </c>
      <c r="I282" t="s">
        <v>20</v>
      </c>
      <c r="J282" t="s">
        <v>21</v>
      </c>
      <c r="K282" t="s">
        <v>330</v>
      </c>
      <c r="L282" t="s">
        <v>23</v>
      </c>
      <c r="M282" t="s">
        <v>24</v>
      </c>
      <c r="O282" t="s">
        <v>25</v>
      </c>
    </row>
    <row r="283" spans="1:15" x14ac:dyDescent="0.55000000000000004">
      <c r="A283">
        <v>781</v>
      </c>
      <c r="B283" t="s">
        <v>572</v>
      </c>
      <c r="C283" t="s">
        <v>568</v>
      </c>
      <c r="D283" t="s">
        <v>17</v>
      </c>
      <c r="E283" t="s">
        <v>18</v>
      </c>
      <c r="H283" t="s">
        <v>19</v>
      </c>
      <c r="I283" t="s">
        <v>20</v>
      </c>
      <c r="J283" t="s">
        <v>21</v>
      </c>
      <c r="K283" t="s">
        <v>330</v>
      </c>
      <c r="L283" t="s">
        <v>23</v>
      </c>
      <c r="M283" t="s">
        <v>24</v>
      </c>
      <c r="O283" t="s">
        <v>25</v>
      </c>
    </row>
    <row r="284" spans="1:15" x14ac:dyDescent="0.55000000000000004">
      <c r="A284">
        <v>782</v>
      </c>
      <c r="B284" t="s">
        <v>573</v>
      </c>
      <c r="C284" t="s">
        <v>574</v>
      </c>
      <c r="D284" t="s">
        <v>17</v>
      </c>
      <c r="E284" t="s">
        <v>18</v>
      </c>
      <c r="H284" t="s">
        <v>19</v>
      </c>
      <c r="I284" t="s">
        <v>20</v>
      </c>
      <c r="J284" t="s">
        <v>21</v>
      </c>
      <c r="K284" t="s">
        <v>28</v>
      </c>
      <c r="L284" t="s">
        <v>23</v>
      </c>
      <c r="M284" t="s">
        <v>24</v>
      </c>
      <c r="O284" t="s">
        <v>25</v>
      </c>
    </row>
    <row r="285" spans="1:15" x14ac:dyDescent="0.55000000000000004">
      <c r="A285">
        <v>783</v>
      </c>
      <c r="B285" t="s">
        <v>575</v>
      </c>
      <c r="C285" t="s">
        <v>576</v>
      </c>
      <c r="D285" t="s">
        <v>17</v>
      </c>
      <c r="E285" t="s">
        <v>18</v>
      </c>
      <c r="G285" t="s">
        <v>577</v>
      </c>
      <c r="H285" t="s">
        <v>19</v>
      </c>
      <c r="I285" t="s">
        <v>20</v>
      </c>
      <c r="J285" t="s">
        <v>21</v>
      </c>
      <c r="K285" t="s">
        <v>28</v>
      </c>
      <c r="L285" t="s">
        <v>23</v>
      </c>
      <c r="M285" t="s">
        <v>24</v>
      </c>
      <c r="O285" t="s">
        <v>25</v>
      </c>
    </row>
    <row r="286" spans="1:15" x14ac:dyDescent="0.55000000000000004">
      <c r="A286">
        <v>784</v>
      </c>
      <c r="B286" t="s">
        <v>578</v>
      </c>
      <c r="C286" t="s">
        <v>579</v>
      </c>
      <c r="D286" t="s">
        <v>17</v>
      </c>
      <c r="E286" t="s">
        <v>18</v>
      </c>
      <c r="G286" t="s">
        <v>577</v>
      </c>
      <c r="H286" t="s">
        <v>19</v>
      </c>
      <c r="I286" t="s">
        <v>20</v>
      </c>
      <c r="J286" t="s">
        <v>21</v>
      </c>
      <c r="K286" t="s">
        <v>28</v>
      </c>
      <c r="L286" t="s">
        <v>23</v>
      </c>
      <c r="M286" t="s">
        <v>24</v>
      </c>
      <c r="O286" t="s">
        <v>25</v>
      </c>
    </row>
    <row r="287" spans="1:15" x14ac:dyDescent="0.55000000000000004">
      <c r="A287">
        <v>785</v>
      </c>
      <c r="B287" t="s">
        <v>580</v>
      </c>
      <c r="C287" t="s">
        <v>581</v>
      </c>
      <c r="D287" t="s">
        <v>17</v>
      </c>
      <c r="E287" t="s">
        <v>18</v>
      </c>
      <c r="G287" t="s">
        <v>577</v>
      </c>
      <c r="H287" t="s">
        <v>19</v>
      </c>
      <c r="I287" t="s">
        <v>20</v>
      </c>
      <c r="J287" t="s">
        <v>21</v>
      </c>
      <c r="K287" t="s">
        <v>28</v>
      </c>
      <c r="L287" t="s">
        <v>23</v>
      </c>
      <c r="M287" t="s">
        <v>24</v>
      </c>
      <c r="O287" t="s">
        <v>25</v>
      </c>
    </row>
    <row r="288" spans="1:15" x14ac:dyDescent="0.55000000000000004">
      <c r="A288">
        <v>786</v>
      </c>
      <c r="B288" t="s">
        <v>582</v>
      </c>
      <c r="C288" t="s">
        <v>583</v>
      </c>
      <c r="D288" t="s">
        <v>17</v>
      </c>
      <c r="E288" t="s">
        <v>18</v>
      </c>
      <c r="G288" t="s">
        <v>577</v>
      </c>
      <c r="H288" t="s">
        <v>19</v>
      </c>
      <c r="I288" t="s">
        <v>20</v>
      </c>
      <c r="J288" t="s">
        <v>21</v>
      </c>
      <c r="K288" t="s">
        <v>28</v>
      </c>
      <c r="L288" t="s">
        <v>23</v>
      </c>
      <c r="M288" t="s">
        <v>24</v>
      </c>
      <c r="O288" t="s">
        <v>25</v>
      </c>
    </row>
    <row r="289" spans="1:15" x14ac:dyDescent="0.55000000000000004">
      <c r="A289">
        <v>787</v>
      </c>
      <c r="B289" t="s">
        <v>584</v>
      </c>
      <c r="C289" t="s">
        <v>585</v>
      </c>
      <c r="D289" t="s">
        <v>17</v>
      </c>
      <c r="E289" t="s">
        <v>18</v>
      </c>
      <c r="G289" t="s">
        <v>577</v>
      </c>
      <c r="H289" t="s">
        <v>19</v>
      </c>
      <c r="I289" t="s">
        <v>20</v>
      </c>
      <c r="J289" t="s">
        <v>21</v>
      </c>
      <c r="K289" t="s">
        <v>28</v>
      </c>
      <c r="L289" t="s">
        <v>23</v>
      </c>
      <c r="M289" t="s">
        <v>24</v>
      </c>
      <c r="O289" t="s">
        <v>25</v>
      </c>
    </row>
    <row r="290" spans="1:15" x14ac:dyDescent="0.55000000000000004">
      <c r="A290">
        <v>788</v>
      </c>
      <c r="B290" t="s">
        <v>586</v>
      </c>
      <c r="C290" t="s">
        <v>587</v>
      </c>
      <c r="D290" t="s">
        <v>17</v>
      </c>
      <c r="E290" t="s">
        <v>18</v>
      </c>
      <c r="G290" t="s">
        <v>577</v>
      </c>
      <c r="H290" t="s">
        <v>19</v>
      </c>
      <c r="I290" t="s">
        <v>20</v>
      </c>
      <c r="J290" t="s">
        <v>21</v>
      </c>
      <c r="K290" t="s">
        <v>28</v>
      </c>
      <c r="L290" t="s">
        <v>23</v>
      </c>
      <c r="M290" t="s">
        <v>24</v>
      </c>
      <c r="O290" t="s">
        <v>25</v>
      </c>
    </row>
    <row r="291" spans="1:15" x14ac:dyDescent="0.55000000000000004">
      <c r="A291">
        <v>789</v>
      </c>
      <c r="B291" t="s">
        <v>588</v>
      </c>
      <c r="C291" t="s">
        <v>589</v>
      </c>
      <c r="D291" t="s">
        <v>17</v>
      </c>
      <c r="E291" t="s">
        <v>18</v>
      </c>
      <c r="G291" t="s">
        <v>577</v>
      </c>
      <c r="H291" t="s">
        <v>19</v>
      </c>
      <c r="I291" t="s">
        <v>20</v>
      </c>
      <c r="J291" t="s">
        <v>21</v>
      </c>
      <c r="K291" t="s">
        <v>28</v>
      </c>
      <c r="L291" t="s">
        <v>23</v>
      </c>
      <c r="M291" t="s">
        <v>24</v>
      </c>
      <c r="O291" t="s">
        <v>25</v>
      </c>
    </row>
    <row r="292" spans="1:15" x14ac:dyDescent="0.55000000000000004">
      <c r="A292">
        <v>790</v>
      </c>
      <c r="B292" t="s">
        <v>590</v>
      </c>
      <c r="C292" t="s">
        <v>591</v>
      </c>
      <c r="D292" t="s">
        <v>17</v>
      </c>
      <c r="E292" t="s">
        <v>18</v>
      </c>
      <c r="G292" t="s">
        <v>577</v>
      </c>
      <c r="H292" t="s">
        <v>19</v>
      </c>
      <c r="I292" t="s">
        <v>20</v>
      </c>
      <c r="J292" t="s">
        <v>21</v>
      </c>
      <c r="K292" t="s">
        <v>28</v>
      </c>
      <c r="L292" t="s">
        <v>23</v>
      </c>
      <c r="M292" t="s">
        <v>24</v>
      </c>
      <c r="O292" t="s">
        <v>25</v>
      </c>
    </row>
    <row r="293" spans="1:15" x14ac:dyDescent="0.55000000000000004">
      <c r="A293">
        <v>791</v>
      </c>
      <c r="B293" t="s">
        <v>592</v>
      </c>
      <c r="C293" t="s">
        <v>593</v>
      </c>
      <c r="D293" t="s">
        <v>17</v>
      </c>
      <c r="E293" t="s">
        <v>18</v>
      </c>
      <c r="G293" t="s">
        <v>577</v>
      </c>
      <c r="H293" t="s">
        <v>19</v>
      </c>
      <c r="I293" t="s">
        <v>20</v>
      </c>
      <c r="J293" t="s">
        <v>21</v>
      </c>
      <c r="K293" t="s">
        <v>28</v>
      </c>
      <c r="L293" t="s">
        <v>23</v>
      </c>
      <c r="M293" t="s">
        <v>24</v>
      </c>
      <c r="O293" t="s">
        <v>25</v>
      </c>
    </row>
    <row r="294" spans="1:15" x14ac:dyDescent="0.55000000000000004">
      <c r="A294">
        <v>792</v>
      </c>
      <c r="B294" t="s">
        <v>594</v>
      </c>
      <c r="C294" t="s">
        <v>595</v>
      </c>
      <c r="D294" t="s">
        <v>17</v>
      </c>
      <c r="E294" t="s">
        <v>18</v>
      </c>
      <c r="G294" t="s">
        <v>577</v>
      </c>
      <c r="H294" t="s">
        <v>19</v>
      </c>
      <c r="I294" t="s">
        <v>20</v>
      </c>
      <c r="J294" t="s">
        <v>21</v>
      </c>
      <c r="K294" t="s">
        <v>28</v>
      </c>
      <c r="L294" t="s">
        <v>23</v>
      </c>
      <c r="M294" t="s">
        <v>24</v>
      </c>
      <c r="O294" t="s">
        <v>25</v>
      </c>
    </row>
    <row r="295" spans="1:15" x14ac:dyDescent="0.55000000000000004">
      <c r="A295">
        <v>793</v>
      </c>
      <c r="B295" t="s">
        <v>596</v>
      </c>
      <c r="C295" t="s">
        <v>597</v>
      </c>
      <c r="D295" t="s">
        <v>17</v>
      </c>
      <c r="E295" t="s">
        <v>18</v>
      </c>
      <c r="G295" t="s">
        <v>577</v>
      </c>
      <c r="H295" t="s">
        <v>19</v>
      </c>
      <c r="I295" t="s">
        <v>20</v>
      </c>
      <c r="J295" t="s">
        <v>21</v>
      </c>
      <c r="K295" t="s">
        <v>28</v>
      </c>
      <c r="L295" t="s">
        <v>23</v>
      </c>
      <c r="M295" t="s">
        <v>24</v>
      </c>
      <c r="O295" t="s">
        <v>25</v>
      </c>
    </row>
    <row r="296" spans="1:15" x14ac:dyDescent="0.55000000000000004">
      <c r="A296">
        <v>794</v>
      </c>
      <c r="B296" t="s">
        <v>598</v>
      </c>
      <c r="C296" t="s">
        <v>599</v>
      </c>
      <c r="D296" t="s">
        <v>17</v>
      </c>
      <c r="E296" t="s">
        <v>18</v>
      </c>
      <c r="G296" t="s">
        <v>577</v>
      </c>
      <c r="H296" t="s">
        <v>19</v>
      </c>
      <c r="I296" t="s">
        <v>20</v>
      </c>
      <c r="J296" t="s">
        <v>21</v>
      </c>
      <c r="K296" t="s">
        <v>28</v>
      </c>
      <c r="L296" t="s">
        <v>23</v>
      </c>
      <c r="M296" t="s">
        <v>24</v>
      </c>
      <c r="O296" t="s">
        <v>25</v>
      </c>
    </row>
    <row r="297" spans="1:15" x14ac:dyDescent="0.55000000000000004">
      <c r="A297">
        <v>795</v>
      </c>
      <c r="B297" t="s">
        <v>600</v>
      </c>
      <c r="C297" t="s">
        <v>601</v>
      </c>
      <c r="D297" t="s">
        <v>17</v>
      </c>
      <c r="E297" t="s">
        <v>18</v>
      </c>
      <c r="G297" t="s">
        <v>577</v>
      </c>
      <c r="H297" t="s">
        <v>19</v>
      </c>
      <c r="I297" t="s">
        <v>20</v>
      </c>
      <c r="J297" t="s">
        <v>21</v>
      </c>
      <c r="K297" t="s">
        <v>28</v>
      </c>
      <c r="L297" t="s">
        <v>23</v>
      </c>
      <c r="M297" t="s">
        <v>24</v>
      </c>
      <c r="O297" t="s">
        <v>25</v>
      </c>
    </row>
    <row r="298" spans="1:15" x14ac:dyDescent="0.55000000000000004">
      <c r="A298">
        <v>796</v>
      </c>
      <c r="B298" t="s">
        <v>602</v>
      </c>
      <c r="C298" t="s">
        <v>603</v>
      </c>
      <c r="D298" t="s">
        <v>17</v>
      </c>
      <c r="E298" t="s">
        <v>18</v>
      </c>
      <c r="G298" t="s">
        <v>577</v>
      </c>
      <c r="H298" t="s">
        <v>19</v>
      </c>
      <c r="I298" t="s">
        <v>20</v>
      </c>
      <c r="J298" t="s">
        <v>21</v>
      </c>
      <c r="K298" t="s">
        <v>28</v>
      </c>
      <c r="L298" t="s">
        <v>23</v>
      </c>
      <c r="M298" t="s">
        <v>24</v>
      </c>
      <c r="O298" t="s">
        <v>25</v>
      </c>
    </row>
    <row r="299" spans="1:15" x14ac:dyDescent="0.55000000000000004">
      <c r="A299">
        <v>797</v>
      </c>
      <c r="B299" t="s">
        <v>604</v>
      </c>
      <c r="C299" t="s">
        <v>605</v>
      </c>
      <c r="D299" t="s">
        <v>17</v>
      </c>
      <c r="E299" t="s">
        <v>18</v>
      </c>
      <c r="G299" t="s">
        <v>577</v>
      </c>
      <c r="H299" t="s">
        <v>19</v>
      </c>
      <c r="I299" t="s">
        <v>20</v>
      </c>
      <c r="J299" t="s">
        <v>21</v>
      </c>
      <c r="K299" t="s">
        <v>28</v>
      </c>
      <c r="L299" t="s">
        <v>23</v>
      </c>
      <c r="M299" t="s">
        <v>24</v>
      </c>
      <c r="O299" t="s">
        <v>25</v>
      </c>
    </row>
    <row r="300" spans="1:15" x14ac:dyDescent="0.55000000000000004">
      <c r="A300">
        <v>798</v>
      </c>
      <c r="B300" t="s">
        <v>606</v>
      </c>
      <c r="C300" t="s">
        <v>607</v>
      </c>
      <c r="D300" t="s">
        <v>17</v>
      </c>
      <c r="E300" t="s">
        <v>18</v>
      </c>
      <c r="G300" t="s">
        <v>577</v>
      </c>
      <c r="H300" t="s">
        <v>19</v>
      </c>
      <c r="I300" t="s">
        <v>20</v>
      </c>
      <c r="J300" t="s">
        <v>21</v>
      </c>
      <c r="K300" t="s">
        <v>28</v>
      </c>
      <c r="L300" t="s">
        <v>23</v>
      </c>
      <c r="M300" t="s">
        <v>24</v>
      </c>
      <c r="O300" t="s">
        <v>25</v>
      </c>
    </row>
    <row r="301" spans="1:15" x14ac:dyDescent="0.55000000000000004">
      <c r="A301">
        <v>799</v>
      </c>
      <c r="B301" t="s">
        <v>608</v>
      </c>
      <c r="C301" t="s">
        <v>609</v>
      </c>
      <c r="D301" t="s">
        <v>17</v>
      </c>
      <c r="E301" t="s">
        <v>18</v>
      </c>
      <c r="G301" t="s">
        <v>577</v>
      </c>
      <c r="H301" t="s">
        <v>19</v>
      </c>
      <c r="I301" t="s">
        <v>20</v>
      </c>
      <c r="J301" t="s">
        <v>21</v>
      </c>
      <c r="K301" t="s">
        <v>28</v>
      </c>
      <c r="L301" t="s">
        <v>23</v>
      </c>
      <c r="M301" t="s">
        <v>24</v>
      </c>
      <c r="O301" t="s">
        <v>25</v>
      </c>
    </row>
    <row r="302" spans="1:15" x14ac:dyDescent="0.55000000000000004">
      <c r="A302">
        <v>800</v>
      </c>
      <c r="B302" t="s">
        <v>610</v>
      </c>
      <c r="C302" t="s">
        <v>611</v>
      </c>
      <c r="D302" t="s">
        <v>17</v>
      </c>
      <c r="E302" t="s">
        <v>18</v>
      </c>
      <c r="G302" t="s">
        <v>577</v>
      </c>
      <c r="H302" t="s">
        <v>19</v>
      </c>
      <c r="I302" t="s">
        <v>20</v>
      </c>
      <c r="J302" t="s">
        <v>21</v>
      </c>
      <c r="K302" t="s">
        <v>28</v>
      </c>
      <c r="L302" t="s">
        <v>23</v>
      </c>
      <c r="M302" t="s">
        <v>24</v>
      </c>
      <c r="O302" t="s">
        <v>25</v>
      </c>
    </row>
    <row r="303" spans="1:15" x14ac:dyDescent="0.55000000000000004">
      <c r="A303">
        <v>801</v>
      </c>
      <c r="B303" t="s">
        <v>612</v>
      </c>
      <c r="C303" t="s">
        <v>613</v>
      </c>
      <c r="D303" t="s">
        <v>17</v>
      </c>
      <c r="E303" t="s">
        <v>18</v>
      </c>
      <c r="G303" t="s">
        <v>577</v>
      </c>
      <c r="H303" t="s">
        <v>19</v>
      </c>
      <c r="I303" t="s">
        <v>20</v>
      </c>
      <c r="J303" t="s">
        <v>21</v>
      </c>
      <c r="K303" t="s">
        <v>28</v>
      </c>
      <c r="L303" t="s">
        <v>23</v>
      </c>
      <c r="M303" t="s">
        <v>24</v>
      </c>
      <c r="O303" t="s">
        <v>25</v>
      </c>
    </row>
    <row r="304" spans="1:15" x14ac:dyDescent="0.55000000000000004">
      <c r="A304">
        <v>802</v>
      </c>
      <c r="B304" t="s">
        <v>614</v>
      </c>
      <c r="C304" t="s">
        <v>615</v>
      </c>
      <c r="D304" t="s">
        <v>17</v>
      </c>
      <c r="E304" t="s">
        <v>18</v>
      </c>
      <c r="G304" t="s">
        <v>577</v>
      </c>
      <c r="H304" t="s">
        <v>19</v>
      </c>
      <c r="I304" t="s">
        <v>20</v>
      </c>
      <c r="J304" t="s">
        <v>21</v>
      </c>
      <c r="K304" t="s">
        <v>28</v>
      </c>
      <c r="L304" t="s">
        <v>23</v>
      </c>
      <c r="M304" t="s">
        <v>24</v>
      </c>
      <c r="O304" t="s">
        <v>25</v>
      </c>
    </row>
    <row r="305" spans="1:15" x14ac:dyDescent="0.55000000000000004">
      <c r="A305">
        <v>803</v>
      </c>
      <c r="B305" t="s">
        <v>616</v>
      </c>
      <c r="C305" t="s">
        <v>617</v>
      </c>
      <c r="D305" t="s">
        <v>17</v>
      </c>
      <c r="E305" t="s">
        <v>18</v>
      </c>
      <c r="G305" t="s">
        <v>577</v>
      </c>
      <c r="H305" t="s">
        <v>19</v>
      </c>
      <c r="I305" t="s">
        <v>20</v>
      </c>
      <c r="J305" t="s">
        <v>21</v>
      </c>
      <c r="K305" t="s">
        <v>28</v>
      </c>
      <c r="L305" t="s">
        <v>23</v>
      </c>
      <c r="M305" t="s">
        <v>24</v>
      </c>
      <c r="O305" t="s">
        <v>25</v>
      </c>
    </row>
    <row r="306" spans="1:15" x14ac:dyDescent="0.55000000000000004">
      <c r="A306">
        <v>804</v>
      </c>
      <c r="B306" t="s">
        <v>618</v>
      </c>
      <c r="C306" t="s">
        <v>619</v>
      </c>
      <c r="D306" t="s">
        <v>17</v>
      </c>
      <c r="E306" t="s">
        <v>18</v>
      </c>
      <c r="G306" t="s">
        <v>577</v>
      </c>
      <c r="H306" t="s">
        <v>19</v>
      </c>
      <c r="I306" t="s">
        <v>20</v>
      </c>
      <c r="J306" t="s">
        <v>21</v>
      </c>
      <c r="K306" t="s">
        <v>28</v>
      </c>
      <c r="L306" t="s">
        <v>23</v>
      </c>
      <c r="M306" t="s">
        <v>24</v>
      </c>
      <c r="O306" t="s">
        <v>25</v>
      </c>
    </row>
    <row r="307" spans="1:15" x14ac:dyDescent="0.55000000000000004">
      <c r="A307">
        <v>805</v>
      </c>
      <c r="B307" t="s">
        <v>620</v>
      </c>
      <c r="C307" t="s">
        <v>621</v>
      </c>
      <c r="D307" t="s">
        <v>17</v>
      </c>
      <c r="E307" t="s">
        <v>18</v>
      </c>
      <c r="G307" t="s">
        <v>577</v>
      </c>
      <c r="H307" t="s">
        <v>19</v>
      </c>
      <c r="I307" t="s">
        <v>20</v>
      </c>
      <c r="J307" t="s">
        <v>21</v>
      </c>
      <c r="K307" t="s">
        <v>28</v>
      </c>
      <c r="L307" t="s">
        <v>23</v>
      </c>
      <c r="M307" t="s">
        <v>24</v>
      </c>
      <c r="O307" t="s">
        <v>25</v>
      </c>
    </row>
    <row r="308" spans="1:15" x14ac:dyDescent="0.55000000000000004">
      <c r="A308">
        <v>806</v>
      </c>
      <c r="B308" t="s">
        <v>622</v>
      </c>
      <c r="C308" t="s">
        <v>623</v>
      </c>
      <c r="D308" t="s">
        <v>17</v>
      </c>
      <c r="E308" t="s">
        <v>18</v>
      </c>
      <c r="G308" t="s">
        <v>577</v>
      </c>
      <c r="H308" t="s">
        <v>19</v>
      </c>
      <c r="I308" t="s">
        <v>20</v>
      </c>
      <c r="J308" t="s">
        <v>21</v>
      </c>
      <c r="K308" t="s">
        <v>28</v>
      </c>
      <c r="L308" t="s">
        <v>23</v>
      </c>
      <c r="M308" t="s">
        <v>24</v>
      </c>
      <c r="O308" t="s">
        <v>25</v>
      </c>
    </row>
    <row r="309" spans="1:15" x14ac:dyDescent="0.55000000000000004">
      <c r="A309">
        <v>807</v>
      </c>
      <c r="B309" t="s">
        <v>624</v>
      </c>
      <c r="C309" t="s">
        <v>625</v>
      </c>
      <c r="D309" t="s">
        <v>17</v>
      </c>
      <c r="E309" t="s">
        <v>18</v>
      </c>
      <c r="G309" t="s">
        <v>577</v>
      </c>
      <c r="H309" t="s">
        <v>19</v>
      </c>
      <c r="I309" t="s">
        <v>20</v>
      </c>
      <c r="J309" t="s">
        <v>21</v>
      </c>
      <c r="K309" t="s">
        <v>28</v>
      </c>
      <c r="L309" t="s">
        <v>23</v>
      </c>
      <c r="M309" t="s">
        <v>24</v>
      </c>
      <c r="O309" t="s">
        <v>25</v>
      </c>
    </row>
    <row r="310" spans="1:15" x14ac:dyDescent="0.55000000000000004">
      <c r="A310">
        <v>808</v>
      </c>
      <c r="B310" t="s">
        <v>626</v>
      </c>
      <c r="C310" t="s">
        <v>627</v>
      </c>
      <c r="D310" t="s">
        <v>17</v>
      </c>
      <c r="E310" t="s">
        <v>18</v>
      </c>
      <c r="G310" t="s">
        <v>577</v>
      </c>
      <c r="H310" t="s">
        <v>19</v>
      </c>
      <c r="I310" t="s">
        <v>20</v>
      </c>
      <c r="J310" t="s">
        <v>21</v>
      </c>
      <c r="K310" t="s">
        <v>28</v>
      </c>
      <c r="L310" t="s">
        <v>23</v>
      </c>
      <c r="M310" t="s">
        <v>24</v>
      </c>
      <c r="O310" t="s">
        <v>25</v>
      </c>
    </row>
    <row r="311" spans="1:15" x14ac:dyDescent="0.55000000000000004">
      <c r="A311">
        <v>809</v>
      </c>
      <c r="B311" t="s">
        <v>628</v>
      </c>
      <c r="C311" t="s">
        <v>629</v>
      </c>
      <c r="D311" t="s">
        <v>17</v>
      </c>
      <c r="E311" t="s">
        <v>18</v>
      </c>
      <c r="G311" t="s">
        <v>577</v>
      </c>
      <c r="H311" t="s">
        <v>19</v>
      </c>
      <c r="I311" t="s">
        <v>20</v>
      </c>
      <c r="J311" t="s">
        <v>21</v>
      </c>
      <c r="K311" t="s">
        <v>28</v>
      </c>
      <c r="L311" t="s">
        <v>23</v>
      </c>
      <c r="M311" t="s">
        <v>24</v>
      </c>
      <c r="O311" t="s">
        <v>25</v>
      </c>
    </row>
    <row r="312" spans="1:15" x14ac:dyDescent="0.55000000000000004">
      <c r="A312">
        <v>810</v>
      </c>
      <c r="B312" t="s">
        <v>630</v>
      </c>
      <c r="C312" t="s">
        <v>631</v>
      </c>
      <c r="D312" t="s">
        <v>17</v>
      </c>
      <c r="E312" t="s">
        <v>18</v>
      </c>
      <c r="G312" t="s">
        <v>577</v>
      </c>
      <c r="H312" t="s">
        <v>19</v>
      </c>
      <c r="I312" t="s">
        <v>20</v>
      </c>
      <c r="J312" t="s">
        <v>21</v>
      </c>
      <c r="K312" t="s">
        <v>28</v>
      </c>
      <c r="L312" t="s">
        <v>23</v>
      </c>
      <c r="M312" t="s">
        <v>24</v>
      </c>
      <c r="O312" t="s">
        <v>25</v>
      </c>
    </row>
    <row r="313" spans="1:15" x14ac:dyDescent="0.55000000000000004">
      <c r="A313">
        <v>811</v>
      </c>
      <c r="B313" t="s">
        <v>632</v>
      </c>
      <c r="C313" t="s">
        <v>633</v>
      </c>
      <c r="D313" t="s">
        <v>17</v>
      </c>
      <c r="E313" t="s">
        <v>18</v>
      </c>
      <c r="G313" t="s">
        <v>577</v>
      </c>
      <c r="H313" t="s">
        <v>19</v>
      </c>
      <c r="I313" t="s">
        <v>20</v>
      </c>
      <c r="J313" t="s">
        <v>21</v>
      </c>
      <c r="K313" t="s">
        <v>28</v>
      </c>
      <c r="L313" t="s">
        <v>23</v>
      </c>
      <c r="M313" t="s">
        <v>24</v>
      </c>
      <c r="O313" t="s">
        <v>25</v>
      </c>
    </row>
    <row r="314" spans="1:15" x14ac:dyDescent="0.55000000000000004">
      <c r="A314">
        <v>812</v>
      </c>
      <c r="B314" t="s">
        <v>634</v>
      </c>
      <c r="C314" t="s">
        <v>635</v>
      </c>
      <c r="D314" t="s">
        <v>17</v>
      </c>
      <c r="E314" t="s">
        <v>18</v>
      </c>
      <c r="G314" t="s">
        <v>577</v>
      </c>
      <c r="H314" t="s">
        <v>19</v>
      </c>
      <c r="I314" t="s">
        <v>20</v>
      </c>
      <c r="J314" t="s">
        <v>21</v>
      </c>
      <c r="K314" t="s">
        <v>28</v>
      </c>
      <c r="L314" t="s">
        <v>23</v>
      </c>
      <c r="M314" t="s">
        <v>24</v>
      </c>
      <c r="O314" t="s">
        <v>25</v>
      </c>
    </row>
    <row r="315" spans="1:15" x14ac:dyDescent="0.55000000000000004">
      <c r="A315">
        <v>813</v>
      </c>
      <c r="B315" t="s">
        <v>636</v>
      </c>
      <c r="C315" t="s">
        <v>637</v>
      </c>
      <c r="D315" t="s">
        <v>17</v>
      </c>
      <c r="E315" t="s">
        <v>18</v>
      </c>
      <c r="G315" t="s">
        <v>577</v>
      </c>
      <c r="H315" t="s">
        <v>19</v>
      </c>
      <c r="I315" t="s">
        <v>20</v>
      </c>
      <c r="J315" t="s">
        <v>21</v>
      </c>
      <c r="K315" t="s">
        <v>28</v>
      </c>
      <c r="L315" t="s">
        <v>23</v>
      </c>
      <c r="M315" t="s">
        <v>24</v>
      </c>
      <c r="O315" t="s">
        <v>25</v>
      </c>
    </row>
    <row r="316" spans="1:15" x14ac:dyDescent="0.55000000000000004">
      <c r="A316">
        <v>814</v>
      </c>
      <c r="B316" t="s">
        <v>638</v>
      </c>
      <c r="C316" t="s">
        <v>639</v>
      </c>
      <c r="D316" t="s">
        <v>17</v>
      </c>
      <c r="E316" t="s">
        <v>18</v>
      </c>
      <c r="G316" t="s">
        <v>577</v>
      </c>
      <c r="H316" t="s">
        <v>19</v>
      </c>
      <c r="I316" t="s">
        <v>20</v>
      </c>
      <c r="J316" t="s">
        <v>21</v>
      </c>
      <c r="K316" t="s">
        <v>28</v>
      </c>
      <c r="L316" t="s">
        <v>23</v>
      </c>
      <c r="M316" t="s">
        <v>24</v>
      </c>
      <c r="O316" t="s">
        <v>25</v>
      </c>
    </row>
    <row r="317" spans="1:15" x14ac:dyDescent="0.55000000000000004">
      <c r="A317">
        <v>815</v>
      </c>
      <c r="B317" t="s">
        <v>640</v>
      </c>
      <c r="C317" t="s">
        <v>641</v>
      </c>
      <c r="D317" t="s">
        <v>17</v>
      </c>
      <c r="E317" t="s">
        <v>18</v>
      </c>
      <c r="G317" t="s">
        <v>577</v>
      </c>
      <c r="H317" t="s">
        <v>19</v>
      </c>
      <c r="I317" t="s">
        <v>20</v>
      </c>
      <c r="J317" t="s">
        <v>21</v>
      </c>
      <c r="K317" t="s">
        <v>28</v>
      </c>
      <c r="L317" t="s">
        <v>23</v>
      </c>
      <c r="M317" t="s">
        <v>24</v>
      </c>
      <c r="O317" t="s">
        <v>25</v>
      </c>
    </row>
    <row r="318" spans="1:15" x14ac:dyDescent="0.55000000000000004">
      <c r="A318">
        <v>816</v>
      </c>
      <c r="B318" t="s">
        <v>642</v>
      </c>
      <c r="C318" t="s">
        <v>643</v>
      </c>
      <c r="D318" t="s">
        <v>17</v>
      </c>
      <c r="E318" t="s">
        <v>18</v>
      </c>
      <c r="G318" t="s">
        <v>577</v>
      </c>
      <c r="H318" t="s">
        <v>19</v>
      </c>
      <c r="I318" t="s">
        <v>20</v>
      </c>
      <c r="J318" t="s">
        <v>21</v>
      </c>
      <c r="K318" t="s">
        <v>28</v>
      </c>
      <c r="L318" t="s">
        <v>23</v>
      </c>
      <c r="M318" t="s">
        <v>24</v>
      </c>
      <c r="O318" t="s">
        <v>25</v>
      </c>
    </row>
    <row r="319" spans="1:15" x14ac:dyDescent="0.55000000000000004">
      <c r="A319">
        <v>817</v>
      </c>
      <c r="B319" t="s">
        <v>644</v>
      </c>
      <c r="C319" t="s">
        <v>645</v>
      </c>
      <c r="D319" t="s">
        <v>17</v>
      </c>
      <c r="E319" t="s">
        <v>18</v>
      </c>
      <c r="G319" t="s">
        <v>577</v>
      </c>
      <c r="H319" t="s">
        <v>19</v>
      </c>
      <c r="I319" t="s">
        <v>20</v>
      </c>
      <c r="J319" t="s">
        <v>21</v>
      </c>
      <c r="K319" t="s">
        <v>28</v>
      </c>
      <c r="L319" t="s">
        <v>23</v>
      </c>
      <c r="M319" t="s">
        <v>24</v>
      </c>
      <c r="O319" t="s">
        <v>25</v>
      </c>
    </row>
    <row r="320" spans="1:15" x14ac:dyDescent="0.55000000000000004">
      <c r="A320">
        <v>818</v>
      </c>
      <c r="B320" t="s">
        <v>646</v>
      </c>
      <c r="C320" t="s">
        <v>647</v>
      </c>
      <c r="D320" t="s">
        <v>17</v>
      </c>
      <c r="E320" t="s">
        <v>18</v>
      </c>
      <c r="G320" t="s">
        <v>577</v>
      </c>
      <c r="H320" t="s">
        <v>19</v>
      </c>
      <c r="I320" t="s">
        <v>20</v>
      </c>
      <c r="J320" t="s">
        <v>21</v>
      </c>
      <c r="K320" t="s">
        <v>28</v>
      </c>
      <c r="L320" t="s">
        <v>23</v>
      </c>
      <c r="M320" t="s">
        <v>24</v>
      </c>
      <c r="O320" t="s">
        <v>25</v>
      </c>
    </row>
    <row r="321" spans="1:15" x14ac:dyDescent="0.55000000000000004">
      <c r="A321">
        <v>819</v>
      </c>
      <c r="B321" t="s">
        <v>648</v>
      </c>
      <c r="C321" t="s">
        <v>649</v>
      </c>
      <c r="D321" t="s">
        <v>17</v>
      </c>
      <c r="E321" t="s">
        <v>18</v>
      </c>
      <c r="G321" t="s">
        <v>577</v>
      </c>
      <c r="H321" t="s">
        <v>19</v>
      </c>
      <c r="I321" t="s">
        <v>20</v>
      </c>
      <c r="J321" t="s">
        <v>21</v>
      </c>
      <c r="K321" t="s">
        <v>28</v>
      </c>
      <c r="L321" t="s">
        <v>23</v>
      </c>
      <c r="M321" t="s">
        <v>24</v>
      </c>
      <c r="O321" t="s">
        <v>25</v>
      </c>
    </row>
    <row r="322" spans="1:15" x14ac:dyDescent="0.55000000000000004">
      <c r="A322">
        <v>820</v>
      </c>
      <c r="B322" t="s">
        <v>650</v>
      </c>
      <c r="C322" t="s">
        <v>651</v>
      </c>
      <c r="D322" t="s">
        <v>17</v>
      </c>
      <c r="E322" t="s">
        <v>18</v>
      </c>
      <c r="G322" t="s">
        <v>577</v>
      </c>
      <c r="H322" t="s">
        <v>19</v>
      </c>
      <c r="I322" t="s">
        <v>20</v>
      </c>
      <c r="J322" t="s">
        <v>21</v>
      </c>
      <c r="K322" t="s">
        <v>28</v>
      </c>
      <c r="L322" t="s">
        <v>23</v>
      </c>
      <c r="M322" t="s">
        <v>24</v>
      </c>
      <c r="O322" t="s">
        <v>25</v>
      </c>
    </row>
    <row r="323" spans="1:15" x14ac:dyDescent="0.55000000000000004">
      <c r="A323">
        <v>821</v>
      </c>
      <c r="B323" t="s">
        <v>652</v>
      </c>
      <c r="C323" t="s">
        <v>653</v>
      </c>
      <c r="D323" t="s">
        <v>17</v>
      </c>
      <c r="E323" t="s">
        <v>18</v>
      </c>
      <c r="G323" t="s">
        <v>577</v>
      </c>
      <c r="H323" t="s">
        <v>19</v>
      </c>
      <c r="I323" t="s">
        <v>20</v>
      </c>
      <c r="J323" t="s">
        <v>21</v>
      </c>
      <c r="K323" t="s">
        <v>28</v>
      </c>
      <c r="L323" t="s">
        <v>23</v>
      </c>
      <c r="M323" t="s">
        <v>24</v>
      </c>
      <c r="O323" t="s">
        <v>25</v>
      </c>
    </row>
    <row r="324" spans="1:15" x14ac:dyDescent="0.55000000000000004">
      <c r="A324">
        <v>822</v>
      </c>
      <c r="B324" t="s">
        <v>654</v>
      </c>
      <c r="C324" t="s">
        <v>655</v>
      </c>
      <c r="D324" t="s">
        <v>17</v>
      </c>
      <c r="E324" t="s">
        <v>18</v>
      </c>
      <c r="G324" t="s">
        <v>577</v>
      </c>
      <c r="H324" t="s">
        <v>19</v>
      </c>
      <c r="I324" t="s">
        <v>20</v>
      </c>
      <c r="J324" t="s">
        <v>21</v>
      </c>
      <c r="K324" t="s">
        <v>28</v>
      </c>
      <c r="L324" t="s">
        <v>23</v>
      </c>
      <c r="M324" t="s">
        <v>24</v>
      </c>
      <c r="O324" t="s">
        <v>25</v>
      </c>
    </row>
    <row r="325" spans="1:15" x14ac:dyDescent="0.55000000000000004">
      <c r="A325">
        <v>823</v>
      </c>
      <c r="B325" t="s">
        <v>656</v>
      </c>
      <c r="C325" t="s">
        <v>657</v>
      </c>
      <c r="D325" t="s">
        <v>17</v>
      </c>
      <c r="E325" t="s">
        <v>18</v>
      </c>
      <c r="G325" t="s">
        <v>577</v>
      </c>
      <c r="H325" t="s">
        <v>19</v>
      </c>
      <c r="I325" t="s">
        <v>20</v>
      </c>
      <c r="J325" t="s">
        <v>21</v>
      </c>
      <c r="K325" t="s">
        <v>28</v>
      </c>
      <c r="L325" t="s">
        <v>23</v>
      </c>
      <c r="M325" t="s">
        <v>24</v>
      </c>
      <c r="O325" t="s">
        <v>25</v>
      </c>
    </row>
    <row r="326" spans="1:15" x14ac:dyDescent="0.55000000000000004">
      <c r="A326">
        <v>824</v>
      </c>
      <c r="B326" t="s">
        <v>658</v>
      </c>
      <c r="C326" t="s">
        <v>659</v>
      </c>
      <c r="D326" t="s">
        <v>17</v>
      </c>
      <c r="E326" t="s">
        <v>18</v>
      </c>
      <c r="G326" t="s">
        <v>577</v>
      </c>
      <c r="H326" t="s">
        <v>19</v>
      </c>
      <c r="I326" t="s">
        <v>20</v>
      </c>
      <c r="J326" t="s">
        <v>21</v>
      </c>
      <c r="K326" t="s">
        <v>28</v>
      </c>
      <c r="L326" t="s">
        <v>23</v>
      </c>
      <c r="M326" t="s">
        <v>24</v>
      </c>
      <c r="O326" t="s">
        <v>25</v>
      </c>
    </row>
    <row r="327" spans="1:15" x14ac:dyDescent="0.55000000000000004">
      <c r="A327">
        <v>825</v>
      </c>
      <c r="B327" t="s">
        <v>660</v>
      </c>
      <c r="C327" t="s">
        <v>661</v>
      </c>
      <c r="D327" t="s">
        <v>17</v>
      </c>
      <c r="E327" t="s">
        <v>18</v>
      </c>
      <c r="G327" t="s">
        <v>577</v>
      </c>
      <c r="H327" t="s">
        <v>19</v>
      </c>
      <c r="I327" t="s">
        <v>20</v>
      </c>
      <c r="J327" t="s">
        <v>21</v>
      </c>
      <c r="K327" t="s">
        <v>28</v>
      </c>
      <c r="L327" t="s">
        <v>23</v>
      </c>
      <c r="M327" t="s">
        <v>24</v>
      </c>
      <c r="O327" t="s">
        <v>25</v>
      </c>
    </row>
    <row r="328" spans="1:15" x14ac:dyDescent="0.55000000000000004">
      <c r="A328">
        <v>826</v>
      </c>
      <c r="B328" t="s">
        <v>662</v>
      </c>
      <c r="C328" t="s">
        <v>663</v>
      </c>
      <c r="D328" t="s">
        <v>17</v>
      </c>
      <c r="E328" t="s">
        <v>18</v>
      </c>
      <c r="G328" t="s">
        <v>577</v>
      </c>
      <c r="H328" t="s">
        <v>19</v>
      </c>
      <c r="I328" t="s">
        <v>20</v>
      </c>
      <c r="J328" t="s">
        <v>21</v>
      </c>
      <c r="K328" t="s">
        <v>28</v>
      </c>
      <c r="L328" t="s">
        <v>23</v>
      </c>
      <c r="M328" t="s">
        <v>24</v>
      </c>
      <c r="O328" t="s">
        <v>25</v>
      </c>
    </row>
    <row r="329" spans="1:15" x14ac:dyDescent="0.55000000000000004">
      <c r="A329">
        <v>827</v>
      </c>
      <c r="B329" t="s">
        <v>664</v>
      </c>
      <c r="C329" t="s">
        <v>665</v>
      </c>
      <c r="D329" t="s">
        <v>17</v>
      </c>
      <c r="E329" t="s">
        <v>18</v>
      </c>
      <c r="G329" t="s">
        <v>577</v>
      </c>
      <c r="H329" t="s">
        <v>19</v>
      </c>
      <c r="I329" t="s">
        <v>20</v>
      </c>
      <c r="J329" t="s">
        <v>21</v>
      </c>
      <c r="K329" t="s">
        <v>28</v>
      </c>
      <c r="L329" t="s">
        <v>23</v>
      </c>
      <c r="M329" t="s">
        <v>24</v>
      </c>
      <c r="O329" t="s">
        <v>25</v>
      </c>
    </row>
    <row r="330" spans="1:15" x14ac:dyDescent="0.55000000000000004">
      <c r="A330">
        <v>828</v>
      </c>
      <c r="B330" t="s">
        <v>666</v>
      </c>
      <c r="C330" t="s">
        <v>667</v>
      </c>
      <c r="D330" t="s">
        <v>17</v>
      </c>
      <c r="E330" t="s">
        <v>18</v>
      </c>
      <c r="G330" t="s">
        <v>577</v>
      </c>
      <c r="H330" t="s">
        <v>19</v>
      </c>
      <c r="I330" t="s">
        <v>20</v>
      </c>
      <c r="J330" t="s">
        <v>21</v>
      </c>
      <c r="K330" t="s">
        <v>28</v>
      </c>
      <c r="L330" t="s">
        <v>23</v>
      </c>
      <c r="M330" t="s">
        <v>24</v>
      </c>
      <c r="O330" t="s">
        <v>25</v>
      </c>
    </row>
    <row r="331" spans="1:15" x14ac:dyDescent="0.55000000000000004">
      <c r="A331">
        <v>829</v>
      </c>
      <c r="B331" t="s">
        <v>668</v>
      </c>
      <c r="C331" t="s">
        <v>669</v>
      </c>
      <c r="D331" t="s">
        <v>17</v>
      </c>
      <c r="E331" t="s">
        <v>18</v>
      </c>
      <c r="G331" t="s">
        <v>577</v>
      </c>
      <c r="H331" t="s">
        <v>19</v>
      </c>
      <c r="I331" t="s">
        <v>20</v>
      </c>
      <c r="J331" t="s">
        <v>21</v>
      </c>
      <c r="K331" t="s">
        <v>28</v>
      </c>
      <c r="L331" t="s">
        <v>23</v>
      </c>
      <c r="M331" t="s">
        <v>24</v>
      </c>
      <c r="O331" t="s">
        <v>25</v>
      </c>
    </row>
    <row r="332" spans="1:15" x14ac:dyDescent="0.55000000000000004">
      <c r="A332">
        <v>830</v>
      </c>
      <c r="B332" t="s">
        <v>670</v>
      </c>
      <c r="C332" t="s">
        <v>671</v>
      </c>
      <c r="D332" t="s">
        <v>17</v>
      </c>
      <c r="E332" t="s">
        <v>18</v>
      </c>
      <c r="G332" t="s">
        <v>577</v>
      </c>
      <c r="H332" t="s">
        <v>19</v>
      </c>
      <c r="I332" t="s">
        <v>20</v>
      </c>
      <c r="J332" t="s">
        <v>21</v>
      </c>
      <c r="K332" t="s">
        <v>28</v>
      </c>
      <c r="L332" t="s">
        <v>23</v>
      </c>
      <c r="M332" t="s">
        <v>24</v>
      </c>
      <c r="O332" t="s">
        <v>25</v>
      </c>
    </row>
    <row r="333" spans="1:15" x14ac:dyDescent="0.55000000000000004">
      <c r="A333">
        <v>831</v>
      </c>
      <c r="B333" t="s">
        <v>672</v>
      </c>
      <c r="C333" t="s">
        <v>673</v>
      </c>
      <c r="D333" t="s">
        <v>17</v>
      </c>
      <c r="E333" t="s">
        <v>18</v>
      </c>
      <c r="G333" t="s">
        <v>577</v>
      </c>
      <c r="H333" t="s">
        <v>19</v>
      </c>
      <c r="I333" t="s">
        <v>20</v>
      </c>
      <c r="J333" t="s">
        <v>21</v>
      </c>
      <c r="K333" t="s">
        <v>28</v>
      </c>
      <c r="L333" t="s">
        <v>23</v>
      </c>
      <c r="M333" t="s">
        <v>24</v>
      </c>
      <c r="O333" t="s">
        <v>25</v>
      </c>
    </row>
    <row r="334" spans="1:15" x14ac:dyDescent="0.55000000000000004">
      <c r="A334">
        <v>832</v>
      </c>
      <c r="B334" t="s">
        <v>674</v>
      </c>
      <c r="C334" t="s">
        <v>675</v>
      </c>
      <c r="D334" t="s">
        <v>17</v>
      </c>
      <c r="E334" t="s">
        <v>18</v>
      </c>
      <c r="G334" t="s">
        <v>577</v>
      </c>
      <c r="H334" t="s">
        <v>19</v>
      </c>
      <c r="I334" t="s">
        <v>20</v>
      </c>
      <c r="J334" t="s">
        <v>21</v>
      </c>
      <c r="K334" t="s">
        <v>28</v>
      </c>
      <c r="L334" t="s">
        <v>23</v>
      </c>
      <c r="M334" t="s">
        <v>24</v>
      </c>
      <c r="O334" t="s">
        <v>25</v>
      </c>
    </row>
    <row r="335" spans="1:15" x14ac:dyDescent="0.55000000000000004">
      <c r="A335">
        <v>833</v>
      </c>
      <c r="B335" t="s">
        <v>676</v>
      </c>
      <c r="C335" t="s">
        <v>677</v>
      </c>
      <c r="D335" t="s">
        <v>17</v>
      </c>
      <c r="E335" t="s">
        <v>18</v>
      </c>
      <c r="G335" t="s">
        <v>577</v>
      </c>
      <c r="H335" t="s">
        <v>19</v>
      </c>
      <c r="I335" t="s">
        <v>20</v>
      </c>
      <c r="J335" t="s">
        <v>21</v>
      </c>
      <c r="K335" t="s">
        <v>28</v>
      </c>
      <c r="L335" t="s">
        <v>23</v>
      </c>
      <c r="M335" t="s">
        <v>24</v>
      </c>
      <c r="O335" t="s">
        <v>25</v>
      </c>
    </row>
    <row r="336" spans="1:15" x14ac:dyDescent="0.55000000000000004">
      <c r="A336">
        <v>834</v>
      </c>
      <c r="B336" t="s">
        <v>678</v>
      </c>
      <c r="C336" t="s">
        <v>679</v>
      </c>
      <c r="D336" t="s">
        <v>17</v>
      </c>
      <c r="E336" t="s">
        <v>18</v>
      </c>
      <c r="G336" t="s">
        <v>577</v>
      </c>
      <c r="H336" t="s">
        <v>19</v>
      </c>
      <c r="I336" t="s">
        <v>20</v>
      </c>
      <c r="J336" t="s">
        <v>21</v>
      </c>
      <c r="K336" t="s">
        <v>28</v>
      </c>
      <c r="L336" t="s">
        <v>23</v>
      </c>
      <c r="M336" t="s">
        <v>24</v>
      </c>
      <c r="O336" t="s">
        <v>25</v>
      </c>
    </row>
    <row r="337" spans="1:15" x14ac:dyDescent="0.55000000000000004">
      <c r="A337">
        <v>835</v>
      </c>
      <c r="B337" t="s">
        <v>680</v>
      </c>
      <c r="C337" t="s">
        <v>681</v>
      </c>
      <c r="D337" t="s">
        <v>17</v>
      </c>
      <c r="E337" t="s">
        <v>18</v>
      </c>
      <c r="H337" t="s">
        <v>19</v>
      </c>
      <c r="I337" t="s">
        <v>20</v>
      </c>
      <c r="J337" t="s">
        <v>21</v>
      </c>
      <c r="K337" t="s">
        <v>36</v>
      </c>
      <c r="L337" t="s">
        <v>23</v>
      </c>
      <c r="M337" t="s">
        <v>24</v>
      </c>
      <c r="O337" t="s">
        <v>25</v>
      </c>
    </row>
    <row r="338" spans="1:15" x14ac:dyDescent="0.55000000000000004">
      <c r="A338">
        <v>836</v>
      </c>
      <c r="B338" t="s">
        <v>682</v>
      </c>
      <c r="C338" t="s">
        <v>683</v>
      </c>
      <c r="D338" t="s">
        <v>17</v>
      </c>
      <c r="E338" t="s">
        <v>18</v>
      </c>
      <c r="H338" t="s">
        <v>19</v>
      </c>
      <c r="I338" t="s">
        <v>20</v>
      </c>
      <c r="J338" t="s">
        <v>21</v>
      </c>
      <c r="K338" t="s">
        <v>28</v>
      </c>
      <c r="L338" t="s">
        <v>23</v>
      </c>
      <c r="M338" t="s">
        <v>24</v>
      </c>
      <c r="O338" t="s">
        <v>25</v>
      </c>
    </row>
    <row r="339" spans="1:15" x14ac:dyDescent="0.55000000000000004">
      <c r="A339">
        <v>837</v>
      </c>
      <c r="B339" t="s">
        <v>684</v>
      </c>
      <c r="C339" t="s">
        <v>685</v>
      </c>
      <c r="D339" t="s">
        <v>17</v>
      </c>
      <c r="E339" t="s">
        <v>18</v>
      </c>
      <c r="G339" t="s">
        <v>686</v>
      </c>
      <c r="H339" t="s">
        <v>19</v>
      </c>
      <c r="I339" t="s">
        <v>20</v>
      </c>
      <c r="J339" t="s">
        <v>21</v>
      </c>
      <c r="K339" t="s">
        <v>36</v>
      </c>
      <c r="L339" t="s">
        <v>23</v>
      </c>
      <c r="M339" t="s">
        <v>24</v>
      </c>
      <c r="O339" t="s">
        <v>25</v>
      </c>
    </row>
    <row r="340" spans="1:15" x14ac:dyDescent="0.55000000000000004">
      <c r="A340">
        <v>838</v>
      </c>
      <c r="B340" t="s">
        <v>687</v>
      </c>
      <c r="C340" t="s">
        <v>688</v>
      </c>
      <c r="D340" t="s">
        <v>17</v>
      </c>
      <c r="E340" t="s">
        <v>18</v>
      </c>
      <c r="G340" t="s">
        <v>686</v>
      </c>
      <c r="H340" t="s">
        <v>19</v>
      </c>
      <c r="I340" t="s">
        <v>20</v>
      </c>
      <c r="J340" t="s">
        <v>21</v>
      </c>
      <c r="K340" t="s">
        <v>36</v>
      </c>
      <c r="L340" t="s">
        <v>23</v>
      </c>
      <c r="M340" t="s">
        <v>24</v>
      </c>
      <c r="O340" t="s">
        <v>25</v>
      </c>
    </row>
    <row r="341" spans="1:15" x14ac:dyDescent="0.55000000000000004">
      <c r="A341">
        <v>839</v>
      </c>
      <c r="B341" t="s">
        <v>689</v>
      </c>
      <c r="C341" t="s">
        <v>690</v>
      </c>
      <c r="D341" t="s">
        <v>17</v>
      </c>
      <c r="E341" t="s">
        <v>18</v>
      </c>
      <c r="G341" t="s">
        <v>686</v>
      </c>
      <c r="H341" t="s">
        <v>19</v>
      </c>
      <c r="I341" t="s">
        <v>20</v>
      </c>
      <c r="J341" t="s">
        <v>21</v>
      </c>
      <c r="K341" t="s">
        <v>36</v>
      </c>
      <c r="L341" t="s">
        <v>23</v>
      </c>
      <c r="M341" t="s">
        <v>24</v>
      </c>
      <c r="O341" t="s">
        <v>25</v>
      </c>
    </row>
    <row r="342" spans="1:15" x14ac:dyDescent="0.55000000000000004">
      <c r="A342">
        <v>840</v>
      </c>
      <c r="B342" t="s">
        <v>691</v>
      </c>
      <c r="C342" t="s">
        <v>692</v>
      </c>
      <c r="D342" t="s">
        <v>17</v>
      </c>
      <c r="E342" t="s">
        <v>18</v>
      </c>
      <c r="G342" t="s">
        <v>686</v>
      </c>
      <c r="H342" t="s">
        <v>19</v>
      </c>
      <c r="I342" t="s">
        <v>20</v>
      </c>
      <c r="J342" t="s">
        <v>21</v>
      </c>
      <c r="K342" t="s">
        <v>36</v>
      </c>
      <c r="L342" t="s">
        <v>23</v>
      </c>
      <c r="M342" t="s">
        <v>24</v>
      </c>
      <c r="O342" t="s">
        <v>25</v>
      </c>
    </row>
    <row r="343" spans="1:15" x14ac:dyDescent="0.55000000000000004">
      <c r="A343">
        <v>841</v>
      </c>
      <c r="B343" t="s">
        <v>693</v>
      </c>
      <c r="C343" t="s">
        <v>694</v>
      </c>
      <c r="D343" t="s">
        <v>17</v>
      </c>
      <c r="E343" t="s">
        <v>18</v>
      </c>
      <c r="G343" t="s">
        <v>686</v>
      </c>
      <c r="H343" t="s">
        <v>19</v>
      </c>
      <c r="I343" t="s">
        <v>20</v>
      </c>
      <c r="J343" t="s">
        <v>21</v>
      </c>
      <c r="K343" t="s">
        <v>36</v>
      </c>
      <c r="L343" t="s">
        <v>23</v>
      </c>
      <c r="M343" t="s">
        <v>24</v>
      </c>
      <c r="O343" t="s">
        <v>25</v>
      </c>
    </row>
    <row r="344" spans="1:15" x14ac:dyDescent="0.55000000000000004">
      <c r="A344">
        <v>842</v>
      </c>
      <c r="B344" t="s">
        <v>695</v>
      </c>
      <c r="C344" t="s">
        <v>696</v>
      </c>
      <c r="D344" t="s">
        <v>17</v>
      </c>
      <c r="E344" t="s">
        <v>18</v>
      </c>
      <c r="G344" t="s">
        <v>686</v>
      </c>
      <c r="H344" t="s">
        <v>19</v>
      </c>
      <c r="I344" t="s">
        <v>20</v>
      </c>
      <c r="J344" t="s">
        <v>21</v>
      </c>
      <c r="K344" t="s">
        <v>36</v>
      </c>
      <c r="L344" t="s">
        <v>23</v>
      </c>
      <c r="M344" t="s">
        <v>24</v>
      </c>
      <c r="O344" t="s">
        <v>25</v>
      </c>
    </row>
    <row r="345" spans="1:15" x14ac:dyDescent="0.55000000000000004">
      <c r="A345">
        <v>843</v>
      </c>
      <c r="B345" t="s">
        <v>697</v>
      </c>
      <c r="C345" t="s">
        <v>698</v>
      </c>
      <c r="D345" t="s">
        <v>17</v>
      </c>
      <c r="E345" t="s">
        <v>18</v>
      </c>
      <c r="G345" t="s">
        <v>686</v>
      </c>
      <c r="H345" t="s">
        <v>19</v>
      </c>
      <c r="I345" t="s">
        <v>20</v>
      </c>
      <c r="J345" t="s">
        <v>21</v>
      </c>
      <c r="K345" t="s">
        <v>36</v>
      </c>
      <c r="L345" t="s">
        <v>23</v>
      </c>
      <c r="M345" t="s">
        <v>24</v>
      </c>
      <c r="O345" t="s">
        <v>25</v>
      </c>
    </row>
    <row r="346" spans="1:15" x14ac:dyDescent="0.55000000000000004">
      <c r="A346">
        <v>844</v>
      </c>
      <c r="B346" t="s">
        <v>699</v>
      </c>
      <c r="C346" t="s">
        <v>700</v>
      </c>
      <c r="D346" t="s">
        <v>17</v>
      </c>
      <c r="E346" t="s">
        <v>18</v>
      </c>
      <c r="G346" t="s">
        <v>686</v>
      </c>
      <c r="H346" t="s">
        <v>19</v>
      </c>
      <c r="I346" t="s">
        <v>20</v>
      </c>
      <c r="J346" t="s">
        <v>21</v>
      </c>
      <c r="K346" t="s">
        <v>36</v>
      </c>
      <c r="L346" t="s">
        <v>23</v>
      </c>
      <c r="M346" t="s">
        <v>24</v>
      </c>
      <c r="O346" t="s">
        <v>25</v>
      </c>
    </row>
    <row r="347" spans="1:15" x14ac:dyDescent="0.55000000000000004">
      <c r="A347">
        <v>845</v>
      </c>
      <c r="B347" t="s">
        <v>701</v>
      </c>
      <c r="C347" t="s">
        <v>702</v>
      </c>
      <c r="D347" t="s">
        <v>17</v>
      </c>
      <c r="E347" t="s">
        <v>18</v>
      </c>
      <c r="G347" t="s">
        <v>686</v>
      </c>
      <c r="H347" t="s">
        <v>19</v>
      </c>
      <c r="I347" t="s">
        <v>20</v>
      </c>
      <c r="J347" t="s">
        <v>21</v>
      </c>
      <c r="K347" t="s">
        <v>28</v>
      </c>
      <c r="L347" t="s">
        <v>23</v>
      </c>
      <c r="M347" t="s">
        <v>24</v>
      </c>
      <c r="O347" t="s">
        <v>25</v>
      </c>
    </row>
    <row r="348" spans="1:15" x14ac:dyDescent="0.55000000000000004">
      <c r="A348">
        <v>846</v>
      </c>
      <c r="B348" t="s">
        <v>703</v>
      </c>
      <c r="C348" t="s">
        <v>704</v>
      </c>
      <c r="D348" t="s">
        <v>17</v>
      </c>
      <c r="E348" t="s">
        <v>18</v>
      </c>
      <c r="H348" t="s">
        <v>19</v>
      </c>
      <c r="I348" t="s">
        <v>20</v>
      </c>
      <c r="J348" t="s">
        <v>21</v>
      </c>
      <c r="K348" t="s">
        <v>82</v>
      </c>
      <c r="L348" t="s">
        <v>23</v>
      </c>
      <c r="M348" t="s">
        <v>24</v>
      </c>
      <c r="O348" t="s">
        <v>25</v>
      </c>
    </row>
    <row r="349" spans="1:15" x14ac:dyDescent="0.55000000000000004">
      <c r="A349">
        <v>847</v>
      </c>
      <c r="B349" t="s">
        <v>705</v>
      </c>
      <c r="C349" t="s">
        <v>706</v>
      </c>
      <c r="D349" t="s">
        <v>17</v>
      </c>
      <c r="E349" t="s">
        <v>18</v>
      </c>
      <c r="H349" t="s">
        <v>19</v>
      </c>
      <c r="I349" t="s">
        <v>20</v>
      </c>
      <c r="J349" t="s">
        <v>21</v>
      </c>
      <c r="K349" t="s">
        <v>28</v>
      </c>
      <c r="L349" t="s">
        <v>23</v>
      </c>
      <c r="M349" t="s">
        <v>24</v>
      </c>
      <c r="O349" t="s">
        <v>25</v>
      </c>
    </row>
    <row r="350" spans="1:15" x14ac:dyDescent="0.55000000000000004">
      <c r="A350">
        <v>848</v>
      </c>
      <c r="B350" t="s">
        <v>707</v>
      </c>
      <c r="C350" t="s">
        <v>708</v>
      </c>
      <c r="D350" t="s">
        <v>17</v>
      </c>
      <c r="E350" t="s">
        <v>18</v>
      </c>
      <c r="H350" t="s">
        <v>19</v>
      </c>
      <c r="I350" t="s">
        <v>20</v>
      </c>
      <c r="J350" t="s">
        <v>21</v>
      </c>
      <c r="K350" t="s">
        <v>28</v>
      </c>
      <c r="L350" t="s">
        <v>23</v>
      </c>
      <c r="M350" t="s">
        <v>24</v>
      </c>
      <c r="O350" t="s">
        <v>25</v>
      </c>
    </row>
    <row r="351" spans="1:15" x14ac:dyDescent="0.55000000000000004">
      <c r="A351">
        <v>849</v>
      </c>
      <c r="B351" t="s">
        <v>709</v>
      </c>
      <c r="C351" t="s">
        <v>710</v>
      </c>
      <c r="D351" t="s">
        <v>17</v>
      </c>
      <c r="E351" t="s">
        <v>18</v>
      </c>
      <c r="H351" t="s">
        <v>19</v>
      </c>
      <c r="I351" t="s">
        <v>20</v>
      </c>
      <c r="J351" t="s">
        <v>21</v>
      </c>
      <c r="K351" t="s">
        <v>28</v>
      </c>
      <c r="L351" t="s">
        <v>23</v>
      </c>
      <c r="M351" t="s">
        <v>24</v>
      </c>
      <c r="O351" t="s">
        <v>25</v>
      </c>
    </row>
    <row r="352" spans="1:15" x14ac:dyDescent="0.55000000000000004">
      <c r="A352">
        <v>850</v>
      </c>
      <c r="B352" t="s">
        <v>711</v>
      </c>
      <c r="C352" t="s">
        <v>712</v>
      </c>
      <c r="D352" t="s">
        <v>17</v>
      </c>
      <c r="E352" t="s">
        <v>18</v>
      </c>
      <c r="H352" t="s">
        <v>19</v>
      </c>
      <c r="I352" t="s">
        <v>20</v>
      </c>
      <c r="J352" t="s">
        <v>21</v>
      </c>
      <c r="K352" t="s">
        <v>28</v>
      </c>
      <c r="L352" t="s">
        <v>23</v>
      </c>
      <c r="M352" t="s">
        <v>24</v>
      </c>
      <c r="O352" t="s">
        <v>25</v>
      </c>
    </row>
    <row r="353" spans="1:15" x14ac:dyDescent="0.55000000000000004">
      <c r="A353">
        <v>851</v>
      </c>
      <c r="B353" t="s">
        <v>713</v>
      </c>
      <c r="C353" t="s">
        <v>714</v>
      </c>
      <c r="D353" t="s">
        <v>17</v>
      </c>
      <c r="E353" t="s">
        <v>18</v>
      </c>
      <c r="H353" t="s">
        <v>19</v>
      </c>
      <c r="I353" t="s">
        <v>20</v>
      </c>
      <c r="J353" t="s">
        <v>21</v>
      </c>
      <c r="K353" t="s">
        <v>28</v>
      </c>
      <c r="L353" t="s">
        <v>23</v>
      </c>
      <c r="M353" t="s">
        <v>24</v>
      </c>
      <c r="O353" t="s">
        <v>25</v>
      </c>
    </row>
    <row r="354" spans="1:15" x14ac:dyDescent="0.55000000000000004">
      <c r="A354">
        <v>852</v>
      </c>
      <c r="B354" t="s">
        <v>715</v>
      </c>
      <c r="C354" t="s">
        <v>716</v>
      </c>
      <c r="D354" t="s">
        <v>17</v>
      </c>
      <c r="E354" t="s">
        <v>18</v>
      </c>
      <c r="H354" t="s">
        <v>19</v>
      </c>
      <c r="I354" t="s">
        <v>20</v>
      </c>
      <c r="J354" t="s">
        <v>21</v>
      </c>
      <c r="K354" t="s">
        <v>28</v>
      </c>
      <c r="L354" t="s">
        <v>23</v>
      </c>
      <c r="M354" t="s">
        <v>24</v>
      </c>
      <c r="O354" t="s">
        <v>25</v>
      </c>
    </row>
    <row r="355" spans="1:15" x14ac:dyDescent="0.55000000000000004">
      <c r="A355">
        <v>853</v>
      </c>
      <c r="B355" t="s">
        <v>717</v>
      </c>
      <c r="C355" t="s">
        <v>718</v>
      </c>
      <c r="D355" t="s">
        <v>17</v>
      </c>
      <c r="E355" t="s">
        <v>18</v>
      </c>
      <c r="H355" t="s">
        <v>19</v>
      </c>
      <c r="I355" t="s">
        <v>20</v>
      </c>
      <c r="J355" t="s">
        <v>21</v>
      </c>
      <c r="K355" t="s">
        <v>28</v>
      </c>
      <c r="L355" t="s">
        <v>23</v>
      </c>
      <c r="M355" t="s">
        <v>24</v>
      </c>
      <c r="O355" t="s">
        <v>25</v>
      </c>
    </row>
    <row r="356" spans="1:15" x14ac:dyDescent="0.55000000000000004">
      <c r="A356">
        <v>854</v>
      </c>
      <c r="B356" t="s">
        <v>717</v>
      </c>
      <c r="C356" t="s">
        <v>718</v>
      </c>
      <c r="D356" t="s">
        <v>17</v>
      </c>
      <c r="E356" t="s">
        <v>18</v>
      </c>
      <c r="H356" t="s">
        <v>19</v>
      </c>
      <c r="I356" t="s">
        <v>20</v>
      </c>
      <c r="J356" t="s">
        <v>21</v>
      </c>
      <c r="K356" t="s">
        <v>69</v>
      </c>
      <c r="L356" t="s">
        <v>23</v>
      </c>
      <c r="M356" t="s">
        <v>24</v>
      </c>
      <c r="O356" t="s">
        <v>25</v>
      </c>
    </row>
    <row r="357" spans="1:15" x14ac:dyDescent="0.55000000000000004">
      <c r="A357">
        <v>855</v>
      </c>
      <c r="B357" t="s">
        <v>719</v>
      </c>
      <c r="C357" t="s">
        <v>720</v>
      </c>
      <c r="D357" t="s">
        <v>17</v>
      </c>
      <c r="E357" t="s">
        <v>18</v>
      </c>
      <c r="H357" t="s">
        <v>19</v>
      </c>
      <c r="I357" t="s">
        <v>20</v>
      </c>
      <c r="J357" t="s">
        <v>21</v>
      </c>
      <c r="K357" t="s">
        <v>28</v>
      </c>
      <c r="L357" t="s">
        <v>23</v>
      </c>
      <c r="M357" t="s">
        <v>24</v>
      </c>
      <c r="O357" t="s">
        <v>25</v>
      </c>
    </row>
    <row r="358" spans="1:15" x14ac:dyDescent="0.55000000000000004">
      <c r="A358">
        <v>856</v>
      </c>
      <c r="B358" t="s">
        <v>721</v>
      </c>
      <c r="C358" t="s">
        <v>722</v>
      </c>
      <c r="D358" t="s">
        <v>17</v>
      </c>
      <c r="E358" t="s">
        <v>18</v>
      </c>
      <c r="H358" t="s">
        <v>19</v>
      </c>
      <c r="I358" t="s">
        <v>20</v>
      </c>
      <c r="J358" t="s">
        <v>21</v>
      </c>
      <c r="K358" t="s">
        <v>28</v>
      </c>
      <c r="L358" t="s">
        <v>23</v>
      </c>
      <c r="M358" t="s">
        <v>24</v>
      </c>
      <c r="O358" t="s">
        <v>25</v>
      </c>
    </row>
    <row r="359" spans="1:15" x14ac:dyDescent="0.55000000000000004">
      <c r="A359">
        <v>857</v>
      </c>
      <c r="B359" t="s">
        <v>723</v>
      </c>
      <c r="C359" t="s">
        <v>724</v>
      </c>
      <c r="D359" t="s">
        <v>17</v>
      </c>
      <c r="E359" t="s">
        <v>18</v>
      </c>
      <c r="G359" t="s">
        <v>725</v>
      </c>
      <c r="H359" t="s">
        <v>19</v>
      </c>
      <c r="I359" t="s">
        <v>20</v>
      </c>
      <c r="J359" t="s">
        <v>21</v>
      </c>
      <c r="K359" t="s">
        <v>28</v>
      </c>
      <c r="L359" t="s">
        <v>23</v>
      </c>
      <c r="M359" t="s">
        <v>24</v>
      </c>
      <c r="O359" t="s">
        <v>25</v>
      </c>
    </row>
    <row r="360" spans="1:15" x14ac:dyDescent="0.55000000000000004">
      <c r="A360">
        <v>858</v>
      </c>
      <c r="B360" t="s">
        <v>726</v>
      </c>
      <c r="C360" t="s">
        <v>724</v>
      </c>
      <c r="D360" t="s">
        <v>17</v>
      </c>
      <c r="E360" t="s">
        <v>18</v>
      </c>
      <c r="G360" t="s">
        <v>725</v>
      </c>
      <c r="H360" t="s">
        <v>19</v>
      </c>
      <c r="I360" t="s">
        <v>20</v>
      </c>
      <c r="J360" t="s">
        <v>21</v>
      </c>
      <c r="K360" t="s">
        <v>69</v>
      </c>
      <c r="L360" t="s">
        <v>23</v>
      </c>
      <c r="M360" t="s">
        <v>24</v>
      </c>
      <c r="O360" t="s">
        <v>25</v>
      </c>
    </row>
    <row r="361" spans="1:15" x14ac:dyDescent="0.55000000000000004">
      <c r="A361">
        <v>859</v>
      </c>
      <c r="B361" t="s">
        <v>727</v>
      </c>
      <c r="C361" t="s">
        <v>728</v>
      </c>
      <c r="D361" t="s">
        <v>17</v>
      </c>
      <c r="E361" t="s">
        <v>18</v>
      </c>
      <c r="G361" t="s">
        <v>725</v>
      </c>
      <c r="H361" t="s">
        <v>19</v>
      </c>
      <c r="I361" t="s">
        <v>20</v>
      </c>
      <c r="J361" t="s">
        <v>21</v>
      </c>
      <c r="K361" t="s">
        <v>28</v>
      </c>
      <c r="L361" t="s">
        <v>23</v>
      </c>
      <c r="M361" t="s">
        <v>24</v>
      </c>
      <c r="O361" t="s">
        <v>25</v>
      </c>
    </row>
    <row r="362" spans="1:15" x14ac:dyDescent="0.55000000000000004">
      <c r="A362">
        <v>860</v>
      </c>
      <c r="B362" t="s">
        <v>729</v>
      </c>
      <c r="C362" t="s">
        <v>728</v>
      </c>
      <c r="D362" t="s">
        <v>17</v>
      </c>
      <c r="E362" t="s">
        <v>18</v>
      </c>
      <c r="G362" t="s">
        <v>725</v>
      </c>
      <c r="H362" t="s">
        <v>19</v>
      </c>
      <c r="I362" t="s">
        <v>20</v>
      </c>
      <c r="J362" t="s">
        <v>21</v>
      </c>
      <c r="K362" t="s">
        <v>69</v>
      </c>
      <c r="L362" t="s">
        <v>23</v>
      </c>
      <c r="M362" t="s">
        <v>24</v>
      </c>
      <c r="O362" t="s">
        <v>25</v>
      </c>
    </row>
    <row r="363" spans="1:15" x14ac:dyDescent="0.55000000000000004">
      <c r="A363">
        <v>861</v>
      </c>
      <c r="B363" t="s">
        <v>730</v>
      </c>
      <c r="C363" t="s">
        <v>731</v>
      </c>
      <c r="D363" t="s">
        <v>17</v>
      </c>
      <c r="E363" t="s">
        <v>18</v>
      </c>
      <c r="G363" t="s">
        <v>725</v>
      </c>
      <c r="H363" t="s">
        <v>19</v>
      </c>
      <c r="I363" t="s">
        <v>20</v>
      </c>
      <c r="J363" t="s">
        <v>21</v>
      </c>
      <c r="K363" t="s">
        <v>28</v>
      </c>
      <c r="L363" t="s">
        <v>23</v>
      </c>
      <c r="M363" t="s">
        <v>24</v>
      </c>
      <c r="O363" t="s">
        <v>25</v>
      </c>
    </row>
    <row r="364" spans="1:15" x14ac:dyDescent="0.55000000000000004">
      <c r="A364">
        <v>862</v>
      </c>
      <c r="B364" t="s">
        <v>732</v>
      </c>
      <c r="C364" t="s">
        <v>731</v>
      </c>
      <c r="D364" t="s">
        <v>17</v>
      </c>
      <c r="E364" t="s">
        <v>18</v>
      </c>
      <c r="G364" t="s">
        <v>725</v>
      </c>
      <c r="H364" t="s">
        <v>19</v>
      </c>
      <c r="I364" t="s">
        <v>20</v>
      </c>
      <c r="J364" t="s">
        <v>21</v>
      </c>
      <c r="K364" t="s">
        <v>69</v>
      </c>
      <c r="L364" t="s">
        <v>23</v>
      </c>
      <c r="M364" t="s">
        <v>24</v>
      </c>
      <c r="O364" t="s">
        <v>25</v>
      </c>
    </row>
    <row r="365" spans="1:15" x14ac:dyDescent="0.55000000000000004">
      <c r="A365">
        <v>863</v>
      </c>
      <c r="B365" t="s">
        <v>733</v>
      </c>
      <c r="C365" t="s">
        <v>734</v>
      </c>
      <c r="D365" t="s">
        <v>17</v>
      </c>
      <c r="E365" t="s">
        <v>18</v>
      </c>
      <c r="H365" t="s">
        <v>19</v>
      </c>
      <c r="I365" t="s">
        <v>20</v>
      </c>
      <c r="J365" t="s">
        <v>21</v>
      </c>
      <c r="K365" t="s">
        <v>28</v>
      </c>
      <c r="L365" t="s">
        <v>23</v>
      </c>
      <c r="M365" t="s">
        <v>24</v>
      </c>
      <c r="O365" t="s">
        <v>25</v>
      </c>
    </row>
    <row r="366" spans="1:15" x14ac:dyDescent="0.55000000000000004">
      <c r="A366">
        <v>864</v>
      </c>
      <c r="B366" t="s">
        <v>735</v>
      </c>
      <c r="C366" t="s">
        <v>736</v>
      </c>
      <c r="D366" t="s">
        <v>17</v>
      </c>
      <c r="E366" t="s">
        <v>18</v>
      </c>
      <c r="H366" t="s">
        <v>19</v>
      </c>
      <c r="I366" t="s">
        <v>20</v>
      </c>
      <c r="J366" t="s">
        <v>21</v>
      </c>
      <c r="K366" t="s">
        <v>36</v>
      </c>
      <c r="L366" t="s">
        <v>23</v>
      </c>
      <c r="M366" t="s">
        <v>24</v>
      </c>
      <c r="O366" t="s">
        <v>25</v>
      </c>
    </row>
    <row r="367" spans="1:15" x14ac:dyDescent="0.55000000000000004">
      <c r="A367">
        <v>865</v>
      </c>
      <c r="B367" t="s">
        <v>737</v>
      </c>
      <c r="C367" t="s">
        <v>738</v>
      </c>
      <c r="D367" t="s">
        <v>17</v>
      </c>
      <c r="E367" t="s">
        <v>18</v>
      </c>
      <c r="H367" t="s">
        <v>19</v>
      </c>
      <c r="I367" t="s">
        <v>20</v>
      </c>
      <c r="J367" t="s">
        <v>21</v>
      </c>
      <c r="K367" t="s">
        <v>28</v>
      </c>
      <c r="L367" t="s">
        <v>23</v>
      </c>
      <c r="M367" t="s">
        <v>24</v>
      </c>
      <c r="O367" t="s">
        <v>25</v>
      </c>
    </row>
    <row r="368" spans="1:15" x14ac:dyDescent="0.55000000000000004">
      <c r="A368">
        <v>866</v>
      </c>
      <c r="B368" t="s">
        <v>739</v>
      </c>
      <c r="C368" t="s">
        <v>740</v>
      </c>
      <c r="D368" t="s">
        <v>17</v>
      </c>
      <c r="E368" t="s">
        <v>18</v>
      </c>
      <c r="H368" t="s">
        <v>19</v>
      </c>
      <c r="I368" t="s">
        <v>20</v>
      </c>
      <c r="J368" t="s">
        <v>21</v>
      </c>
      <c r="K368" t="s">
        <v>36</v>
      </c>
      <c r="L368" t="s">
        <v>23</v>
      </c>
      <c r="M368" t="s">
        <v>24</v>
      </c>
      <c r="O368" t="s">
        <v>25</v>
      </c>
    </row>
    <row r="369" spans="1:15" x14ac:dyDescent="0.55000000000000004">
      <c r="A369">
        <v>867</v>
      </c>
      <c r="B369" t="s">
        <v>741</v>
      </c>
      <c r="C369" t="s">
        <v>742</v>
      </c>
      <c r="D369" t="s">
        <v>17</v>
      </c>
      <c r="E369" t="s">
        <v>18</v>
      </c>
      <c r="H369" t="s">
        <v>19</v>
      </c>
      <c r="I369" t="s">
        <v>20</v>
      </c>
      <c r="J369" t="s">
        <v>21</v>
      </c>
      <c r="K369" t="s">
        <v>28</v>
      </c>
      <c r="L369" t="s">
        <v>23</v>
      </c>
      <c r="M369" t="s">
        <v>24</v>
      </c>
      <c r="O369" t="s">
        <v>25</v>
      </c>
    </row>
    <row r="370" spans="1:15" x14ac:dyDescent="0.55000000000000004">
      <c r="A370">
        <v>868</v>
      </c>
      <c r="B370" t="s">
        <v>743</v>
      </c>
      <c r="C370" t="s">
        <v>742</v>
      </c>
      <c r="D370" t="s">
        <v>17</v>
      </c>
      <c r="E370" t="s">
        <v>18</v>
      </c>
      <c r="H370" t="s">
        <v>19</v>
      </c>
      <c r="I370" t="s">
        <v>20</v>
      </c>
      <c r="J370" t="s">
        <v>21</v>
      </c>
      <c r="K370" t="s">
        <v>57</v>
      </c>
      <c r="L370" t="s">
        <v>23</v>
      </c>
      <c r="M370" t="s">
        <v>24</v>
      </c>
      <c r="O370" t="s">
        <v>25</v>
      </c>
    </row>
    <row r="371" spans="1:15" x14ac:dyDescent="0.55000000000000004">
      <c r="A371">
        <v>869</v>
      </c>
      <c r="B371" t="s">
        <v>744</v>
      </c>
      <c r="C371" t="s">
        <v>745</v>
      </c>
      <c r="D371" t="s">
        <v>17</v>
      </c>
      <c r="E371" t="s">
        <v>18</v>
      </c>
      <c r="H371" t="s">
        <v>19</v>
      </c>
      <c r="I371" t="s">
        <v>20</v>
      </c>
      <c r="J371" t="s">
        <v>21</v>
      </c>
      <c r="K371" t="s">
        <v>36</v>
      </c>
      <c r="L371" t="s">
        <v>23</v>
      </c>
      <c r="M371" t="s">
        <v>24</v>
      </c>
      <c r="O371" t="s">
        <v>25</v>
      </c>
    </row>
    <row r="372" spans="1:15" x14ac:dyDescent="0.55000000000000004">
      <c r="A372">
        <v>870</v>
      </c>
      <c r="B372" t="s">
        <v>746</v>
      </c>
      <c r="C372" t="s">
        <v>747</v>
      </c>
      <c r="D372" t="s">
        <v>17</v>
      </c>
      <c r="E372" t="s">
        <v>18</v>
      </c>
      <c r="H372" t="s">
        <v>19</v>
      </c>
      <c r="I372" t="s">
        <v>20</v>
      </c>
      <c r="J372" t="s">
        <v>21</v>
      </c>
      <c r="K372" t="s">
        <v>36</v>
      </c>
      <c r="L372" t="s">
        <v>23</v>
      </c>
      <c r="M372" t="s">
        <v>24</v>
      </c>
      <c r="O372" t="s">
        <v>25</v>
      </c>
    </row>
    <row r="373" spans="1:15" x14ac:dyDescent="0.55000000000000004">
      <c r="A373">
        <v>871</v>
      </c>
      <c r="B373" t="s">
        <v>748</v>
      </c>
      <c r="C373" t="s">
        <v>749</v>
      </c>
      <c r="D373" t="s">
        <v>17</v>
      </c>
      <c r="E373" t="s">
        <v>18</v>
      </c>
      <c r="H373" t="s">
        <v>19</v>
      </c>
      <c r="I373" t="s">
        <v>20</v>
      </c>
      <c r="J373" t="s">
        <v>21</v>
      </c>
      <c r="K373" t="s">
        <v>36</v>
      </c>
      <c r="L373" t="s">
        <v>23</v>
      </c>
      <c r="M373" t="s">
        <v>24</v>
      </c>
      <c r="O373" t="s">
        <v>25</v>
      </c>
    </row>
    <row r="374" spans="1:15" x14ac:dyDescent="0.55000000000000004">
      <c r="A374">
        <v>872</v>
      </c>
      <c r="B374" t="s">
        <v>750</v>
      </c>
      <c r="C374" t="s">
        <v>751</v>
      </c>
      <c r="D374" t="s">
        <v>17</v>
      </c>
      <c r="E374" t="s">
        <v>18</v>
      </c>
      <c r="H374" t="s">
        <v>19</v>
      </c>
      <c r="I374" t="s">
        <v>20</v>
      </c>
      <c r="J374" t="s">
        <v>21</v>
      </c>
      <c r="K374" t="s">
        <v>36</v>
      </c>
      <c r="L374" t="s">
        <v>23</v>
      </c>
      <c r="M374" t="s">
        <v>24</v>
      </c>
      <c r="O374" t="s">
        <v>25</v>
      </c>
    </row>
    <row r="375" spans="1:15" x14ac:dyDescent="0.55000000000000004">
      <c r="A375">
        <v>873</v>
      </c>
      <c r="B375" t="s">
        <v>752</v>
      </c>
      <c r="C375" t="s">
        <v>753</v>
      </c>
      <c r="D375" t="s">
        <v>17</v>
      </c>
      <c r="E375" t="s">
        <v>18</v>
      </c>
      <c r="H375" t="s">
        <v>19</v>
      </c>
      <c r="I375" t="s">
        <v>20</v>
      </c>
      <c r="J375" t="s">
        <v>21</v>
      </c>
      <c r="K375" t="s">
        <v>28</v>
      </c>
      <c r="L375" t="s">
        <v>23</v>
      </c>
      <c r="M375" t="s">
        <v>24</v>
      </c>
      <c r="O375" t="s">
        <v>25</v>
      </c>
    </row>
    <row r="376" spans="1:15" x14ac:dyDescent="0.55000000000000004">
      <c r="A376">
        <v>874</v>
      </c>
      <c r="B376" t="s">
        <v>754</v>
      </c>
      <c r="C376" t="s">
        <v>755</v>
      </c>
      <c r="D376" t="s">
        <v>17</v>
      </c>
      <c r="E376" t="s">
        <v>18</v>
      </c>
      <c r="H376" t="s">
        <v>19</v>
      </c>
      <c r="I376" t="s">
        <v>20</v>
      </c>
      <c r="J376" t="s">
        <v>21</v>
      </c>
      <c r="K376" t="s">
        <v>28</v>
      </c>
      <c r="L376" t="s">
        <v>23</v>
      </c>
      <c r="M376" t="s">
        <v>24</v>
      </c>
      <c r="O376" t="s">
        <v>25</v>
      </c>
    </row>
    <row r="377" spans="1:15" x14ac:dyDescent="0.55000000000000004">
      <c r="A377">
        <v>875</v>
      </c>
      <c r="B377" t="s">
        <v>756</v>
      </c>
      <c r="C377" t="s">
        <v>757</v>
      </c>
      <c r="D377" t="s">
        <v>17</v>
      </c>
      <c r="E377" t="s">
        <v>18</v>
      </c>
      <c r="H377" t="s">
        <v>19</v>
      </c>
      <c r="I377" t="s">
        <v>20</v>
      </c>
      <c r="J377" t="s">
        <v>21</v>
      </c>
      <c r="K377" t="s">
        <v>28</v>
      </c>
      <c r="L377" t="s">
        <v>23</v>
      </c>
      <c r="M377" t="s">
        <v>24</v>
      </c>
      <c r="O377" t="s">
        <v>25</v>
      </c>
    </row>
    <row r="378" spans="1:15" x14ac:dyDescent="0.55000000000000004">
      <c r="A378">
        <v>876</v>
      </c>
      <c r="B378" t="s">
        <v>758</v>
      </c>
      <c r="C378" t="s">
        <v>759</v>
      </c>
      <c r="D378" t="s">
        <v>17</v>
      </c>
      <c r="E378" t="s">
        <v>18</v>
      </c>
      <c r="H378" t="s">
        <v>19</v>
      </c>
      <c r="I378" t="s">
        <v>20</v>
      </c>
      <c r="J378" t="s">
        <v>21</v>
      </c>
      <c r="K378" t="s">
        <v>28</v>
      </c>
      <c r="L378" t="s">
        <v>23</v>
      </c>
      <c r="M378" t="s">
        <v>24</v>
      </c>
      <c r="O378" t="s">
        <v>25</v>
      </c>
    </row>
    <row r="379" spans="1:15" x14ac:dyDescent="0.55000000000000004">
      <c r="A379">
        <v>877</v>
      </c>
      <c r="B379" t="s">
        <v>760</v>
      </c>
      <c r="C379" t="s">
        <v>761</v>
      </c>
      <c r="D379" t="s">
        <v>17</v>
      </c>
      <c r="E379" t="s">
        <v>18</v>
      </c>
      <c r="H379" t="s">
        <v>19</v>
      </c>
      <c r="I379" t="s">
        <v>20</v>
      </c>
      <c r="J379" t="s">
        <v>21</v>
      </c>
      <c r="K379" t="s">
        <v>28</v>
      </c>
      <c r="L379" t="s">
        <v>23</v>
      </c>
      <c r="M379" t="s">
        <v>24</v>
      </c>
      <c r="O379" t="s">
        <v>25</v>
      </c>
    </row>
    <row r="380" spans="1:15" x14ac:dyDescent="0.55000000000000004">
      <c r="A380">
        <v>878</v>
      </c>
      <c r="B380" t="s">
        <v>762</v>
      </c>
      <c r="C380" t="s">
        <v>763</v>
      </c>
      <c r="D380" t="s">
        <v>17</v>
      </c>
      <c r="E380" t="s">
        <v>18</v>
      </c>
      <c r="H380" t="s">
        <v>19</v>
      </c>
      <c r="I380" t="s">
        <v>20</v>
      </c>
      <c r="J380" t="s">
        <v>21</v>
      </c>
      <c r="K380" t="s">
        <v>28</v>
      </c>
      <c r="L380" t="s">
        <v>23</v>
      </c>
      <c r="M380" t="s">
        <v>24</v>
      </c>
      <c r="O380" t="s">
        <v>25</v>
      </c>
    </row>
    <row r="381" spans="1:15" x14ac:dyDescent="0.55000000000000004">
      <c r="A381">
        <v>879</v>
      </c>
      <c r="B381" t="s">
        <v>764</v>
      </c>
      <c r="C381" t="s">
        <v>765</v>
      </c>
      <c r="D381" t="s">
        <v>17</v>
      </c>
      <c r="E381" t="s">
        <v>18</v>
      </c>
      <c r="H381" t="s">
        <v>19</v>
      </c>
      <c r="I381" t="s">
        <v>20</v>
      </c>
      <c r="J381" t="s">
        <v>21</v>
      </c>
      <c r="K381" t="s">
        <v>28</v>
      </c>
      <c r="L381" t="s">
        <v>23</v>
      </c>
      <c r="M381" t="s">
        <v>24</v>
      </c>
      <c r="O381" t="s">
        <v>25</v>
      </c>
    </row>
    <row r="382" spans="1:15" x14ac:dyDescent="0.55000000000000004">
      <c r="A382">
        <v>880</v>
      </c>
      <c r="B382" t="s">
        <v>766</v>
      </c>
      <c r="C382" t="s">
        <v>767</v>
      </c>
      <c r="D382" t="s">
        <v>17</v>
      </c>
      <c r="E382" t="s">
        <v>18</v>
      </c>
      <c r="G382" t="s">
        <v>768</v>
      </c>
      <c r="H382" t="s">
        <v>19</v>
      </c>
      <c r="I382" t="s">
        <v>20</v>
      </c>
      <c r="J382" t="s">
        <v>21</v>
      </c>
      <c r="K382" t="s">
        <v>62</v>
      </c>
      <c r="L382" t="s">
        <v>23</v>
      </c>
      <c r="M382" t="s">
        <v>24</v>
      </c>
      <c r="O382" t="s">
        <v>25</v>
      </c>
    </row>
    <row r="383" spans="1:15" x14ac:dyDescent="0.55000000000000004">
      <c r="A383">
        <v>881</v>
      </c>
      <c r="B383" t="s">
        <v>769</v>
      </c>
      <c r="C383" t="s">
        <v>770</v>
      </c>
      <c r="D383" t="s">
        <v>17</v>
      </c>
      <c r="E383" t="s">
        <v>18</v>
      </c>
      <c r="G383" t="s">
        <v>768</v>
      </c>
      <c r="H383" t="s">
        <v>19</v>
      </c>
      <c r="I383" t="s">
        <v>20</v>
      </c>
      <c r="J383" t="s">
        <v>21</v>
      </c>
      <c r="K383" t="s">
        <v>62</v>
      </c>
      <c r="L383" t="s">
        <v>23</v>
      </c>
      <c r="M383" t="s">
        <v>24</v>
      </c>
      <c r="O383" t="s">
        <v>25</v>
      </c>
    </row>
    <row r="384" spans="1:15" x14ac:dyDescent="0.55000000000000004">
      <c r="A384">
        <v>882</v>
      </c>
      <c r="B384" t="s">
        <v>771</v>
      </c>
      <c r="C384" t="s">
        <v>772</v>
      </c>
      <c r="D384" t="s">
        <v>17</v>
      </c>
      <c r="E384" t="s">
        <v>18</v>
      </c>
      <c r="G384" t="s">
        <v>768</v>
      </c>
      <c r="H384" t="s">
        <v>19</v>
      </c>
      <c r="I384" t="s">
        <v>20</v>
      </c>
      <c r="J384" t="s">
        <v>21</v>
      </c>
      <c r="K384" t="s">
        <v>62</v>
      </c>
      <c r="L384" t="s">
        <v>23</v>
      </c>
      <c r="M384" t="s">
        <v>24</v>
      </c>
      <c r="O384" t="s">
        <v>25</v>
      </c>
    </row>
    <row r="385" spans="1:15" x14ac:dyDescent="0.55000000000000004">
      <c r="A385">
        <v>883</v>
      </c>
      <c r="B385" t="s">
        <v>773</v>
      </c>
      <c r="C385" t="s">
        <v>774</v>
      </c>
      <c r="D385" t="s">
        <v>17</v>
      </c>
      <c r="E385" t="s">
        <v>18</v>
      </c>
      <c r="G385" t="s">
        <v>768</v>
      </c>
      <c r="H385" t="s">
        <v>19</v>
      </c>
      <c r="I385" t="s">
        <v>20</v>
      </c>
      <c r="J385" t="s">
        <v>21</v>
      </c>
      <c r="K385" t="s">
        <v>28</v>
      </c>
      <c r="L385" t="s">
        <v>23</v>
      </c>
      <c r="M385" t="s">
        <v>24</v>
      </c>
      <c r="O385" t="s">
        <v>25</v>
      </c>
    </row>
    <row r="386" spans="1:15" x14ac:dyDescent="0.55000000000000004">
      <c r="A386">
        <v>884</v>
      </c>
      <c r="B386" t="s">
        <v>775</v>
      </c>
      <c r="C386" t="s">
        <v>776</v>
      </c>
      <c r="D386" t="s">
        <v>17</v>
      </c>
      <c r="E386" t="s">
        <v>18</v>
      </c>
      <c r="H386" t="s">
        <v>19</v>
      </c>
      <c r="I386" t="s">
        <v>20</v>
      </c>
      <c r="J386" t="s">
        <v>21</v>
      </c>
      <c r="K386" t="s">
        <v>28</v>
      </c>
      <c r="L386" t="s">
        <v>23</v>
      </c>
      <c r="M386" t="s">
        <v>24</v>
      </c>
      <c r="O386" t="s">
        <v>25</v>
      </c>
    </row>
    <row r="387" spans="1:15" x14ac:dyDescent="0.55000000000000004">
      <c r="A387">
        <v>885</v>
      </c>
      <c r="B387" t="s">
        <v>777</v>
      </c>
      <c r="C387" t="s">
        <v>778</v>
      </c>
      <c r="D387" t="s">
        <v>17</v>
      </c>
      <c r="E387" t="s">
        <v>18</v>
      </c>
      <c r="H387" t="s">
        <v>19</v>
      </c>
      <c r="I387" t="s">
        <v>20</v>
      </c>
      <c r="J387" t="s">
        <v>21</v>
      </c>
      <c r="K387" t="s">
        <v>220</v>
      </c>
      <c r="L387" t="s">
        <v>23</v>
      </c>
      <c r="M387" t="s">
        <v>24</v>
      </c>
      <c r="O387" t="s">
        <v>25</v>
      </c>
    </row>
    <row r="388" spans="1:15" x14ac:dyDescent="0.55000000000000004">
      <c r="A388">
        <v>886</v>
      </c>
      <c r="B388" t="s">
        <v>779</v>
      </c>
      <c r="C388" t="s">
        <v>778</v>
      </c>
      <c r="D388" t="s">
        <v>17</v>
      </c>
      <c r="E388" t="s">
        <v>18</v>
      </c>
      <c r="H388" t="s">
        <v>19</v>
      </c>
      <c r="I388" t="s">
        <v>20</v>
      </c>
      <c r="J388" t="s">
        <v>21</v>
      </c>
      <c r="K388" t="s">
        <v>69</v>
      </c>
      <c r="L388" t="s">
        <v>23</v>
      </c>
      <c r="M388" t="s">
        <v>24</v>
      </c>
      <c r="O388" t="s">
        <v>25</v>
      </c>
    </row>
    <row r="389" spans="1:15" x14ac:dyDescent="0.55000000000000004">
      <c r="A389">
        <v>887</v>
      </c>
      <c r="B389" t="s">
        <v>780</v>
      </c>
      <c r="C389" t="s">
        <v>781</v>
      </c>
      <c r="D389" t="s">
        <v>17</v>
      </c>
      <c r="E389" t="s">
        <v>18</v>
      </c>
      <c r="H389" t="s">
        <v>19</v>
      </c>
      <c r="I389" t="s">
        <v>20</v>
      </c>
      <c r="J389" t="s">
        <v>21</v>
      </c>
      <c r="K389" t="s">
        <v>28</v>
      </c>
      <c r="L389" t="s">
        <v>23</v>
      </c>
      <c r="M389" t="s">
        <v>24</v>
      </c>
      <c r="O389" t="s">
        <v>25</v>
      </c>
    </row>
    <row r="390" spans="1:15" x14ac:dyDescent="0.55000000000000004">
      <c r="A390">
        <v>888</v>
      </c>
      <c r="B390" t="s">
        <v>782</v>
      </c>
      <c r="C390" t="s">
        <v>783</v>
      </c>
      <c r="D390" t="s">
        <v>17</v>
      </c>
      <c r="E390" t="s">
        <v>18</v>
      </c>
      <c r="H390" t="s">
        <v>19</v>
      </c>
      <c r="I390" t="s">
        <v>20</v>
      </c>
      <c r="J390" t="s">
        <v>21</v>
      </c>
      <c r="K390" t="s">
        <v>28</v>
      </c>
      <c r="L390" t="s">
        <v>23</v>
      </c>
      <c r="M390" t="s">
        <v>24</v>
      </c>
      <c r="O390" t="s">
        <v>25</v>
      </c>
    </row>
    <row r="391" spans="1:15" x14ac:dyDescent="0.55000000000000004">
      <c r="A391">
        <v>889</v>
      </c>
      <c r="B391" t="s">
        <v>784</v>
      </c>
      <c r="C391" t="s">
        <v>785</v>
      </c>
      <c r="D391" t="s">
        <v>17</v>
      </c>
      <c r="E391" t="s">
        <v>18</v>
      </c>
      <c r="H391" t="s">
        <v>19</v>
      </c>
      <c r="I391" t="s">
        <v>20</v>
      </c>
      <c r="J391" t="s">
        <v>21</v>
      </c>
      <c r="K391" t="s">
        <v>28</v>
      </c>
      <c r="L391" t="s">
        <v>23</v>
      </c>
      <c r="M391" t="s">
        <v>24</v>
      </c>
      <c r="O391" t="s">
        <v>25</v>
      </c>
    </row>
    <row r="392" spans="1:15" x14ac:dyDescent="0.55000000000000004">
      <c r="A392">
        <v>890</v>
      </c>
      <c r="B392" t="s">
        <v>786</v>
      </c>
      <c r="C392" t="s">
        <v>787</v>
      </c>
      <c r="D392" t="s">
        <v>17</v>
      </c>
      <c r="E392" t="s">
        <v>18</v>
      </c>
      <c r="H392" t="s">
        <v>19</v>
      </c>
      <c r="I392" t="s">
        <v>20</v>
      </c>
      <c r="J392" t="s">
        <v>21</v>
      </c>
      <c r="K392" t="s">
        <v>36</v>
      </c>
      <c r="L392" t="s">
        <v>23</v>
      </c>
      <c r="M392" t="s">
        <v>24</v>
      </c>
      <c r="O392" t="s">
        <v>25</v>
      </c>
    </row>
    <row r="393" spans="1:15" x14ac:dyDescent="0.55000000000000004">
      <c r="A393">
        <v>891</v>
      </c>
      <c r="B393" t="s">
        <v>788</v>
      </c>
      <c r="C393" t="s">
        <v>789</v>
      </c>
      <c r="D393" t="s">
        <v>17</v>
      </c>
      <c r="E393" t="s">
        <v>18</v>
      </c>
      <c r="H393" t="s">
        <v>19</v>
      </c>
      <c r="I393" t="s">
        <v>20</v>
      </c>
      <c r="J393" t="s">
        <v>21</v>
      </c>
      <c r="K393" t="s">
        <v>28</v>
      </c>
      <c r="L393" t="s">
        <v>23</v>
      </c>
      <c r="M393" t="s">
        <v>24</v>
      </c>
      <c r="O393" t="s">
        <v>25</v>
      </c>
    </row>
    <row r="394" spans="1:15" x14ac:dyDescent="0.55000000000000004">
      <c r="A394">
        <v>892</v>
      </c>
      <c r="B394" t="s">
        <v>790</v>
      </c>
      <c r="C394" t="s">
        <v>791</v>
      </c>
      <c r="D394" t="s">
        <v>17</v>
      </c>
      <c r="E394" t="s">
        <v>18</v>
      </c>
      <c r="H394" t="s">
        <v>19</v>
      </c>
      <c r="I394" t="s">
        <v>20</v>
      </c>
      <c r="J394" t="s">
        <v>21</v>
      </c>
      <c r="K394" t="s">
        <v>28</v>
      </c>
      <c r="L394" t="s">
        <v>23</v>
      </c>
      <c r="M394" t="s">
        <v>24</v>
      </c>
      <c r="O394" t="s">
        <v>25</v>
      </c>
    </row>
    <row r="395" spans="1:15" x14ac:dyDescent="0.55000000000000004">
      <c r="A395">
        <v>893</v>
      </c>
      <c r="B395" t="s">
        <v>792</v>
      </c>
      <c r="C395" t="s">
        <v>793</v>
      </c>
      <c r="D395" t="s">
        <v>17</v>
      </c>
      <c r="E395" t="s">
        <v>18</v>
      </c>
      <c r="H395" t="s">
        <v>19</v>
      </c>
      <c r="I395" t="s">
        <v>20</v>
      </c>
      <c r="J395" t="s">
        <v>21</v>
      </c>
      <c r="K395" t="s">
        <v>28</v>
      </c>
      <c r="L395" t="s">
        <v>23</v>
      </c>
      <c r="M395" t="s">
        <v>24</v>
      </c>
      <c r="O395" t="s">
        <v>25</v>
      </c>
    </row>
    <row r="396" spans="1:15" x14ac:dyDescent="0.55000000000000004">
      <c r="A396">
        <v>894</v>
      </c>
      <c r="B396" t="s">
        <v>794</v>
      </c>
      <c r="C396" t="s">
        <v>795</v>
      </c>
      <c r="D396" t="s">
        <v>17</v>
      </c>
      <c r="E396" t="s">
        <v>18</v>
      </c>
      <c r="H396" t="s">
        <v>19</v>
      </c>
      <c r="I396" t="s">
        <v>20</v>
      </c>
      <c r="J396" t="s">
        <v>21</v>
      </c>
      <c r="K396" t="s">
        <v>28</v>
      </c>
      <c r="L396" t="s">
        <v>23</v>
      </c>
      <c r="M396" t="s">
        <v>24</v>
      </c>
      <c r="O396" t="s">
        <v>25</v>
      </c>
    </row>
    <row r="397" spans="1:15" x14ac:dyDescent="0.55000000000000004">
      <c r="A397">
        <v>895</v>
      </c>
      <c r="B397" t="s">
        <v>796</v>
      </c>
      <c r="C397" t="s">
        <v>797</v>
      </c>
      <c r="D397" t="s">
        <v>17</v>
      </c>
      <c r="E397" t="s">
        <v>18</v>
      </c>
      <c r="H397" t="s">
        <v>19</v>
      </c>
      <c r="I397" t="s">
        <v>20</v>
      </c>
      <c r="J397" t="s">
        <v>21</v>
      </c>
      <c r="K397" t="s">
        <v>28</v>
      </c>
      <c r="L397" t="s">
        <v>23</v>
      </c>
      <c r="M397" t="s">
        <v>24</v>
      </c>
      <c r="O397" t="s">
        <v>25</v>
      </c>
    </row>
    <row r="398" spans="1:15" x14ac:dyDescent="0.55000000000000004">
      <c r="A398">
        <v>896</v>
      </c>
      <c r="B398" t="s">
        <v>798</v>
      </c>
      <c r="C398" t="s">
        <v>799</v>
      </c>
      <c r="D398" t="s">
        <v>17</v>
      </c>
      <c r="E398" t="s">
        <v>18</v>
      </c>
      <c r="H398" t="s">
        <v>19</v>
      </c>
      <c r="I398" t="s">
        <v>20</v>
      </c>
      <c r="J398" t="s">
        <v>21</v>
      </c>
      <c r="K398" t="s">
        <v>28</v>
      </c>
      <c r="L398" t="s">
        <v>23</v>
      </c>
      <c r="M398" t="s">
        <v>24</v>
      </c>
      <c r="O398" t="s">
        <v>25</v>
      </c>
    </row>
    <row r="399" spans="1:15" x14ac:dyDescent="0.55000000000000004">
      <c r="A399">
        <v>897</v>
      </c>
      <c r="B399" t="s">
        <v>800</v>
      </c>
      <c r="C399" t="s">
        <v>801</v>
      </c>
      <c r="D399" t="s">
        <v>17</v>
      </c>
      <c r="E399" t="s">
        <v>18</v>
      </c>
      <c r="H399" t="s">
        <v>19</v>
      </c>
      <c r="I399" t="s">
        <v>20</v>
      </c>
      <c r="J399" t="s">
        <v>21</v>
      </c>
      <c r="K399" t="s">
        <v>82</v>
      </c>
      <c r="L399" t="s">
        <v>23</v>
      </c>
      <c r="M399" t="s">
        <v>24</v>
      </c>
      <c r="O399" t="s">
        <v>25</v>
      </c>
    </row>
    <row r="400" spans="1:15" x14ac:dyDescent="0.55000000000000004">
      <c r="A400">
        <v>898</v>
      </c>
      <c r="B400" t="s">
        <v>802</v>
      </c>
      <c r="C400" t="s">
        <v>803</v>
      </c>
      <c r="D400" t="s">
        <v>17</v>
      </c>
      <c r="E400" t="s">
        <v>18</v>
      </c>
      <c r="H400" t="s">
        <v>19</v>
      </c>
      <c r="I400" t="s">
        <v>20</v>
      </c>
      <c r="J400" t="s">
        <v>21</v>
      </c>
      <c r="K400" t="s">
        <v>28</v>
      </c>
      <c r="L400" t="s">
        <v>23</v>
      </c>
      <c r="M400" t="s">
        <v>24</v>
      </c>
      <c r="O400" t="s">
        <v>25</v>
      </c>
    </row>
    <row r="401" spans="1:15" x14ac:dyDescent="0.55000000000000004">
      <c r="A401">
        <v>899</v>
      </c>
      <c r="B401" t="s">
        <v>804</v>
      </c>
      <c r="C401" t="s">
        <v>805</v>
      </c>
      <c r="D401" t="s">
        <v>17</v>
      </c>
      <c r="E401" t="s">
        <v>18</v>
      </c>
      <c r="H401" t="s">
        <v>19</v>
      </c>
      <c r="I401" t="s">
        <v>20</v>
      </c>
      <c r="J401" t="s">
        <v>21</v>
      </c>
      <c r="K401" t="s">
        <v>36</v>
      </c>
      <c r="L401" t="s">
        <v>23</v>
      </c>
      <c r="M401" t="s">
        <v>24</v>
      </c>
      <c r="O401" t="s">
        <v>25</v>
      </c>
    </row>
    <row r="402" spans="1:15" x14ac:dyDescent="0.55000000000000004">
      <c r="A402">
        <v>900</v>
      </c>
      <c r="B402" t="s">
        <v>806</v>
      </c>
      <c r="C402" t="s">
        <v>807</v>
      </c>
      <c r="D402" t="s">
        <v>17</v>
      </c>
      <c r="E402" t="s">
        <v>18</v>
      </c>
      <c r="H402" t="s">
        <v>19</v>
      </c>
      <c r="I402" t="s">
        <v>20</v>
      </c>
      <c r="J402" t="s">
        <v>21</v>
      </c>
      <c r="K402" t="s">
        <v>36</v>
      </c>
      <c r="L402" t="s">
        <v>23</v>
      </c>
      <c r="M402" t="s">
        <v>24</v>
      </c>
      <c r="O402" t="s">
        <v>25</v>
      </c>
    </row>
    <row r="403" spans="1:15" x14ac:dyDescent="0.55000000000000004">
      <c r="A403">
        <v>901</v>
      </c>
      <c r="B403" t="s">
        <v>808</v>
      </c>
      <c r="C403" t="s">
        <v>809</v>
      </c>
      <c r="D403" t="s">
        <v>17</v>
      </c>
      <c r="E403" t="s">
        <v>18</v>
      </c>
      <c r="H403" t="s">
        <v>19</v>
      </c>
      <c r="I403" t="s">
        <v>20</v>
      </c>
      <c r="J403" t="s">
        <v>21</v>
      </c>
      <c r="K403" t="s">
        <v>36</v>
      </c>
      <c r="L403" t="s">
        <v>23</v>
      </c>
      <c r="M403" t="s">
        <v>24</v>
      </c>
      <c r="O403" t="s">
        <v>25</v>
      </c>
    </row>
    <row r="404" spans="1:15" x14ac:dyDescent="0.55000000000000004">
      <c r="A404">
        <v>902</v>
      </c>
      <c r="B404" t="s">
        <v>810</v>
      </c>
      <c r="C404" t="s">
        <v>811</v>
      </c>
      <c r="D404" t="s">
        <v>17</v>
      </c>
      <c r="E404" t="s">
        <v>18</v>
      </c>
      <c r="H404" t="s">
        <v>19</v>
      </c>
      <c r="I404" t="s">
        <v>20</v>
      </c>
      <c r="J404" t="s">
        <v>21</v>
      </c>
      <c r="K404" t="s">
        <v>36</v>
      </c>
      <c r="L404" t="s">
        <v>23</v>
      </c>
      <c r="M404" t="s">
        <v>24</v>
      </c>
      <c r="O404" t="s">
        <v>25</v>
      </c>
    </row>
    <row r="405" spans="1:15" x14ac:dyDescent="0.55000000000000004">
      <c r="A405">
        <v>903</v>
      </c>
      <c r="B405" t="s">
        <v>812</v>
      </c>
      <c r="C405" t="s">
        <v>813</v>
      </c>
      <c r="D405" t="s">
        <v>17</v>
      </c>
      <c r="E405" t="s">
        <v>18</v>
      </c>
      <c r="H405" t="s">
        <v>19</v>
      </c>
      <c r="I405" t="s">
        <v>20</v>
      </c>
      <c r="J405" t="s">
        <v>21</v>
      </c>
      <c r="K405" t="s">
        <v>36</v>
      </c>
      <c r="L405" t="s">
        <v>23</v>
      </c>
      <c r="M405" t="s">
        <v>24</v>
      </c>
      <c r="O405" t="s">
        <v>25</v>
      </c>
    </row>
    <row r="406" spans="1:15" x14ac:dyDescent="0.55000000000000004">
      <c r="A406">
        <v>904</v>
      </c>
      <c r="B406" t="s">
        <v>814</v>
      </c>
      <c r="C406" t="s">
        <v>815</v>
      </c>
      <c r="D406" t="s">
        <v>17</v>
      </c>
      <c r="E406" t="s">
        <v>18</v>
      </c>
      <c r="H406" t="s">
        <v>19</v>
      </c>
      <c r="I406" t="s">
        <v>20</v>
      </c>
      <c r="J406" t="s">
        <v>21</v>
      </c>
      <c r="K406" t="s">
        <v>28</v>
      </c>
      <c r="L406" t="s">
        <v>23</v>
      </c>
      <c r="M406" t="s">
        <v>24</v>
      </c>
      <c r="O406" t="s">
        <v>25</v>
      </c>
    </row>
    <row r="407" spans="1:15" x14ac:dyDescent="0.55000000000000004">
      <c r="A407">
        <v>905</v>
      </c>
      <c r="B407" t="s">
        <v>816</v>
      </c>
      <c r="C407" t="s">
        <v>817</v>
      </c>
      <c r="D407" t="s">
        <v>17</v>
      </c>
      <c r="E407" t="s">
        <v>18</v>
      </c>
      <c r="H407" t="s">
        <v>19</v>
      </c>
      <c r="I407" t="s">
        <v>20</v>
      </c>
      <c r="J407" t="s">
        <v>21</v>
      </c>
      <c r="K407" t="s">
        <v>28</v>
      </c>
      <c r="L407" t="s">
        <v>23</v>
      </c>
      <c r="M407" t="s">
        <v>24</v>
      </c>
      <c r="O407" t="s">
        <v>25</v>
      </c>
    </row>
    <row r="408" spans="1:15" x14ac:dyDescent="0.55000000000000004">
      <c r="A408">
        <v>906</v>
      </c>
      <c r="B408" t="s">
        <v>818</v>
      </c>
      <c r="C408" t="s">
        <v>819</v>
      </c>
      <c r="D408" t="s">
        <v>17</v>
      </c>
      <c r="E408" t="s">
        <v>18</v>
      </c>
      <c r="H408" t="s">
        <v>19</v>
      </c>
      <c r="I408" t="s">
        <v>20</v>
      </c>
      <c r="J408" t="s">
        <v>21</v>
      </c>
      <c r="K408" t="s">
        <v>28</v>
      </c>
      <c r="L408" t="s">
        <v>23</v>
      </c>
      <c r="M408" t="s">
        <v>24</v>
      </c>
      <c r="O408" t="s">
        <v>25</v>
      </c>
    </row>
    <row r="409" spans="1:15" x14ac:dyDescent="0.55000000000000004">
      <c r="A409">
        <v>907</v>
      </c>
      <c r="B409" t="s">
        <v>818</v>
      </c>
      <c r="C409" t="s">
        <v>819</v>
      </c>
      <c r="D409" t="s">
        <v>17</v>
      </c>
      <c r="E409" t="s">
        <v>18</v>
      </c>
      <c r="H409" t="s">
        <v>19</v>
      </c>
      <c r="I409" t="s">
        <v>20</v>
      </c>
      <c r="J409" t="s">
        <v>21</v>
      </c>
      <c r="K409" t="s">
        <v>28</v>
      </c>
      <c r="L409" t="s">
        <v>23</v>
      </c>
      <c r="M409" t="s">
        <v>24</v>
      </c>
      <c r="O409" t="s">
        <v>25</v>
      </c>
    </row>
    <row r="410" spans="1:15" x14ac:dyDescent="0.55000000000000004">
      <c r="A410">
        <v>908</v>
      </c>
      <c r="B410" t="s">
        <v>820</v>
      </c>
      <c r="C410" t="s">
        <v>821</v>
      </c>
      <c r="D410" t="s">
        <v>17</v>
      </c>
      <c r="E410" t="s">
        <v>18</v>
      </c>
      <c r="H410" t="s">
        <v>19</v>
      </c>
      <c r="I410" t="s">
        <v>20</v>
      </c>
      <c r="J410" t="s">
        <v>21</v>
      </c>
      <c r="K410" t="s">
        <v>36</v>
      </c>
      <c r="L410" t="s">
        <v>23</v>
      </c>
      <c r="M410" t="s">
        <v>24</v>
      </c>
      <c r="O410" t="s">
        <v>25</v>
      </c>
    </row>
    <row r="411" spans="1:15" x14ac:dyDescent="0.55000000000000004">
      <c r="A411">
        <v>909</v>
      </c>
      <c r="B411" t="s">
        <v>822</v>
      </c>
      <c r="C411" t="s">
        <v>823</v>
      </c>
      <c r="D411" t="s">
        <v>17</v>
      </c>
      <c r="E411" t="s">
        <v>18</v>
      </c>
      <c r="H411" t="s">
        <v>19</v>
      </c>
      <c r="I411" t="s">
        <v>20</v>
      </c>
      <c r="J411" t="s">
        <v>21</v>
      </c>
      <c r="K411" t="s">
        <v>28</v>
      </c>
      <c r="L411" t="s">
        <v>23</v>
      </c>
      <c r="M411" t="s">
        <v>24</v>
      </c>
      <c r="O411" t="s">
        <v>25</v>
      </c>
    </row>
    <row r="412" spans="1:15" x14ac:dyDescent="0.55000000000000004">
      <c r="A412">
        <v>910</v>
      </c>
      <c r="B412" t="s">
        <v>824</v>
      </c>
      <c r="C412" t="s">
        <v>825</v>
      </c>
      <c r="D412" t="s">
        <v>17</v>
      </c>
      <c r="E412" t="s">
        <v>18</v>
      </c>
      <c r="H412" t="s">
        <v>19</v>
      </c>
      <c r="I412" t="s">
        <v>20</v>
      </c>
      <c r="J412" t="s">
        <v>21</v>
      </c>
      <c r="K412" t="s">
        <v>36</v>
      </c>
      <c r="L412" t="s">
        <v>23</v>
      </c>
      <c r="M412" t="s">
        <v>24</v>
      </c>
      <c r="O412" t="s">
        <v>25</v>
      </c>
    </row>
    <row r="413" spans="1:15" x14ac:dyDescent="0.55000000000000004">
      <c r="A413">
        <v>911</v>
      </c>
      <c r="B413" t="s">
        <v>826</v>
      </c>
      <c r="C413" t="s">
        <v>827</v>
      </c>
      <c r="D413" t="s">
        <v>17</v>
      </c>
      <c r="E413" t="s">
        <v>18</v>
      </c>
      <c r="H413" t="s">
        <v>19</v>
      </c>
      <c r="I413" t="s">
        <v>20</v>
      </c>
      <c r="J413" t="s">
        <v>21</v>
      </c>
      <c r="K413" t="s">
        <v>36</v>
      </c>
      <c r="L413" t="s">
        <v>23</v>
      </c>
      <c r="M413" t="s">
        <v>24</v>
      </c>
      <c r="O413" t="s">
        <v>25</v>
      </c>
    </row>
    <row r="414" spans="1:15" x14ac:dyDescent="0.55000000000000004">
      <c r="A414">
        <v>912</v>
      </c>
      <c r="B414" t="s">
        <v>828</v>
      </c>
      <c r="C414" t="s">
        <v>829</v>
      </c>
      <c r="D414" t="s">
        <v>17</v>
      </c>
      <c r="E414" t="s">
        <v>18</v>
      </c>
      <c r="H414" t="s">
        <v>19</v>
      </c>
      <c r="I414" t="s">
        <v>20</v>
      </c>
      <c r="J414" t="s">
        <v>21</v>
      </c>
      <c r="K414" t="s">
        <v>36</v>
      </c>
      <c r="L414" t="s">
        <v>23</v>
      </c>
      <c r="M414" t="s">
        <v>24</v>
      </c>
      <c r="O414" t="s">
        <v>25</v>
      </c>
    </row>
    <row r="415" spans="1:15" x14ac:dyDescent="0.55000000000000004">
      <c r="A415">
        <v>913</v>
      </c>
      <c r="B415" t="s">
        <v>830</v>
      </c>
      <c r="C415" t="s">
        <v>831</v>
      </c>
      <c r="D415" t="s">
        <v>17</v>
      </c>
      <c r="E415" t="s">
        <v>18</v>
      </c>
      <c r="H415" t="s">
        <v>19</v>
      </c>
      <c r="I415" t="s">
        <v>20</v>
      </c>
      <c r="J415" t="s">
        <v>21</v>
      </c>
      <c r="K415" t="s">
        <v>28</v>
      </c>
      <c r="L415" t="s">
        <v>23</v>
      </c>
      <c r="M415" t="s">
        <v>24</v>
      </c>
      <c r="O415" t="s">
        <v>25</v>
      </c>
    </row>
    <row r="416" spans="1:15" x14ac:dyDescent="0.55000000000000004">
      <c r="A416">
        <v>914</v>
      </c>
      <c r="B416" t="s">
        <v>832</v>
      </c>
      <c r="C416" t="s">
        <v>831</v>
      </c>
      <c r="D416" t="s">
        <v>17</v>
      </c>
      <c r="E416" t="s">
        <v>18</v>
      </c>
      <c r="H416" t="s">
        <v>19</v>
      </c>
      <c r="I416" t="s">
        <v>20</v>
      </c>
      <c r="J416" t="s">
        <v>21</v>
      </c>
      <c r="K416" t="s">
        <v>69</v>
      </c>
      <c r="L416" t="s">
        <v>23</v>
      </c>
      <c r="M416" t="s">
        <v>24</v>
      </c>
      <c r="O416" t="s">
        <v>25</v>
      </c>
    </row>
    <row r="417" spans="1:15" x14ac:dyDescent="0.55000000000000004">
      <c r="A417">
        <v>915</v>
      </c>
      <c r="B417" t="s">
        <v>833</v>
      </c>
      <c r="C417" t="s">
        <v>834</v>
      </c>
      <c r="D417" t="s">
        <v>17</v>
      </c>
      <c r="E417" t="s">
        <v>18</v>
      </c>
      <c r="H417" t="s">
        <v>19</v>
      </c>
      <c r="I417" t="s">
        <v>20</v>
      </c>
      <c r="J417" t="s">
        <v>21</v>
      </c>
      <c r="K417" t="s">
        <v>28</v>
      </c>
      <c r="L417" t="s">
        <v>23</v>
      </c>
      <c r="M417" t="s">
        <v>24</v>
      </c>
      <c r="O417" t="s">
        <v>25</v>
      </c>
    </row>
    <row r="418" spans="1:15" x14ac:dyDescent="0.55000000000000004">
      <c r="A418">
        <v>916</v>
      </c>
      <c r="B418" t="s">
        <v>835</v>
      </c>
      <c r="C418" t="s">
        <v>834</v>
      </c>
      <c r="D418" t="s">
        <v>17</v>
      </c>
      <c r="E418" t="s">
        <v>18</v>
      </c>
      <c r="H418" t="s">
        <v>19</v>
      </c>
      <c r="I418" t="s">
        <v>20</v>
      </c>
      <c r="J418" t="s">
        <v>21</v>
      </c>
      <c r="K418" t="s">
        <v>69</v>
      </c>
      <c r="L418" t="s">
        <v>23</v>
      </c>
      <c r="M418" t="s">
        <v>24</v>
      </c>
      <c r="O418" t="s">
        <v>25</v>
      </c>
    </row>
    <row r="419" spans="1:15" x14ac:dyDescent="0.55000000000000004">
      <c r="A419">
        <v>917</v>
      </c>
      <c r="B419" t="s">
        <v>836</v>
      </c>
      <c r="C419" t="s">
        <v>837</v>
      </c>
      <c r="D419" t="s">
        <v>17</v>
      </c>
      <c r="E419" t="s">
        <v>18</v>
      </c>
      <c r="H419" t="s">
        <v>19</v>
      </c>
      <c r="I419" t="s">
        <v>20</v>
      </c>
      <c r="J419" t="s">
        <v>21</v>
      </c>
      <c r="K419" t="s">
        <v>28</v>
      </c>
      <c r="L419" t="s">
        <v>23</v>
      </c>
      <c r="M419" t="s">
        <v>24</v>
      </c>
      <c r="O419" t="s">
        <v>25</v>
      </c>
    </row>
    <row r="420" spans="1:15" x14ac:dyDescent="0.55000000000000004">
      <c r="A420">
        <v>918</v>
      </c>
      <c r="B420" t="s">
        <v>838</v>
      </c>
      <c r="C420" t="s">
        <v>839</v>
      </c>
      <c r="D420" t="s">
        <v>17</v>
      </c>
      <c r="E420" t="s">
        <v>18</v>
      </c>
      <c r="H420" t="s">
        <v>19</v>
      </c>
      <c r="I420" t="s">
        <v>20</v>
      </c>
      <c r="J420" t="s">
        <v>21</v>
      </c>
      <c r="K420" t="s">
        <v>28</v>
      </c>
      <c r="L420" t="s">
        <v>23</v>
      </c>
      <c r="M420" t="s">
        <v>24</v>
      </c>
      <c r="O420" t="s">
        <v>25</v>
      </c>
    </row>
    <row r="421" spans="1:15" x14ac:dyDescent="0.55000000000000004">
      <c r="A421">
        <v>919</v>
      </c>
      <c r="B421" t="s">
        <v>840</v>
      </c>
      <c r="C421" t="s">
        <v>841</v>
      </c>
      <c r="D421" t="s">
        <v>17</v>
      </c>
      <c r="E421" t="s">
        <v>18</v>
      </c>
      <c r="H421" t="s">
        <v>19</v>
      </c>
      <c r="I421" t="s">
        <v>20</v>
      </c>
      <c r="J421" t="s">
        <v>21</v>
      </c>
      <c r="K421" t="s">
        <v>28</v>
      </c>
      <c r="L421" t="s">
        <v>23</v>
      </c>
      <c r="M421" t="s">
        <v>24</v>
      </c>
      <c r="O421" t="s">
        <v>25</v>
      </c>
    </row>
    <row r="422" spans="1:15" x14ac:dyDescent="0.55000000000000004">
      <c r="A422">
        <v>920</v>
      </c>
      <c r="B422" t="s">
        <v>842</v>
      </c>
      <c r="C422" t="s">
        <v>843</v>
      </c>
      <c r="D422" t="s">
        <v>17</v>
      </c>
      <c r="E422" t="s">
        <v>18</v>
      </c>
      <c r="H422" t="s">
        <v>19</v>
      </c>
      <c r="I422" t="s">
        <v>20</v>
      </c>
      <c r="J422" t="s">
        <v>21</v>
      </c>
      <c r="K422" t="s">
        <v>28</v>
      </c>
      <c r="L422" t="s">
        <v>23</v>
      </c>
      <c r="M422" t="s">
        <v>24</v>
      </c>
      <c r="O422" t="s">
        <v>25</v>
      </c>
    </row>
    <row r="423" spans="1:15" x14ac:dyDescent="0.55000000000000004">
      <c r="A423">
        <v>921</v>
      </c>
      <c r="B423" t="s">
        <v>844</v>
      </c>
      <c r="C423" t="s">
        <v>845</v>
      </c>
      <c r="D423" t="s">
        <v>17</v>
      </c>
      <c r="E423" t="s">
        <v>18</v>
      </c>
      <c r="H423" t="s">
        <v>19</v>
      </c>
      <c r="I423" t="s">
        <v>20</v>
      </c>
      <c r="J423" t="s">
        <v>21</v>
      </c>
      <c r="K423" t="s">
        <v>28</v>
      </c>
      <c r="L423" t="s">
        <v>23</v>
      </c>
      <c r="M423" t="s">
        <v>24</v>
      </c>
      <c r="O423" t="s">
        <v>25</v>
      </c>
    </row>
    <row r="424" spans="1:15" x14ac:dyDescent="0.55000000000000004">
      <c r="A424">
        <v>922</v>
      </c>
      <c r="B424" t="s">
        <v>846</v>
      </c>
      <c r="C424" t="s">
        <v>847</v>
      </c>
      <c r="D424" t="s">
        <v>17</v>
      </c>
      <c r="E424" t="s">
        <v>18</v>
      </c>
      <c r="H424" t="s">
        <v>19</v>
      </c>
      <c r="I424" t="s">
        <v>20</v>
      </c>
      <c r="J424" t="s">
        <v>21</v>
      </c>
      <c r="K424" t="s">
        <v>28</v>
      </c>
      <c r="L424" t="s">
        <v>23</v>
      </c>
      <c r="M424" t="s">
        <v>24</v>
      </c>
      <c r="O424" t="s">
        <v>25</v>
      </c>
    </row>
    <row r="425" spans="1:15" x14ac:dyDescent="0.55000000000000004">
      <c r="A425">
        <v>923</v>
      </c>
      <c r="B425" t="s">
        <v>848</v>
      </c>
      <c r="C425" t="s">
        <v>849</v>
      </c>
      <c r="D425" t="s">
        <v>17</v>
      </c>
      <c r="E425" t="s">
        <v>18</v>
      </c>
      <c r="H425" t="s">
        <v>19</v>
      </c>
      <c r="I425" t="s">
        <v>20</v>
      </c>
      <c r="J425" t="s">
        <v>21</v>
      </c>
      <c r="K425" t="s">
        <v>28</v>
      </c>
      <c r="L425" t="s">
        <v>23</v>
      </c>
      <c r="M425" t="s">
        <v>24</v>
      </c>
      <c r="O425" t="s">
        <v>25</v>
      </c>
    </row>
    <row r="426" spans="1:15" x14ac:dyDescent="0.55000000000000004">
      <c r="A426">
        <v>924</v>
      </c>
      <c r="B426" t="s">
        <v>850</v>
      </c>
      <c r="C426" t="s">
        <v>851</v>
      </c>
      <c r="D426" t="s">
        <v>17</v>
      </c>
      <c r="E426" t="s">
        <v>18</v>
      </c>
      <c r="H426" t="s">
        <v>19</v>
      </c>
      <c r="I426" t="s">
        <v>20</v>
      </c>
      <c r="J426" t="s">
        <v>21</v>
      </c>
      <c r="K426" t="s">
        <v>28</v>
      </c>
      <c r="L426" t="s">
        <v>23</v>
      </c>
      <c r="M426" t="s">
        <v>24</v>
      </c>
      <c r="O426" t="s">
        <v>25</v>
      </c>
    </row>
    <row r="427" spans="1:15" x14ac:dyDescent="0.55000000000000004">
      <c r="A427">
        <v>925</v>
      </c>
      <c r="B427" t="s">
        <v>852</v>
      </c>
      <c r="C427" t="s">
        <v>853</v>
      </c>
      <c r="D427" t="s">
        <v>17</v>
      </c>
      <c r="E427" t="s">
        <v>18</v>
      </c>
      <c r="H427" t="s">
        <v>19</v>
      </c>
      <c r="I427" t="s">
        <v>20</v>
      </c>
      <c r="J427" t="s">
        <v>21</v>
      </c>
      <c r="K427" t="s">
        <v>28</v>
      </c>
      <c r="L427" t="s">
        <v>23</v>
      </c>
      <c r="M427" t="s">
        <v>24</v>
      </c>
      <c r="O427" t="s">
        <v>25</v>
      </c>
    </row>
    <row r="428" spans="1:15" x14ac:dyDescent="0.55000000000000004">
      <c r="A428">
        <v>926</v>
      </c>
      <c r="B428" t="s">
        <v>854</v>
      </c>
      <c r="C428" t="s">
        <v>853</v>
      </c>
      <c r="D428" t="s">
        <v>17</v>
      </c>
      <c r="E428" t="s">
        <v>18</v>
      </c>
      <c r="H428" t="s">
        <v>19</v>
      </c>
      <c r="I428" t="s">
        <v>20</v>
      </c>
      <c r="J428" t="s">
        <v>21</v>
      </c>
      <c r="K428" t="s">
        <v>69</v>
      </c>
      <c r="L428" t="s">
        <v>23</v>
      </c>
      <c r="M428" t="s">
        <v>24</v>
      </c>
      <c r="O428" t="s">
        <v>25</v>
      </c>
    </row>
    <row r="429" spans="1:15" x14ac:dyDescent="0.55000000000000004">
      <c r="A429">
        <v>927</v>
      </c>
      <c r="B429" t="s">
        <v>855</v>
      </c>
      <c r="C429" t="s">
        <v>856</v>
      </c>
      <c r="D429" t="s">
        <v>17</v>
      </c>
      <c r="E429" t="s">
        <v>18</v>
      </c>
      <c r="H429" t="s">
        <v>19</v>
      </c>
      <c r="I429" t="s">
        <v>20</v>
      </c>
      <c r="J429" t="s">
        <v>21</v>
      </c>
      <c r="K429" t="s">
        <v>28</v>
      </c>
      <c r="L429" t="s">
        <v>23</v>
      </c>
      <c r="M429" t="s">
        <v>24</v>
      </c>
      <c r="O429" t="s">
        <v>25</v>
      </c>
    </row>
    <row r="430" spans="1:15" x14ac:dyDescent="0.55000000000000004">
      <c r="A430">
        <v>928</v>
      </c>
      <c r="B430" t="s">
        <v>857</v>
      </c>
      <c r="C430" t="s">
        <v>856</v>
      </c>
      <c r="D430" t="s">
        <v>17</v>
      </c>
      <c r="E430" t="s">
        <v>18</v>
      </c>
      <c r="H430" t="s">
        <v>19</v>
      </c>
      <c r="I430" t="s">
        <v>20</v>
      </c>
      <c r="J430" t="s">
        <v>21</v>
      </c>
      <c r="K430" t="s">
        <v>69</v>
      </c>
      <c r="L430" t="s">
        <v>23</v>
      </c>
      <c r="M430" t="s">
        <v>24</v>
      </c>
      <c r="O430" t="s">
        <v>25</v>
      </c>
    </row>
    <row r="431" spans="1:15" x14ac:dyDescent="0.55000000000000004">
      <c r="A431">
        <v>929</v>
      </c>
      <c r="B431" t="s">
        <v>858</v>
      </c>
      <c r="C431" t="s">
        <v>859</v>
      </c>
      <c r="D431" t="s">
        <v>17</v>
      </c>
      <c r="E431" t="s">
        <v>18</v>
      </c>
      <c r="H431" t="s">
        <v>19</v>
      </c>
      <c r="I431" t="s">
        <v>20</v>
      </c>
      <c r="J431" t="s">
        <v>21</v>
      </c>
      <c r="K431" t="s">
        <v>28</v>
      </c>
      <c r="L431" t="s">
        <v>23</v>
      </c>
      <c r="M431" t="s">
        <v>24</v>
      </c>
      <c r="O431" t="s">
        <v>25</v>
      </c>
    </row>
    <row r="432" spans="1:15" x14ac:dyDescent="0.55000000000000004">
      <c r="A432">
        <v>930</v>
      </c>
      <c r="B432" t="s">
        <v>860</v>
      </c>
      <c r="C432" t="s">
        <v>859</v>
      </c>
      <c r="D432" t="s">
        <v>17</v>
      </c>
      <c r="E432" t="s">
        <v>18</v>
      </c>
      <c r="H432" t="s">
        <v>19</v>
      </c>
      <c r="I432" t="s">
        <v>20</v>
      </c>
      <c r="J432" t="s">
        <v>21</v>
      </c>
      <c r="K432" t="s">
        <v>69</v>
      </c>
      <c r="L432" t="s">
        <v>23</v>
      </c>
      <c r="M432" t="s">
        <v>24</v>
      </c>
      <c r="O432" t="s">
        <v>25</v>
      </c>
    </row>
    <row r="433" spans="1:15" x14ac:dyDescent="0.55000000000000004">
      <c r="A433">
        <v>931</v>
      </c>
      <c r="B433" t="s">
        <v>861</v>
      </c>
      <c r="C433" t="s">
        <v>862</v>
      </c>
      <c r="D433" t="s">
        <v>17</v>
      </c>
      <c r="E433" t="s">
        <v>18</v>
      </c>
      <c r="H433" t="s">
        <v>19</v>
      </c>
      <c r="I433" t="s">
        <v>20</v>
      </c>
      <c r="J433" t="s">
        <v>21</v>
      </c>
      <c r="K433" t="s">
        <v>28</v>
      </c>
      <c r="L433" t="s">
        <v>23</v>
      </c>
      <c r="M433" t="s">
        <v>24</v>
      </c>
      <c r="O433" t="s">
        <v>25</v>
      </c>
    </row>
    <row r="434" spans="1:15" x14ac:dyDescent="0.55000000000000004">
      <c r="A434">
        <v>932</v>
      </c>
      <c r="B434" t="s">
        <v>863</v>
      </c>
      <c r="C434" t="s">
        <v>862</v>
      </c>
      <c r="D434" t="s">
        <v>17</v>
      </c>
      <c r="E434" t="s">
        <v>18</v>
      </c>
      <c r="H434" t="s">
        <v>19</v>
      </c>
      <c r="I434" t="s">
        <v>20</v>
      </c>
      <c r="J434" t="s">
        <v>21</v>
      </c>
      <c r="K434" t="s">
        <v>69</v>
      </c>
      <c r="L434" t="s">
        <v>23</v>
      </c>
      <c r="M434" t="s">
        <v>24</v>
      </c>
      <c r="O434" t="s">
        <v>25</v>
      </c>
    </row>
    <row r="435" spans="1:15" x14ac:dyDescent="0.55000000000000004">
      <c r="A435">
        <v>933</v>
      </c>
      <c r="B435" t="s">
        <v>864</v>
      </c>
      <c r="C435" t="s">
        <v>865</v>
      </c>
      <c r="D435" t="s">
        <v>17</v>
      </c>
      <c r="E435" t="s">
        <v>18</v>
      </c>
      <c r="H435" t="s">
        <v>19</v>
      </c>
      <c r="I435" t="s">
        <v>20</v>
      </c>
      <c r="J435" t="s">
        <v>21</v>
      </c>
      <c r="K435" t="s">
        <v>28</v>
      </c>
      <c r="L435" t="s">
        <v>23</v>
      </c>
      <c r="M435" t="s">
        <v>24</v>
      </c>
      <c r="O435" t="s">
        <v>25</v>
      </c>
    </row>
    <row r="436" spans="1:15" x14ac:dyDescent="0.55000000000000004">
      <c r="A436">
        <v>934</v>
      </c>
      <c r="B436" t="s">
        <v>866</v>
      </c>
      <c r="C436" t="s">
        <v>865</v>
      </c>
      <c r="D436" t="s">
        <v>17</v>
      </c>
      <c r="E436" t="s">
        <v>18</v>
      </c>
      <c r="H436" t="s">
        <v>19</v>
      </c>
      <c r="I436" t="s">
        <v>20</v>
      </c>
      <c r="J436" t="s">
        <v>21</v>
      </c>
      <c r="K436" t="s">
        <v>69</v>
      </c>
      <c r="L436" t="s">
        <v>23</v>
      </c>
      <c r="M436" t="s">
        <v>24</v>
      </c>
      <c r="O436" t="s">
        <v>25</v>
      </c>
    </row>
    <row r="437" spans="1:15" x14ac:dyDescent="0.55000000000000004">
      <c r="A437">
        <v>935</v>
      </c>
      <c r="B437" t="s">
        <v>867</v>
      </c>
      <c r="C437" t="s">
        <v>868</v>
      </c>
      <c r="D437" t="s">
        <v>17</v>
      </c>
      <c r="E437" t="s">
        <v>18</v>
      </c>
      <c r="H437" t="s">
        <v>19</v>
      </c>
      <c r="I437" t="s">
        <v>20</v>
      </c>
      <c r="J437" t="s">
        <v>21</v>
      </c>
      <c r="K437" t="s">
        <v>28</v>
      </c>
      <c r="L437" t="s">
        <v>23</v>
      </c>
      <c r="M437" t="s">
        <v>24</v>
      </c>
      <c r="O437" t="s">
        <v>25</v>
      </c>
    </row>
    <row r="438" spans="1:15" x14ac:dyDescent="0.55000000000000004">
      <c r="A438">
        <v>936</v>
      </c>
      <c r="B438" t="s">
        <v>869</v>
      </c>
      <c r="C438" t="s">
        <v>868</v>
      </c>
      <c r="D438" t="s">
        <v>17</v>
      </c>
      <c r="E438" t="s">
        <v>18</v>
      </c>
      <c r="H438" t="s">
        <v>19</v>
      </c>
      <c r="I438" t="s">
        <v>20</v>
      </c>
      <c r="J438" t="s">
        <v>21</v>
      </c>
      <c r="K438" t="s">
        <v>69</v>
      </c>
      <c r="L438" t="s">
        <v>23</v>
      </c>
      <c r="M438" t="s">
        <v>24</v>
      </c>
      <c r="O438" t="s">
        <v>25</v>
      </c>
    </row>
    <row r="439" spans="1:15" x14ac:dyDescent="0.55000000000000004">
      <c r="A439">
        <v>937</v>
      </c>
      <c r="B439" t="s">
        <v>870</v>
      </c>
      <c r="C439" t="s">
        <v>871</v>
      </c>
      <c r="D439" t="s">
        <v>17</v>
      </c>
      <c r="E439" t="s">
        <v>18</v>
      </c>
      <c r="H439" t="s">
        <v>19</v>
      </c>
      <c r="I439" t="s">
        <v>20</v>
      </c>
      <c r="J439" t="s">
        <v>21</v>
      </c>
      <c r="K439" t="s">
        <v>28</v>
      </c>
      <c r="L439" t="s">
        <v>23</v>
      </c>
      <c r="M439" t="s">
        <v>24</v>
      </c>
      <c r="O439" t="s">
        <v>25</v>
      </c>
    </row>
    <row r="440" spans="1:15" x14ac:dyDescent="0.55000000000000004">
      <c r="A440">
        <v>938</v>
      </c>
      <c r="B440" t="s">
        <v>872</v>
      </c>
      <c r="C440" t="s">
        <v>871</v>
      </c>
      <c r="D440" t="s">
        <v>17</v>
      </c>
      <c r="E440" t="s">
        <v>18</v>
      </c>
      <c r="H440" t="s">
        <v>19</v>
      </c>
      <c r="I440" t="s">
        <v>20</v>
      </c>
      <c r="J440" t="s">
        <v>21</v>
      </c>
      <c r="K440" t="s">
        <v>69</v>
      </c>
      <c r="L440" t="s">
        <v>23</v>
      </c>
      <c r="M440" t="s">
        <v>24</v>
      </c>
      <c r="O440" t="s">
        <v>25</v>
      </c>
    </row>
    <row r="441" spans="1:15" x14ac:dyDescent="0.55000000000000004">
      <c r="A441">
        <v>939</v>
      </c>
      <c r="B441" t="s">
        <v>873</v>
      </c>
      <c r="C441" t="s">
        <v>874</v>
      </c>
      <c r="D441" t="s">
        <v>17</v>
      </c>
      <c r="E441" t="s">
        <v>18</v>
      </c>
      <c r="H441" t="s">
        <v>19</v>
      </c>
      <c r="I441" t="s">
        <v>20</v>
      </c>
      <c r="J441" t="s">
        <v>21</v>
      </c>
      <c r="K441" t="s">
        <v>28</v>
      </c>
      <c r="L441" t="s">
        <v>23</v>
      </c>
      <c r="M441" t="s">
        <v>24</v>
      </c>
      <c r="O441" t="s">
        <v>25</v>
      </c>
    </row>
    <row r="442" spans="1:15" x14ac:dyDescent="0.55000000000000004">
      <c r="A442">
        <v>940</v>
      </c>
      <c r="B442" t="s">
        <v>875</v>
      </c>
      <c r="C442" t="s">
        <v>874</v>
      </c>
      <c r="D442" t="s">
        <v>17</v>
      </c>
      <c r="E442" t="s">
        <v>18</v>
      </c>
      <c r="H442" t="s">
        <v>19</v>
      </c>
      <c r="I442" t="s">
        <v>20</v>
      </c>
      <c r="J442" t="s">
        <v>21</v>
      </c>
      <c r="K442" t="s">
        <v>69</v>
      </c>
      <c r="L442" t="s">
        <v>23</v>
      </c>
      <c r="M442" t="s">
        <v>24</v>
      </c>
      <c r="O442" t="s">
        <v>25</v>
      </c>
    </row>
    <row r="443" spans="1:15" x14ac:dyDescent="0.55000000000000004">
      <c r="A443">
        <v>941</v>
      </c>
      <c r="B443" t="s">
        <v>876</v>
      </c>
      <c r="C443" t="s">
        <v>877</v>
      </c>
      <c r="D443" t="s">
        <v>17</v>
      </c>
      <c r="E443" t="s">
        <v>18</v>
      </c>
      <c r="H443" t="s">
        <v>19</v>
      </c>
      <c r="I443" t="s">
        <v>20</v>
      </c>
      <c r="J443" t="s">
        <v>21</v>
      </c>
      <c r="K443" t="s">
        <v>28</v>
      </c>
      <c r="L443" t="s">
        <v>23</v>
      </c>
      <c r="M443" t="s">
        <v>24</v>
      </c>
      <c r="O443" t="s">
        <v>25</v>
      </c>
    </row>
    <row r="444" spans="1:15" x14ac:dyDescent="0.55000000000000004">
      <c r="A444">
        <v>942</v>
      </c>
      <c r="B444" t="s">
        <v>878</v>
      </c>
      <c r="C444" t="s">
        <v>877</v>
      </c>
      <c r="D444" t="s">
        <v>17</v>
      </c>
      <c r="E444" t="s">
        <v>18</v>
      </c>
      <c r="H444" t="s">
        <v>19</v>
      </c>
      <c r="I444" t="s">
        <v>20</v>
      </c>
      <c r="J444" t="s">
        <v>21</v>
      </c>
      <c r="K444" t="s">
        <v>69</v>
      </c>
      <c r="L444" t="s">
        <v>23</v>
      </c>
      <c r="M444" t="s">
        <v>24</v>
      </c>
      <c r="O444" t="s">
        <v>25</v>
      </c>
    </row>
    <row r="445" spans="1:15" x14ac:dyDescent="0.55000000000000004">
      <c r="A445">
        <v>943</v>
      </c>
      <c r="B445" t="s">
        <v>879</v>
      </c>
      <c r="C445" t="s">
        <v>880</v>
      </c>
      <c r="D445" t="s">
        <v>17</v>
      </c>
      <c r="E445" t="s">
        <v>18</v>
      </c>
      <c r="H445" t="s">
        <v>19</v>
      </c>
      <c r="I445" t="s">
        <v>20</v>
      </c>
      <c r="J445" t="s">
        <v>21</v>
      </c>
      <c r="K445" t="s">
        <v>28</v>
      </c>
      <c r="L445" t="s">
        <v>23</v>
      </c>
      <c r="M445" t="s">
        <v>24</v>
      </c>
      <c r="O445" t="s">
        <v>25</v>
      </c>
    </row>
    <row r="446" spans="1:15" x14ac:dyDescent="0.55000000000000004">
      <c r="A446">
        <v>944</v>
      </c>
      <c r="B446" t="s">
        <v>881</v>
      </c>
      <c r="C446" t="s">
        <v>880</v>
      </c>
      <c r="D446" t="s">
        <v>17</v>
      </c>
      <c r="E446" t="s">
        <v>18</v>
      </c>
      <c r="H446" t="s">
        <v>19</v>
      </c>
      <c r="I446" t="s">
        <v>20</v>
      </c>
      <c r="J446" t="s">
        <v>21</v>
      </c>
      <c r="K446" t="s">
        <v>69</v>
      </c>
      <c r="L446" t="s">
        <v>23</v>
      </c>
      <c r="M446" t="s">
        <v>24</v>
      </c>
      <c r="O446" t="s">
        <v>25</v>
      </c>
    </row>
    <row r="447" spans="1:15" x14ac:dyDescent="0.55000000000000004">
      <c r="A447">
        <v>945</v>
      </c>
      <c r="B447" t="s">
        <v>882</v>
      </c>
      <c r="C447" t="s">
        <v>883</v>
      </c>
      <c r="D447" t="s">
        <v>17</v>
      </c>
      <c r="E447" t="s">
        <v>18</v>
      </c>
      <c r="H447" t="s">
        <v>19</v>
      </c>
      <c r="I447" t="s">
        <v>20</v>
      </c>
      <c r="J447" t="s">
        <v>21</v>
      </c>
      <c r="K447" t="s">
        <v>28</v>
      </c>
      <c r="L447" t="s">
        <v>23</v>
      </c>
      <c r="M447" t="s">
        <v>24</v>
      </c>
      <c r="O447" t="s">
        <v>25</v>
      </c>
    </row>
    <row r="448" spans="1:15" x14ac:dyDescent="0.55000000000000004">
      <c r="A448">
        <v>946</v>
      </c>
      <c r="B448" t="s">
        <v>884</v>
      </c>
      <c r="C448" t="s">
        <v>883</v>
      </c>
      <c r="D448" t="s">
        <v>17</v>
      </c>
      <c r="E448" t="s">
        <v>18</v>
      </c>
      <c r="H448" t="s">
        <v>19</v>
      </c>
      <c r="I448" t="s">
        <v>20</v>
      </c>
      <c r="J448" t="s">
        <v>21</v>
      </c>
      <c r="K448" t="s">
        <v>69</v>
      </c>
      <c r="L448" t="s">
        <v>23</v>
      </c>
      <c r="M448" t="s">
        <v>24</v>
      </c>
      <c r="O448" t="s">
        <v>25</v>
      </c>
    </row>
    <row r="449" spans="1:15" x14ac:dyDescent="0.55000000000000004">
      <c r="A449">
        <v>947</v>
      </c>
      <c r="B449" t="s">
        <v>885</v>
      </c>
      <c r="C449" t="s">
        <v>886</v>
      </c>
      <c r="D449" t="s">
        <v>17</v>
      </c>
      <c r="E449" t="s">
        <v>18</v>
      </c>
      <c r="H449" t="s">
        <v>19</v>
      </c>
      <c r="I449" t="s">
        <v>20</v>
      </c>
      <c r="J449" t="s">
        <v>21</v>
      </c>
      <c r="K449" t="s">
        <v>28</v>
      </c>
      <c r="L449" t="s">
        <v>23</v>
      </c>
      <c r="M449" t="s">
        <v>24</v>
      </c>
      <c r="O449" t="s">
        <v>25</v>
      </c>
    </row>
    <row r="450" spans="1:15" x14ac:dyDescent="0.55000000000000004">
      <c r="A450">
        <v>948</v>
      </c>
      <c r="B450" t="s">
        <v>887</v>
      </c>
      <c r="C450" t="s">
        <v>886</v>
      </c>
      <c r="D450" t="s">
        <v>17</v>
      </c>
      <c r="E450" t="s">
        <v>18</v>
      </c>
      <c r="H450" t="s">
        <v>19</v>
      </c>
      <c r="I450" t="s">
        <v>20</v>
      </c>
      <c r="J450" t="s">
        <v>21</v>
      </c>
      <c r="K450" t="s">
        <v>69</v>
      </c>
      <c r="L450" t="s">
        <v>23</v>
      </c>
      <c r="M450" t="s">
        <v>24</v>
      </c>
      <c r="O450" t="s">
        <v>25</v>
      </c>
    </row>
    <row r="451" spans="1:15" x14ac:dyDescent="0.55000000000000004">
      <c r="A451">
        <v>949</v>
      </c>
      <c r="B451" t="s">
        <v>888</v>
      </c>
      <c r="C451" t="s">
        <v>889</v>
      </c>
      <c r="D451" t="s">
        <v>17</v>
      </c>
      <c r="E451" t="s">
        <v>18</v>
      </c>
      <c r="H451" t="s">
        <v>19</v>
      </c>
      <c r="I451" t="s">
        <v>20</v>
      </c>
      <c r="J451" t="s">
        <v>21</v>
      </c>
      <c r="K451" t="s">
        <v>28</v>
      </c>
      <c r="L451" t="s">
        <v>23</v>
      </c>
      <c r="M451" t="s">
        <v>24</v>
      </c>
      <c r="O451" t="s">
        <v>25</v>
      </c>
    </row>
    <row r="452" spans="1:15" x14ac:dyDescent="0.55000000000000004">
      <c r="A452">
        <v>950</v>
      </c>
      <c r="B452" t="s">
        <v>890</v>
      </c>
      <c r="C452" t="s">
        <v>889</v>
      </c>
      <c r="D452" t="s">
        <v>17</v>
      </c>
      <c r="E452" t="s">
        <v>18</v>
      </c>
      <c r="H452" t="s">
        <v>19</v>
      </c>
      <c r="I452" t="s">
        <v>20</v>
      </c>
      <c r="J452" t="s">
        <v>21</v>
      </c>
      <c r="K452" t="s">
        <v>69</v>
      </c>
      <c r="L452" t="s">
        <v>23</v>
      </c>
      <c r="M452" t="s">
        <v>24</v>
      </c>
      <c r="O452" t="s">
        <v>25</v>
      </c>
    </row>
    <row r="453" spans="1:15" x14ac:dyDescent="0.55000000000000004">
      <c r="A453">
        <v>951</v>
      </c>
      <c r="B453" t="s">
        <v>891</v>
      </c>
      <c r="C453" t="s">
        <v>892</v>
      </c>
      <c r="D453" t="s">
        <v>17</v>
      </c>
      <c r="E453" t="s">
        <v>18</v>
      </c>
      <c r="H453" t="s">
        <v>19</v>
      </c>
      <c r="I453" t="s">
        <v>20</v>
      </c>
      <c r="J453" t="s">
        <v>21</v>
      </c>
      <c r="K453" t="s">
        <v>28</v>
      </c>
      <c r="L453" t="s">
        <v>23</v>
      </c>
      <c r="M453" t="s">
        <v>24</v>
      </c>
      <c r="O453" t="s">
        <v>25</v>
      </c>
    </row>
    <row r="454" spans="1:15" x14ac:dyDescent="0.55000000000000004">
      <c r="A454">
        <v>952</v>
      </c>
      <c r="B454" t="s">
        <v>893</v>
      </c>
      <c r="C454" t="s">
        <v>892</v>
      </c>
      <c r="D454" t="s">
        <v>17</v>
      </c>
      <c r="E454" t="s">
        <v>18</v>
      </c>
      <c r="H454" t="s">
        <v>19</v>
      </c>
      <c r="I454" t="s">
        <v>20</v>
      </c>
      <c r="J454" t="s">
        <v>21</v>
      </c>
      <c r="K454" t="s">
        <v>69</v>
      </c>
      <c r="L454" t="s">
        <v>23</v>
      </c>
      <c r="M454" t="s">
        <v>24</v>
      </c>
      <c r="O454" t="s">
        <v>25</v>
      </c>
    </row>
    <row r="455" spans="1:15" x14ac:dyDescent="0.55000000000000004">
      <c r="A455">
        <v>953</v>
      </c>
      <c r="B455" t="s">
        <v>894</v>
      </c>
      <c r="C455" t="s">
        <v>895</v>
      </c>
      <c r="D455" t="s">
        <v>17</v>
      </c>
      <c r="E455" t="s">
        <v>18</v>
      </c>
      <c r="H455" t="s">
        <v>19</v>
      </c>
      <c r="I455" t="s">
        <v>20</v>
      </c>
      <c r="J455" t="s">
        <v>21</v>
      </c>
      <c r="K455" t="s">
        <v>28</v>
      </c>
      <c r="L455" t="s">
        <v>23</v>
      </c>
      <c r="M455" t="s">
        <v>24</v>
      </c>
      <c r="O455" t="s">
        <v>25</v>
      </c>
    </row>
    <row r="456" spans="1:15" x14ac:dyDescent="0.55000000000000004">
      <c r="A456">
        <v>954</v>
      </c>
      <c r="B456" t="s">
        <v>896</v>
      </c>
      <c r="C456" t="s">
        <v>895</v>
      </c>
      <c r="D456" t="s">
        <v>17</v>
      </c>
      <c r="E456" t="s">
        <v>18</v>
      </c>
      <c r="H456" t="s">
        <v>19</v>
      </c>
      <c r="I456" t="s">
        <v>20</v>
      </c>
      <c r="J456" t="s">
        <v>21</v>
      </c>
      <c r="K456" t="s">
        <v>69</v>
      </c>
      <c r="L456" t="s">
        <v>23</v>
      </c>
      <c r="M456" t="s">
        <v>24</v>
      </c>
      <c r="O456" t="s">
        <v>25</v>
      </c>
    </row>
    <row r="457" spans="1:15" x14ac:dyDescent="0.55000000000000004">
      <c r="A457">
        <v>955</v>
      </c>
      <c r="B457" t="s">
        <v>897</v>
      </c>
      <c r="C457" t="s">
        <v>898</v>
      </c>
      <c r="D457" t="s">
        <v>17</v>
      </c>
      <c r="E457" t="s">
        <v>18</v>
      </c>
      <c r="H457" t="s">
        <v>19</v>
      </c>
      <c r="I457" t="s">
        <v>20</v>
      </c>
      <c r="J457" t="s">
        <v>21</v>
      </c>
      <c r="K457" t="s">
        <v>28</v>
      </c>
      <c r="L457" t="s">
        <v>23</v>
      </c>
      <c r="M457" t="s">
        <v>24</v>
      </c>
      <c r="O457" t="s">
        <v>25</v>
      </c>
    </row>
    <row r="458" spans="1:15" x14ac:dyDescent="0.55000000000000004">
      <c r="A458">
        <v>956</v>
      </c>
      <c r="B458" t="s">
        <v>899</v>
      </c>
      <c r="C458" t="s">
        <v>898</v>
      </c>
      <c r="D458" t="s">
        <v>17</v>
      </c>
      <c r="E458" t="s">
        <v>18</v>
      </c>
      <c r="H458" t="s">
        <v>19</v>
      </c>
      <c r="I458" t="s">
        <v>20</v>
      </c>
      <c r="J458" t="s">
        <v>21</v>
      </c>
      <c r="K458" t="s">
        <v>69</v>
      </c>
      <c r="L458" t="s">
        <v>23</v>
      </c>
      <c r="M458" t="s">
        <v>24</v>
      </c>
      <c r="O458" t="s">
        <v>25</v>
      </c>
    </row>
    <row r="459" spans="1:15" x14ac:dyDescent="0.55000000000000004">
      <c r="A459">
        <v>957</v>
      </c>
      <c r="B459" t="s">
        <v>900</v>
      </c>
      <c r="C459" t="s">
        <v>901</v>
      </c>
      <c r="D459" t="s">
        <v>17</v>
      </c>
      <c r="E459" t="s">
        <v>18</v>
      </c>
      <c r="H459" t="s">
        <v>19</v>
      </c>
      <c r="I459" t="s">
        <v>20</v>
      </c>
      <c r="J459" t="s">
        <v>21</v>
      </c>
      <c r="K459" t="s">
        <v>28</v>
      </c>
      <c r="L459" t="s">
        <v>23</v>
      </c>
      <c r="M459" t="s">
        <v>24</v>
      </c>
      <c r="O459" t="s">
        <v>25</v>
      </c>
    </row>
    <row r="460" spans="1:15" x14ac:dyDescent="0.55000000000000004">
      <c r="A460">
        <v>958</v>
      </c>
      <c r="B460" t="s">
        <v>902</v>
      </c>
      <c r="C460" t="s">
        <v>901</v>
      </c>
      <c r="D460" t="s">
        <v>17</v>
      </c>
      <c r="E460" t="s">
        <v>18</v>
      </c>
      <c r="H460" t="s">
        <v>19</v>
      </c>
      <c r="I460" t="s">
        <v>20</v>
      </c>
      <c r="J460" t="s">
        <v>21</v>
      </c>
      <c r="K460" t="s">
        <v>69</v>
      </c>
      <c r="L460" t="s">
        <v>23</v>
      </c>
      <c r="M460" t="s">
        <v>24</v>
      </c>
      <c r="O460" t="s">
        <v>25</v>
      </c>
    </row>
    <row r="461" spans="1:15" x14ac:dyDescent="0.55000000000000004">
      <c r="A461">
        <v>959</v>
      </c>
      <c r="B461" t="s">
        <v>903</v>
      </c>
      <c r="C461" t="s">
        <v>904</v>
      </c>
      <c r="D461" t="s">
        <v>17</v>
      </c>
      <c r="E461" t="s">
        <v>18</v>
      </c>
      <c r="H461" t="s">
        <v>19</v>
      </c>
      <c r="I461" t="s">
        <v>20</v>
      </c>
      <c r="J461" t="s">
        <v>21</v>
      </c>
      <c r="K461" t="s">
        <v>28</v>
      </c>
      <c r="L461" t="s">
        <v>23</v>
      </c>
      <c r="M461" t="s">
        <v>24</v>
      </c>
      <c r="O461" t="s">
        <v>25</v>
      </c>
    </row>
    <row r="462" spans="1:15" x14ac:dyDescent="0.55000000000000004">
      <c r="A462">
        <v>960</v>
      </c>
      <c r="B462" t="s">
        <v>905</v>
      </c>
      <c r="C462" t="s">
        <v>904</v>
      </c>
      <c r="D462" t="s">
        <v>17</v>
      </c>
      <c r="E462" t="s">
        <v>18</v>
      </c>
      <c r="H462" t="s">
        <v>19</v>
      </c>
      <c r="I462" t="s">
        <v>20</v>
      </c>
      <c r="J462" t="s">
        <v>21</v>
      </c>
      <c r="K462" t="s">
        <v>69</v>
      </c>
      <c r="L462" t="s">
        <v>23</v>
      </c>
      <c r="M462" t="s">
        <v>24</v>
      </c>
      <c r="O462" t="s">
        <v>25</v>
      </c>
    </row>
    <row r="463" spans="1:15" x14ac:dyDescent="0.55000000000000004">
      <c r="A463">
        <v>961</v>
      </c>
      <c r="B463" t="s">
        <v>906</v>
      </c>
      <c r="C463" t="s">
        <v>907</v>
      </c>
      <c r="D463" t="s">
        <v>17</v>
      </c>
      <c r="E463" t="s">
        <v>18</v>
      </c>
      <c r="H463" t="s">
        <v>19</v>
      </c>
      <c r="I463" t="s">
        <v>20</v>
      </c>
      <c r="J463" t="s">
        <v>21</v>
      </c>
      <c r="K463" t="s">
        <v>28</v>
      </c>
      <c r="L463" t="s">
        <v>23</v>
      </c>
      <c r="M463" t="s">
        <v>24</v>
      </c>
      <c r="O463" t="s">
        <v>25</v>
      </c>
    </row>
    <row r="464" spans="1:15" x14ac:dyDescent="0.55000000000000004">
      <c r="A464">
        <v>962</v>
      </c>
      <c r="B464" t="s">
        <v>908</v>
      </c>
      <c r="C464" t="s">
        <v>909</v>
      </c>
      <c r="D464" t="s">
        <v>17</v>
      </c>
      <c r="E464" t="s">
        <v>18</v>
      </c>
      <c r="H464" t="s">
        <v>19</v>
      </c>
      <c r="I464" t="s">
        <v>20</v>
      </c>
      <c r="J464" t="s">
        <v>21</v>
      </c>
      <c r="K464" t="s">
        <v>28</v>
      </c>
      <c r="L464" t="s">
        <v>23</v>
      </c>
      <c r="M464" t="s">
        <v>24</v>
      </c>
      <c r="O464" t="s">
        <v>25</v>
      </c>
    </row>
    <row r="465" spans="1:15" x14ac:dyDescent="0.55000000000000004">
      <c r="A465">
        <v>963</v>
      </c>
      <c r="B465" t="s">
        <v>910</v>
      </c>
      <c r="C465" t="s">
        <v>909</v>
      </c>
      <c r="D465" t="s">
        <v>17</v>
      </c>
      <c r="E465" t="s">
        <v>18</v>
      </c>
      <c r="H465" t="s">
        <v>19</v>
      </c>
      <c r="I465" t="s">
        <v>20</v>
      </c>
      <c r="J465" t="s">
        <v>21</v>
      </c>
      <c r="K465" t="s">
        <v>69</v>
      </c>
      <c r="L465" t="s">
        <v>23</v>
      </c>
      <c r="M465" t="s">
        <v>24</v>
      </c>
      <c r="O465" t="s">
        <v>25</v>
      </c>
    </row>
    <row r="466" spans="1:15" x14ac:dyDescent="0.55000000000000004">
      <c r="A466">
        <v>964</v>
      </c>
      <c r="B466" t="s">
        <v>911</v>
      </c>
      <c r="C466" t="s">
        <v>912</v>
      </c>
      <c r="D466" t="s">
        <v>17</v>
      </c>
      <c r="E466" t="s">
        <v>18</v>
      </c>
      <c r="H466" t="s">
        <v>19</v>
      </c>
      <c r="I466" t="s">
        <v>20</v>
      </c>
      <c r="J466" t="s">
        <v>21</v>
      </c>
      <c r="K466" t="s">
        <v>28</v>
      </c>
      <c r="L466" t="s">
        <v>23</v>
      </c>
      <c r="M466" t="s">
        <v>24</v>
      </c>
      <c r="O466" t="s">
        <v>25</v>
      </c>
    </row>
    <row r="467" spans="1:15" x14ac:dyDescent="0.55000000000000004">
      <c r="A467">
        <v>965</v>
      </c>
      <c r="B467" t="s">
        <v>913</v>
      </c>
      <c r="C467" t="s">
        <v>914</v>
      </c>
      <c r="D467" t="s">
        <v>17</v>
      </c>
      <c r="E467" t="s">
        <v>18</v>
      </c>
      <c r="H467" t="s">
        <v>19</v>
      </c>
      <c r="I467" t="s">
        <v>20</v>
      </c>
      <c r="J467" t="s">
        <v>21</v>
      </c>
      <c r="K467" t="s">
        <v>28</v>
      </c>
      <c r="L467" t="s">
        <v>23</v>
      </c>
      <c r="M467" t="s">
        <v>24</v>
      </c>
      <c r="O467" t="s">
        <v>25</v>
      </c>
    </row>
    <row r="468" spans="1:15" x14ac:dyDescent="0.55000000000000004">
      <c r="A468">
        <v>966</v>
      </c>
      <c r="B468" t="s">
        <v>915</v>
      </c>
      <c r="C468" t="s">
        <v>914</v>
      </c>
      <c r="D468" t="s">
        <v>17</v>
      </c>
      <c r="E468" t="s">
        <v>18</v>
      </c>
      <c r="H468" t="s">
        <v>19</v>
      </c>
      <c r="I468" t="s">
        <v>20</v>
      </c>
      <c r="J468" t="s">
        <v>21</v>
      </c>
      <c r="K468" t="s">
        <v>57</v>
      </c>
      <c r="L468" t="s">
        <v>23</v>
      </c>
      <c r="M468" t="s">
        <v>24</v>
      </c>
      <c r="O468" t="s">
        <v>25</v>
      </c>
    </row>
    <row r="469" spans="1:15" x14ac:dyDescent="0.55000000000000004">
      <c r="A469">
        <v>967</v>
      </c>
      <c r="B469" t="s">
        <v>916</v>
      </c>
      <c r="C469" t="s">
        <v>917</v>
      </c>
      <c r="D469" t="s">
        <v>17</v>
      </c>
      <c r="E469" t="s">
        <v>18</v>
      </c>
      <c r="H469" t="s">
        <v>19</v>
      </c>
      <c r="I469" t="s">
        <v>20</v>
      </c>
      <c r="J469" t="s">
        <v>21</v>
      </c>
      <c r="K469" t="s">
        <v>28</v>
      </c>
      <c r="L469" t="s">
        <v>23</v>
      </c>
      <c r="M469" t="s">
        <v>24</v>
      </c>
      <c r="O469" t="s">
        <v>25</v>
      </c>
    </row>
    <row r="470" spans="1:15" x14ac:dyDescent="0.55000000000000004">
      <c r="A470">
        <v>968</v>
      </c>
      <c r="B470" t="s">
        <v>918</v>
      </c>
      <c r="C470" t="s">
        <v>917</v>
      </c>
      <c r="D470" t="s">
        <v>17</v>
      </c>
      <c r="E470" t="s">
        <v>18</v>
      </c>
      <c r="H470" t="s">
        <v>19</v>
      </c>
      <c r="I470" t="s">
        <v>20</v>
      </c>
      <c r="J470" t="s">
        <v>21</v>
      </c>
      <c r="K470" t="s">
        <v>57</v>
      </c>
      <c r="L470" t="s">
        <v>23</v>
      </c>
      <c r="M470" t="s">
        <v>24</v>
      </c>
      <c r="O470" t="s">
        <v>25</v>
      </c>
    </row>
    <row r="471" spans="1:15" x14ac:dyDescent="0.55000000000000004">
      <c r="A471">
        <v>969</v>
      </c>
      <c r="B471" t="s">
        <v>919</v>
      </c>
      <c r="C471" t="s">
        <v>920</v>
      </c>
      <c r="D471" t="s">
        <v>17</v>
      </c>
      <c r="E471" t="s">
        <v>18</v>
      </c>
      <c r="H471" t="s">
        <v>19</v>
      </c>
      <c r="I471" t="s">
        <v>20</v>
      </c>
      <c r="J471" t="s">
        <v>21</v>
      </c>
      <c r="K471" t="s">
        <v>76</v>
      </c>
      <c r="L471" t="s">
        <v>23</v>
      </c>
      <c r="M471" t="s">
        <v>24</v>
      </c>
      <c r="O471" t="s">
        <v>25</v>
      </c>
    </row>
    <row r="472" spans="1:15" x14ac:dyDescent="0.55000000000000004">
      <c r="A472">
        <v>970</v>
      </c>
      <c r="B472" t="s">
        <v>921</v>
      </c>
      <c r="C472" t="s">
        <v>920</v>
      </c>
      <c r="D472" t="s">
        <v>17</v>
      </c>
      <c r="E472" t="s">
        <v>18</v>
      </c>
      <c r="H472" t="s">
        <v>19</v>
      </c>
      <c r="I472" t="s">
        <v>20</v>
      </c>
      <c r="J472" t="s">
        <v>21</v>
      </c>
      <c r="K472" t="s">
        <v>82</v>
      </c>
      <c r="L472" t="s">
        <v>23</v>
      </c>
      <c r="M472" t="s">
        <v>24</v>
      </c>
      <c r="O472" t="s">
        <v>25</v>
      </c>
    </row>
    <row r="473" spans="1:15" x14ac:dyDescent="0.55000000000000004">
      <c r="A473">
        <v>971</v>
      </c>
      <c r="B473" t="s">
        <v>922</v>
      </c>
      <c r="C473" t="s">
        <v>923</v>
      </c>
      <c r="D473" t="s">
        <v>17</v>
      </c>
      <c r="E473" t="s">
        <v>18</v>
      </c>
      <c r="H473" t="s">
        <v>19</v>
      </c>
      <c r="I473" t="s">
        <v>20</v>
      </c>
      <c r="J473" t="s">
        <v>21</v>
      </c>
      <c r="K473" t="s">
        <v>36</v>
      </c>
      <c r="L473" t="s">
        <v>23</v>
      </c>
      <c r="M473" t="s">
        <v>24</v>
      </c>
      <c r="O473" t="s">
        <v>25</v>
      </c>
    </row>
    <row r="474" spans="1:15" x14ac:dyDescent="0.55000000000000004">
      <c r="A474">
        <v>972</v>
      </c>
      <c r="B474" t="s">
        <v>924</v>
      </c>
      <c r="C474" t="s">
        <v>925</v>
      </c>
      <c r="D474" t="s">
        <v>17</v>
      </c>
      <c r="E474" t="s">
        <v>18</v>
      </c>
      <c r="H474" t="s">
        <v>19</v>
      </c>
      <c r="I474" t="s">
        <v>20</v>
      </c>
      <c r="J474" t="s">
        <v>21</v>
      </c>
      <c r="K474" t="s">
        <v>36</v>
      </c>
      <c r="L474" t="s">
        <v>23</v>
      </c>
      <c r="M474" t="s">
        <v>24</v>
      </c>
      <c r="O474" t="s">
        <v>25</v>
      </c>
    </row>
    <row r="475" spans="1:15" x14ac:dyDescent="0.55000000000000004">
      <c r="A475">
        <v>973</v>
      </c>
      <c r="B475" t="s">
        <v>926</v>
      </c>
      <c r="C475" t="s">
        <v>927</v>
      </c>
      <c r="D475" t="s">
        <v>17</v>
      </c>
      <c r="E475" t="s">
        <v>18</v>
      </c>
      <c r="H475" t="s">
        <v>19</v>
      </c>
      <c r="I475" t="s">
        <v>20</v>
      </c>
      <c r="J475" t="s">
        <v>21</v>
      </c>
      <c r="K475" t="s">
        <v>28</v>
      </c>
      <c r="L475" t="s">
        <v>23</v>
      </c>
      <c r="M475" t="s">
        <v>24</v>
      </c>
      <c r="O475" t="s">
        <v>25</v>
      </c>
    </row>
    <row r="476" spans="1:15" x14ac:dyDescent="0.55000000000000004">
      <c r="A476">
        <v>974</v>
      </c>
      <c r="B476" t="s">
        <v>928</v>
      </c>
      <c r="C476" t="s">
        <v>929</v>
      </c>
      <c r="D476" t="s">
        <v>17</v>
      </c>
      <c r="E476" t="s">
        <v>18</v>
      </c>
      <c r="H476" t="s">
        <v>19</v>
      </c>
      <c r="I476" t="s">
        <v>20</v>
      </c>
      <c r="J476" t="s">
        <v>21</v>
      </c>
      <c r="K476" t="s">
        <v>28</v>
      </c>
      <c r="L476" t="s">
        <v>23</v>
      </c>
      <c r="M476" t="s">
        <v>24</v>
      </c>
      <c r="O476" t="s">
        <v>25</v>
      </c>
    </row>
    <row r="477" spans="1:15" x14ac:dyDescent="0.55000000000000004">
      <c r="A477">
        <v>975</v>
      </c>
      <c r="B477" t="s">
        <v>930</v>
      </c>
      <c r="C477" t="s">
        <v>931</v>
      </c>
      <c r="D477" t="s">
        <v>17</v>
      </c>
      <c r="E477" t="s">
        <v>18</v>
      </c>
      <c r="H477" t="s">
        <v>19</v>
      </c>
      <c r="I477" t="s">
        <v>20</v>
      </c>
      <c r="J477" t="s">
        <v>21</v>
      </c>
      <c r="K477" t="s">
        <v>28</v>
      </c>
      <c r="L477" t="s">
        <v>23</v>
      </c>
      <c r="M477" t="s">
        <v>24</v>
      </c>
      <c r="O477" t="s">
        <v>25</v>
      </c>
    </row>
    <row r="478" spans="1:15" x14ac:dyDescent="0.55000000000000004">
      <c r="A478">
        <v>976</v>
      </c>
      <c r="B478" t="s">
        <v>932</v>
      </c>
      <c r="C478" t="s">
        <v>933</v>
      </c>
      <c r="D478" t="s">
        <v>17</v>
      </c>
      <c r="E478" t="s">
        <v>18</v>
      </c>
      <c r="H478" t="s">
        <v>19</v>
      </c>
      <c r="I478" t="s">
        <v>20</v>
      </c>
      <c r="J478" t="s">
        <v>21</v>
      </c>
      <c r="K478" t="s">
        <v>28</v>
      </c>
      <c r="L478" t="s">
        <v>23</v>
      </c>
      <c r="M478" t="s">
        <v>24</v>
      </c>
      <c r="O478" t="s">
        <v>25</v>
      </c>
    </row>
    <row r="479" spans="1:15" x14ac:dyDescent="0.55000000000000004">
      <c r="A479">
        <v>977</v>
      </c>
      <c r="B479" t="s">
        <v>934</v>
      </c>
      <c r="C479" t="s">
        <v>935</v>
      </c>
      <c r="D479" t="s">
        <v>17</v>
      </c>
      <c r="E479" t="s">
        <v>18</v>
      </c>
      <c r="H479" t="s">
        <v>19</v>
      </c>
      <c r="I479" t="s">
        <v>20</v>
      </c>
      <c r="J479" t="s">
        <v>21</v>
      </c>
      <c r="K479" t="s">
        <v>28</v>
      </c>
      <c r="L479" t="s">
        <v>23</v>
      </c>
      <c r="M479" t="s">
        <v>24</v>
      </c>
      <c r="O479" t="s">
        <v>25</v>
      </c>
    </row>
    <row r="480" spans="1:15" x14ac:dyDescent="0.55000000000000004">
      <c r="A480">
        <v>978</v>
      </c>
      <c r="B480" t="s">
        <v>936</v>
      </c>
      <c r="C480" t="s">
        <v>937</v>
      </c>
      <c r="D480" t="s">
        <v>17</v>
      </c>
      <c r="E480" t="s">
        <v>18</v>
      </c>
      <c r="H480" t="s">
        <v>19</v>
      </c>
      <c r="I480" t="s">
        <v>20</v>
      </c>
      <c r="J480" t="s">
        <v>21</v>
      </c>
      <c r="K480" t="s">
        <v>28</v>
      </c>
      <c r="L480" t="s">
        <v>23</v>
      </c>
      <c r="M480" t="s">
        <v>24</v>
      </c>
      <c r="O480" t="s">
        <v>25</v>
      </c>
    </row>
    <row r="481" spans="1:15" x14ac:dyDescent="0.55000000000000004">
      <c r="A481">
        <v>979</v>
      </c>
      <c r="B481" t="s">
        <v>938</v>
      </c>
      <c r="C481" t="s">
        <v>937</v>
      </c>
      <c r="D481" t="s">
        <v>17</v>
      </c>
      <c r="E481" t="s">
        <v>18</v>
      </c>
      <c r="H481" t="s">
        <v>19</v>
      </c>
      <c r="I481" t="s">
        <v>20</v>
      </c>
      <c r="J481" t="s">
        <v>21</v>
      </c>
      <c r="K481" t="s">
        <v>82</v>
      </c>
      <c r="L481" t="s">
        <v>23</v>
      </c>
      <c r="M481" t="s">
        <v>24</v>
      </c>
      <c r="O481" t="s">
        <v>25</v>
      </c>
    </row>
    <row r="482" spans="1:15" x14ac:dyDescent="0.55000000000000004">
      <c r="A482">
        <v>980</v>
      </c>
      <c r="B482" t="s">
        <v>939</v>
      </c>
      <c r="C482" t="s">
        <v>940</v>
      </c>
      <c r="D482" t="s">
        <v>17</v>
      </c>
      <c r="E482" t="s">
        <v>18</v>
      </c>
      <c r="H482" t="s">
        <v>19</v>
      </c>
      <c r="I482" t="s">
        <v>20</v>
      </c>
      <c r="J482" t="s">
        <v>21</v>
      </c>
      <c r="K482" t="s">
        <v>76</v>
      </c>
      <c r="L482" t="s">
        <v>23</v>
      </c>
      <c r="M482" t="s">
        <v>24</v>
      </c>
      <c r="O482" t="s">
        <v>25</v>
      </c>
    </row>
    <row r="483" spans="1:15" x14ac:dyDescent="0.55000000000000004">
      <c r="A483">
        <v>981</v>
      </c>
      <c r="B483" t="s">
        <v>941</v>
      </c>
      <c r="C483" t="s">
        <v>942</v>
      </c>
      <c r="D483" t="s">
        <v>17</v>
      </c>
      <c r="E483" t="s">
        <v>18</v>
      </c>
      <c r="H483" t="s">
        <v>19</v>
      </c>
      <c r="I483" t="s">
        <v>20</v>
      </c>
      <c r="J483" t="s">
        <v>21</v>
      </c>
      <c r="K483" t="s">
        <v>28</v>
      </c>
      <c r="L483" t="s">
        <v>23</v>
      </c>
      <c r="M483" t="s">
        <v>24</v>
      </c>
      <c r="O483" t="s">
        <v>25</v>
      </c>
    </row>
    <row r="484" spans="1:15" x14ac:dyDescent="0.55000000000000004">
      <c r="A484">
        <v>982</v>
      </c>
      <c r="B484" t="s">
        <v>943</v>
      </c>
      <c r="C484" t="s">
        <v>944</v>
      </c>
      <c r="D484" t="s">
        <v>17</v>
      </c>
      <c r="E484" t="s">
        <v>18</v>
      </c>
      <c r="H484" t="s">
        <v>19</v>
      </c>
      <c r="I484" t="s">
        <v>20</v>
      </c>
      <c r="J484" t="s">
        <v>21</v>
      </c>
      <c r="K484" t="s">
        <v>82</v>
      </c>
      <c r="L484" t="s">
        <v>23</v>
      </c>
      <c r="M484" t="s">
        <v>24</v>
      </c>
      <c r="O484" t="s">
        <v>25</v>
      </c>
    </row>
    <row r="485" spans="1:15" x14ac:dyDescent="0.55000000000000004">
      <c r="A485">
        <v>983</v>
      </c>
      <c r="B485" t="s">
        <v>945</v>
      </c>
      <c r="C485" t="s">
        <v>946</v>
      </c>
      <c r="D485" t="s">
        <v>17</v>
      </c>
      <c r="E485" t="s">
        <v>18</v>
      </c>
      <c r="H485" t="s">
        <v>19</v>
      </c>
      <c r="I485" t="s">
        <v>20</v>
      </c>
      <c r="J485" t="s">
        <v>21</v>
      </c>
      <c r="K485" t="s">
        <v>36</v>
      </c>
      <c r="L485" t="s">
        <v>23</v>
      </c>
      <c r="M485" t="s">
        <v>24</v>
      </c>
      <c r="O485" t="s">
        <v>25</v>
      </c>
    </row>
    <row r="486" spans="1:15" x14ac:dyDescent="0.55000000000000004">
      <c r="A486">
        <v>984</v>
      </c>
      <c r="B486" t="s">
        <v>947</v>
      </c>
      <c r="C486" t="s">
        <v>948</v>
      </c>
      <c r="D486" t="s">
        <v>17</v>
      </c>
      <c r="E486" t="s">
        <v>18</v>
      </c>
      <c r="H486" t="s">
        <v>19</v>
      </c>
      <c r="I486" t="s">
        <v>20</v>
      </c>
      <c r="J486" t="s">
        <v>21</v>
      </c>
      <c r="K486" t="s">
        <v>36</v>
      </c>
      <c r="L486" t="s">
        <v>23</v>
      </c>
      <c r="M486" t="s">
        <v>24</v>
      </c>
      <c r="O486" t="s">
        <v>25</v>
      </c>
    </row>
    <row r="487" spans="1:15" x14ac:dyDescent="0.55000000000000004">
      <c r="A487">
        <v>985</v>
      </c>
      <c r="B487" t="s">
        <v>949</v>
      </c>
      <c r="C487" t="s">
        <v>950</v>
      </c>
      <c r="D487" t="s">
        <v>17</v>
      </c>
      <c r="E487" t="s">
        <v>18</v>
      </c>
      <c r="H487" t="s">
        <v>19</v>
      </c>
      <c r="I487" t="s">
        <v>20</v>
      </c>
      <c r="J487" t="s">
        <v>21</v>
      </c>
      <c r="K487" t="s">
        <v>36</v>
      </c>
      <c r="L487" t="s">
        <v>23</v>
      </c>
      <c r="M487" t="s">
        <v>24</v>
      </c>
      <c r="O487" t="s">
        <v>25</v>
      </c>
    </row>
    <row r="488" spans="1:15" x14ac:dyDescent="0.55000000000000004">
      <c r="A488">
        <v>986</v>
      </c>
      <c r="B488" t="s">
        <v>951</v>
      </c>
      <c r="C488" t="s">
        <v>952</v>
      </c>
      <c r="D488" t="s">
        <v>17</v>
      </c>
      <c r="E488" t="s">
        <v>18</v>
      </c>
      <c r="H488" t="s">
        <v>19</v>
      </c>
      <c r="I488" t="s">
        <v>20</v>
      </c>
      <c r="J488" t="s">
        <v>21</v>
      </c>
      <c r="K488" t="s">
        <v>330</v>
      </c>
      <c r="L488" t="s">
        <v>23</v>
      </c>
      <c r="M488" t="s">
        <v>24</v>
      </c>
      <c r="O488" t="s">
        <v>25</v>
      </c>
    </row>
    <row r="489" spans="1:15" x14ac:dyDescent="0.55000000000000004">
      <c r="A489">
        <v>987</v>
      </c>
      <c r="B489" t="s">
        <v>953</v>
      </c>
      <c r="C489" t="s">
        <v>952</v>
      </c>
      <c r="D489" t="s">
        <v>17</v>
      </c>
      <c r="E489" t="s">
        <v>18</v>
      </c>
      <c r="H489" t="s">
        <v>19</v>
      </c>
      <c r="I489" t="s">
        <v>20</v>
      </c>
      <c r="J489" t="s">
        <v>21</v>
      </c>
      <c r="K489" t="s">
        <v>330</v>
      </c>
      <c r="L489" t="s">
        <v>23</v>
      </c>
      <c r="M489" t="s">
        <v>24</v>
      </c>
      <c r="O489" t="s">
        <v>25</v>
      </c>
    </row>
    <row r="490" spans="1:15" x14ac:dyDescent="0.55000000000000004">
      <c r="A490">
        <v>988</v>
      </c>
      <c r="B490" t="s">
        <v>954</v>
      </c>
      <c r="C490" t="s">
        <v>952</v>
      </c>
      <c r="D490" t="s">
        <v>17</v>
      </c>
      <c r="E490" t="s">
        <v>18</v>
      </c>
      <c r="H490" t="s">
        <v>19</v>
      </c>
      <c r="I490" t="s">
        <v>20</v>
      </c>
      <c r="J490" t="s">
        <v>21</v>
      </c>
      <c r="K490" t="s">
        <v>330</v>
      </c>
      <c r="L490" t="s">
        <v>23</v>
      </c>
      <c r="M490" t="s">
        <v>24</v>
      </c>
      <c r="O490" t="s">
        <v>25</v>
      </c>
    </row>
    <row r="491" spans="1:15" x14ac:dyDescent="0.55000000000000004">
      <c r="A491">
        <v>989</v>
      </c>
      <c r="B491" t="s">
        <v>955</v>
      </c>
      <c r="C491" t="s">
        <v>952</v>
      </c>
      <c r="D491" t="s">
        <v>17</v>
      </c>
      <c r="E491" t="s">
        <v>18</v>
      </c>
      <c r="H491" t="s">
        <v>19</v>
      </c>
      <c r="I491" t="s">
        <v>20</v>
      </c>
      <c r="J491" t="s">
        <v>21</v>
      </c>
      <c r="K491" t="s">
        <v>330</v>
      </c>
      <c r="L491" t="s">
        <v>23</v>
      </c>
      <c r="M491" t="s">
        <v>24</v>
      </c>
      <c r="O491" t="s">
        <v>25</v>
      </c>
    </row>
    <row r="492" spans="1:15" x14ac:dyDescent="0.55000000000000004">
      <c r="A492">
        <v>990</v>
      </c>
      <c r="B492" t="s">
        <v>956</v>
      </c>
      <c r="C492" t="s">
        <v>952</v>
      </c>
      <c r="D492" t="s">
        <v>17</v>
      </c>
      <c r="E492" t="s">
        <v>18</v>
      </c>
      <c r="H492" t="s">
        <v>19</v>
      </c>
      <c r="I492" t="s">
        <v>20</v>
      </c>
      <c r="J492" t="s">
        <v>21</v>
      </c>
      <c r="K492" t="s">
        <v>330</v>
      </c>
      <c r="L492" t="s">
        <v>23</v>
      </c>
      <c r="M492" t="s">
        <v>24</v>
      </c>
      <c r="O492" t="s">
        <v>25</v>
      </c>
    </row>
    <row r="493" spans="1:15" x14ac:dyDescent="0.55000000000000004">
      <c r="A493">
        <v>991</v>
      </c>
      <c r="B493" t="s">
        <v>957</v>
      </c>
      <c r="C493" t="s">
        <v>952</v>
      </c>
      <c r="D493" t="s">
        <v>17</v>
      </c>
      <c r="E493" t="s">
        <v>18</v>
      </c>
      <c r="H493" t="s">
        <v>19</v>
      </c>
      <c r="I493" t="s">
        <v>20</v>
      </c>
      <c r="J493" t="s">
        <v>21</v>
      </c>
      <c r="K493" t="s">
        <v>330</v>
      </c>
      <c r="L493" t="s">
        <v>23</v>
      </c>
      <c r="M493" t="s">
        <v>24</v>
      </c>
      <c r="O493" t="s">
        <v>25</v>
      </c>
    </row>
    <row r="494" spans="1:15" x14ac:dyDescent="0.55000000000000004">
      <c r="A494">
        <v>992</v>
      </c>
      <c r="B494" t="s">
        <v>958</v>
      </c>
      <c r="C494" t="s">
        <v>959</v>
      </c>
      <c r="D494" t="s">
        <v>17</v>
      </c>
      <c r="E494" t="s">
        <v>18</v>
      </c>
      <c r="H494" t="s">
        <v>19</v>
      </c>
      <c r="I494" t="s">
        <v>20</v>
      </c>
      <c r="J494" t="s">
        <v>21</v>
      </c>
      <c r="K494" t="s">
        <v>28</v>
      </c>
      <c r="L494" t="s">
        <v>23</v>
      </c>
      <c r="M494" t="s">
        <v>24</v>
      </c>
      <c r="O494" t="s">
        <v>25</v>
      </c>
    </row>
    <row r="495" spans="1:15" x14ac:dyDescent="0.55000000000000004">
      <c r="A495">
        <v>993</v>
      </c>
      <c r="B495" t="s">
        <v>960</v>
      </c>
      <c r="C495" t="s">
        <v>959</v>
      </c>
      <c r="D495" t="s">
        <v>17</v>
      </c>
      <c r="E495" t="s">
        <v>18</v>
      </c>
      <c r="H495" t="s">
        <v>19</v>
      </c>
      <c r="I495" t="s">
        <v>20</v>
      </c>
      <c r="J495" t="s">
        <v>21</v>
      </c>
      <c r="K495" t="s">
        <v>69</v>
      </c>
      <c r="L495" t="s">
        <v>23</v>
      </c>
      <c r="M495" t="s">
        <v>24</v>
      </c>
      <c r="O495" t="s">
        <v>25</v>
      </c>
    </row>
    <row r="496" spans="1:15" x14ac:dyDescent="0.55000000000000004">
      <c r="A496">
        <v>994</v>
      </c>
      <c r="B496" t="s">
        <v>961</v>
      </c>
      <c r="C496" t="s">
        <v>962</v>
      </c>
      <c r="D496" t="s">
        <v>17</v>
      </c>
      <c r="E496" t="s">
        <v>18</v>
      </c>
      <c r="H496" t="s">
        <v>19</v>
      </c>
      <c r="I496" t="s">
        <v>20</v>
      </c>
      <c r="J496" t="s">
        <v>21</v>
      </c>
      <c r="K496" t="s">
        <v>28</v>
      </c>
      <c r="L496" t="s">
        <v>23</v>
      </c>
      <c r="M496" t="s">
        <v>24</v>
      </c>
      <c r="O496" t="s">
        <v>25</v>
      </c>
    </row>
    <row r="497" spans="1:15" x14ac:dyDescent="0.55000000000000004">
      <c r="A497">
        <v>995</v>
      </c>
      <c r="B497" t="s">
        <v>963</v>
      </c>
      <c r="C497" t="s">
        <v>964</v>
      </c>
      <c r="D497" t="s">
        <v>17</v>
      </c>
      <c r="E497" t="s">
        <v>18</v>
      </c>
      <c r="H497" t="s">
        <v>19</v>
      </c>
      <c r="I497" t="s">
        <v>20</v>
      </c>
      <c r="J497" t="s">
        <v>21</v>
      </c>
      <c r="K497" t="s">
        <v>965</v>
      </c>
      <c r="L497" t="s">
        <v>23</v>
      </c>
      <c r="M497" t="s">
        <v>24</v>
      </c>
      <c r="O497" t="s">
        <v>25</v>
      </c>
    </row>
    <row r="498" spans="1:15" x14ac:dyDescent="0.55000000000000004">
      <c r="A498">
        <v>996</v>
      </c>
      <c r="B498" t="s">
        <v>966</v>
      </c>
      <c r="C498" t="s">
        <v>964</v>
      </c>
      <c r="D498" t="s">
        <v>17</v>
      </c>
      <c r="E498" t="s">
        <v>18</v>
      </c>
      <c r="H498" t="s">
        <v>19</v>
      </c>
      <c r="I498" t="s">
        <v>20</v>
      </c>
      <c r="J498" t="s">
        <v>21</v>
      </c>
      <c r="K498" t="s">
        <v>28</v>
      </c>
      <c r="L498" t="s">
        <v>23</v>
      </c>
      <c r="M498" t="s">
        <v>24</v>
      </c>
      <c r="O498" t="s">
        <v>25</v>
      </c>
    </row>
    <row r="499" spans="1:15" x14ac:dyDescent="0.55000000000000004">
      <c r="A499">
        <v>997</v>
      </c>
      <c r="B499" t="s">
        <v>967</v>
      </c>
      <c r="C499" t="s">
        <v>968</v>
      </c>
      <c r="D499" t="s">
        <v>17</v>
      </c>
      <c r="E499" t="s">
        <v>18</v>
      </c>
      <c r="H499" t="s">
        <v>19</v>
      </c>
      <c r="I499" t="s">
        <v>20</v>
      </c>
      <c r="J499" t="s">
        <v>21</v>
      </c>
      <c r="K499" t="s">
        <v>965</v>
      </c>
      <c r="L499" t="s">
        <v>23</v>
      </c>
      <c r="M499" t="s">
        <v>24</v>
      </c>
      <c r="O499" t="s">
        <v>25</v>
      </c>
    </row>
    <row r="500" spans="1:15" x14ac:dyDescent="0.55000000000000004">
      <c r="A500">
        <v>998</v>
      </c>
      <c r="B500" t="s">
        <v>969</v>
      </c>
      <c r="C500" t="s">
        <v>968</v>
      </c>
      <c r="D500" t="s">
        <v>17</v>
      </c>
      <c r="E500" t="s">
        <v>18</v>
      </c>
      <c r="H500" t="s">
        <v>19</v>
      </c>
      <c r="I500" t="s">
        <v>20</v>
      </c>
      <c r="J500" t="s">
        <v>21</v>
      </c>
      <c r="K500" t="s">
        <v>28</v>
      </c>
      <c r="L500" t="s">
        <v>23</v>
      </c>
      <c r="M500" t="s">
        <v>24</v>
      </c>
      <c r="O500" t="s">
        <v>25</v>
      </c>
    </row>
    <row r="501" spans="1:15" x14ac:dyDescent="0.55000000000000004">
      <c r="A501">
        <v>999</v>
      </c>
      <c r="B501" t="s">
        <v>970</v>
      </c>
      <c r="C501" t="s">
        <v>971</v>
      </c>
      <c r="D501" t="s">
        <v>17</v>
      </c>
      <c r="E501" t="s">
        <v>18</v>
      </c>
      <c r="H501" t="s">
        <v>19</v>
      </c>
      <c r="I501" t="s">
        <v>20</v>
      </c>
      <c r="J501" t="s">
        <v>21</v>
      </c>
      <c r="K501" t="s">
        <v>965</v>
      </c>
      <c r="L501" t="s">
        <v>23</v>
      </c>
      <c r="M501" t="s">
        <v>24</v>
      </c>
      <c r="O501" t="s">
        <v>25</v>
      </c>
    </row>
    <row r="502" spans="1:15" x14ac:dyDescent="0.55000000000000004">
      <c r="A502">
        <v>1000</v>
      </c>
      <c r="B502" t="s">
        <v>972</v>
      </c>
      <c r="C502" t="s">
        <v>971</v>
      </c>
      <c r="D502" t="s">
        <v>17</v>
      </c>
      <c r="E502" t="s">
        <v>18</v>
      </c>
      <c r="H502" t="s">
        <v>19</v>
      </c>
      <c r="I502" t="s">
        <v>20</v>
      </c>
      <c r="J502" t="s">
        <v>21</v>
      </c>
      <c r="K502" t="s">
        <v>28</v>
      </c>
      <c r="L502" t="s">
        <v>23</v>
      </c>
      <c r="M502" t="s">
        <v>24</v>
      </c>
      <c r="O502" t="s">
        <v>25</v>
      </c>
    </row>
    <row r="503" spans="1:15" x14ac:dyDescent="0.55000000000000004">
      <c r="A503">
        <v>1001</v>
      </c>
      <c r="B503" t="s">
        <v>973</v>
      </c>
      <c r="C503" t="s">
        <v>974</v>
      </c>
      <c r="D503" t="s">
        <v>17</v>
      </c>
      <c r="E503" t="s">
        <v>18</v>
      </c>
      <c r="H503" t="s">
        <v>19</v>
      </c>
      <c r="I503" t="s">
        <v>20</v>
      </c>
      <c r="J503" t="s">
        <v>21</v>
      </c>
      <c r="K503" t="s">
        <v>36</v>
      </c>
      <c r="L503" t="s">
        <v>23</v>
      </c>
      <c r="M503" t="s">
        <v>24</v>
      </c>
      <c r="O503" t="s">
        <v>25</v>
      </c>
    </row>
    <row r="504" spans="1:15" x14ac:dyDescent="0.55000000000000004">
      <c r="A504">
        <v>1002</v>
      </c>
      <c r="B504" t="s">
        <v>975</v>
      </c>
      <c r="C504" t="s">
        <v>976</v>
      </c>
      <c r="D504" t="s">
        <v>17</v>
      </c>
      <c r="E504" t="s">
        <v>18</v>
      </c>
      <c r="H504" t="s">
        <v>19</v>
      </c>
      <c r="I504" t="s">
        <v>20</v>
      </c>
      <c r="J504" t="s">
        <v>21</v>
      </c>
      <c r="K504" t="s">
        <v>36</v>
      </c>
      <c r="L504" t="s">
        <v>23</v>
      </c>
      <c r="M504" t="s">
        <v>24</v>
      </c>
      <c r="O504" t="s">
        <v>25</v>
      </c>
    </row>
    <row r="505" spans="1:15" x14ac:dyDescent="0.55000000000000004">
      <c r="A505">
        <v>1003</v>
      </c>
      <c r="B505" t="s">
        <v>977</v>
      </c>
      <c r="C505" t="s">
        <v>978</v>
      </c>
      <c r="D505" t="s">
        <v>17</v>
      </c>
      <c r="E505" t="s">
        <v>18</v>
      </c>
      <c r="H505" t="s">
        <v>19</v>
      </c>
      <c r="I505" t="s">
        <v>20</v>
      </c>
      <c r="J505" t="s">
        <v>21</v>
      </c>
      <c r="K505" t="s">
        <v>28</v>
      </c>
      <c r="L505" t="s">
        <v>23</v>
      </c>
      <c r="M505" t="s">
        <v>24</v>
      </c>
      <c r="O505" t="s">
        <v>25</v>
      </c>
    </row>
    <row r="506" spans="1:15" x14ac:dyDescent="0.55000000000000004">
      <c r="A506">
        <v>1004</v>
      </c>
      <c r="B506" t="s">
        <v>979</v>
      </c>
      <c r="C506" t="s">
        <v>980</v>
      </c>
      <c r="D506" t="s">
        <v>17</v>
      </c>
      <c r="E506" t="s">
        <v>18</v>
      </c>
      <c r="H506" t="s">
        <v>19</v>
      </c>
      <c r="I506" t="s">
        <v>20</v>
      </c>
      <c r="J506" t="s">
        <v>21</v>
      </c>
      <c r="K506" t="s">
        <v>28</v>
      </c>
      <c r="L506" t="s">
        <v>23</v>
      </c>
      <c r="M506" t="s">
        <v>24</v>
      </c>
      <c r="O506" t="s">
        <v>25</v>
      </c>
    </row>
    <row r="507" spans="1:15" x14ac:dyDescent="0.55000000000000004">
      <c r="A507">
        <v>1005</v>
      </c>
      <c r="B507" t="s">
        <v>981</v>
      </c>
      <c r="C507" t="s">
        <v>982</v>
      </c>
      <c r="D507" t="s">
        <v>17</v>
      </c>
      <c r="E507" t="s">
        <v>18</v>
      </c>
      <c r="H507" t="s">
        <v>19</v>
      </c>
      <c r="I507" t="s">
        <v>20</v>
      </c>
      <c r="J507" t="s">
        <v>21</v>
      </c>
      <c r="K507" t="s">
        <v>220</v>
      </c>
      <c r="L507" t="s">
        <v>23</v>
      </c>
      <c r="M507" t="s">
        <v>24</v>
      </c>
      <c r="O507" t="s">
        <v>25</v>
      </c>
    </row>
    <row r="508" spans="1:15" x14ac:dyDescent="0.55000000000000004">
      <c r="A508">
        <v>1006</v>
      </c>
      <c r="B508" t="s">
        <v>983</v>
      </c>
      <c r="C508" t="s">
        <v>982</v>
      </c>
      <c r="D508" t="s">
        <v>17</v>
      </c>
      <c r="E508" t="s">
        <v>18</v>
      </c>
      <c r="H508" t="s">
        <v>19</v>
      </c>
      <c r="I508" t="s">
        <v>20</v>
      </c>
      <c r="J508" t="s">
        <v>21</v>
      </c>
      <c r="K508" t="s">
        <v>28</v>
      </c>
      <c r="L508" t="s">
        <v>23</v>
      </c>
      <c r="M508" t="s">
        <v>24</v>
      </c>
      <c r="O508" t="s">
        <v>25</v>
      </c>
    </row>
    <row r="509" spans="1:15" x14ac:dyDescent="0.55000000000000004">
      <c r="A509">
        <v>1007</v>
      </c>
      <c r="B509" t="s">
        <v>984</v>
      </c>
      <c r="C509" t="s">
        <v>985</v>
      </c>
      <c r="D509" t="s">
        <v>17</v>
      </c>
      <c r="E509" t="s">
        <v>18</v>
      </c>
      <c r="H509" t="s">
        <v>19</v>
      </c>
      <c r="I509" t="s">
        <v>20</v>
      </c>
      <c r="J509" t="s">
        <v>21</v>
      </c>
      <c r="K509" t="s">
        <v>220</v>
      </c>
      <c r="L509" t="s">
        <v>23</v>
      </c>
      <c r="M509" t="s">
        <v>24</v>
      </c>
      <c r="O509" t="s">
        <v>25</v>
      </c>
    </row>
    <row r="510" spans="1:15" x14ac:dyDescent="0.55000000000000004">
      <c r="A510">
        <v>1008</v>
      </c>
      <c r="B510" t="s">
        <v>986</v>
      </c>
      <c r="C510" t="s">
        <v>985</v>
      </c>
      <c r="D510" t="s">
        <v>17</v>
      </c>
      <c r="E510" t="s">
        <v>18</v>
      </c>
      <c r="H510" t="s">
        <v>19</v>
      </c>
      <c r="I510" t="s">
        <v>20</v>
      </c>
      <c r="J510" t="s">
        <v>21</v>
      </c>
      <c r="K510" t="s">
        <v>28</v>
      </c>
      <c r="L510" t="s">
        <v>23</v>
      </c>
      <c r="M510" t="s">
        <v>24</v>
      </c>
      <c r="O510" t="s">
        <v>25</v>
      </c>
    </row>
    <row r="511" spans="1:15" x14ac:dyDescent="0.55000000000000004">
      <c r="A511">
        <v>1009</v>
      </c>
      <c r="B511" t="s">
        <v>987</v>
      </c>
      <c r="C511" t="s">
        <v>988</v>
      </c>
      <c r="D511" t="s">
        <v>17</v>
      </c>
      <c r="E511" t="s">
        <v>18</v>
      </c>
      <c r="H511" t="s">
        <v>19</v>
      </c>
      <c r="I511" t="s">
        <v>20</v>
      </c>
      <c r="J511" t="s">
        <v>21</v>
      </c>
      <c r="K511" t="s">
        <v>220</v>
      </c>
      <c r="L511" t="s">
        <v>23</v>
      </c>
      <c r="M511" t="s">
        <v>24</v>
      </c>
      <c r="O511" t="s">
        <v>25</v>
      </c>
    </row>
    <row r="512" spans="1:15" x14ac:dyDescent="0.55000000000000004">
      <c r="A512">
        <v>1010</v>
      </c>
      <c r="B512" t="s">
        <v>989</v>
      </c>
      <c r="C512" t="s">
        <v>988</v>
      </c>
      <c r="D512" t="s">
        <v>17</v>
      </c>
      <c r="E512" t="s">
        <v>18</v>
      </c>
      <c r="H512" t="s">
        <v>19</v>
      </c>
      <c r="I512" t="s">
        <v>20</v>
      </c>
      <c r="J512" t="s">
        <v>21</v>
      </c>
      <c r="K512" t="s">
        <v>28</v>
      </c>
      <c r="L512" t="s">
        <v>23</v>
      </c>
      <c r="M512" t="s">
        <v>24</v>
      </c>
      <c r="O512" t="s">
        <v>25</v>
      </c>
    </row>
    <row r="513" spans="1:15" x14ac:dyDescent="0.55000000000000004">
      <c r="A513">
        <v>1011</v>
      </c>
      <c r="B513" t="s">
        <v>990</v>
      </c>
      <c r="C513" t="s">
        <v>991</v>
      </c>
      <c r="D513" t="s">
        <v>17</v>
      </c>
      <c r="E513" t="s">
        <v>18</v>
      </c>
      <c r="H513" t="s">
        <v>19</v>
      </c>
      <c r="I513" t="s">
        <v>20</v>
      </c>
      <c r="J513" t="s">
        <v>21</v>
      </c>
      <c r="K513" t="s">
        <v>220</v>
      </c>
      <c r="L513" t="s">
        <v>23</v>
      </c>
      <c r="M513" t="s">
        <v>24</v>
      </c>
      <c r="O513" t="s">
        <v>25</v>
      </c>
    </row>
    <row r="514" spans="1:15" x14ac:dyDescent="0.55000000000000004">
      <c r="A514">
        <v>1012</v>
      </c>
      <c r="B514" t="s">
        <v>992</v>
      </c>
      <c r="C514" t="s">
        <v>991</v>
      </c>
      <c r="D514" t="s">
        <v>17</v>
      </c>
      <c r="E514" t="s">
        <v>18</v>
      </c>
      <c r="H514" t="s">
        <v>19</v>
      </c>
      <c r="I514" t="s">
        <v>20</v>
      </c>
      <c r="J514" t="s">
        <v>21</v>
      </c>
      <c r="K514" t="s">
        <v>28</v>
      </c>
      <c r="L514" t="s">
        <v>23</v>
      </c>
      <c r="M514" t="s">
        <v>24</v>
      </c>
      <c r="O514" t="s">
        <v>25</v>
      </c>
    </row>
    <row r="515" spans="1:15" x14ac:dyDescent="0.55000000000000004">
      <c r="A515">
        <v>1013</v>
      </c>
      <c r="B515" t="s">
        <v>993</v>
      </c>
      <c r="C515" t="s">
        <v>994</v>
      </c>
      <c r="D515" t="s">
        <v>17</v>
      </c>
      <c r="E515" t="s">
        <v>18</v>
      </c>
      <c r="H515" t="s">
        <v>19</v>
      </c>
      <c r="I515" t="s">
        <v>20</v>
      </c>
      <c r="J515" t="s">
        <v>21</v>
      </c>
      <c r="K515" t="s">
        <v>220</v>
      </c>
      <c r="L515" t="s">
        <v>23</v>
      </c>
      <c r="M515" t="s">
        <v>24</v>
      </c>
      <c r="O515" t="s">
        <v>25</v>
      </c>
    </row>
    <row r="516" spans="1:15" x14ac:dyDescent="0.55000000000000004">
      <c r="A516">
        <v>1014</v>
      </c>
      <c r="B516" t="s">
        <v>995</v>
      </c>
      <c r="C516" t="s">
        <v>994</v>
      </c>
      <c r="D516" t="s">
        <v>17</v>
      </c>
      <c r="E516" t="s">
        <v>18</v>
      </c>
      <c r="H516" t="s">
        <v>19</v>
      </c>
      <c r="I516" t="s">
        <v>20</v>
      </c>
      <c r="J516" t="s">
        <v>21</v>
      </c>
      <c r="K516" t="s">
        <v>28</v>
      </c>
      <c r="L516" t="s">
        <v>23</v>
      </c>
      <c r="M516" t="s">
        <v>24</v>
      </c>
      <c r="O516" t="s">
        <v>25</v>
      </c>
    </row>
    <row r="517" spans="1:15" x14ac:dyDescent="0.55000000000000004">
      <c r="A517">
        <v>1015</v>
      </c>
      <c r="B517" t="s">
        <v>996</v>
      </c>
      <c r="C517" t="s">
        <v>997</v>
      </c>
      <c r="D517" t="s">
        <v>17</v>
      </c>
      <c r="E517" t="s">
        <v>18</v>
      </c>
      <c r="H517" t="s">
        <v>19</v>
      </c>
      <c r="I517" t="s">
        <v>20</v>
      </c>
      <c r="J517" t="s">
        <v>21</v>
      </c>
      <c r="K517" t="s">
        <v>220</v>
      </c>
      <c r="L517" t="s">
        <v>23</v>
      </c>
      <c r="M517" t="s">
        <v>24</v>
      </c>
      <c r="O517" t="s">
        <v>25</v>
      </c>
    </row>
    <row r="518" spans="1:15" x14ac:dyDescent="0.55000000000000004">
      <c r="A518">
        <v>1016</v>
      </c>
      <c r="B518" t="s">
        <v>998</v>
      </c>
      <c r="C518" t="s">
        <v>997</v>
      </c>
      <c r="D518" t="s">
        <v>17</v>
      </c>
      <c r="E518" t="s">
        <v>18</v>
      </c>
      <c r="H518" t="s">
        <v>19</v>
      </c>
      <c r="I518" t="s">
        <v>20</v>
      </c>
      <c r="J518" t="s">
        <v>21</v>
      </c>
      <c r="K518" t="s">
        <v>28</v>
      </c>
      <c r="L518" t="s">
        <v>23</v>
      </c>
      <c r="M518" t="s">
        <v>24</v>
      </c>
      <c r="O518" t="s">
        <v>25</v>
      </c>
    </row>
    <row r="519" spans="1:15" x14ac:dyDescent="0.55000000000000004">
      <c r="A519">
        <v>1017</v>
      </c>
      <c r="B519" t="s">
        <v>999</v>
      </c>
      <c r="C519" t="s">
        <v>1000</v>
      </c>
      <c r="D519" t="s">
        <v>17</v>
      </c>
      <c r="E519" t="s">
        <v>18</v>
      </c>
      <c r="H519" t="s">
        <v>19</v>
      </c>
      <c r="I519" t="s">
        <v>20</v>
      </c>
      <c r="J519" t="s">
        <v>21</v>
      </c>
      <c r="K519" t="s">
        <v>220</v>
      </c>
      <c r="L519" t="s">
        <v>23</v>
      </c>
      <c r="M519" t="s">
        <v>24</v>
      </c>
      <c r="O519" t="s">
        <v>25</v>
      </c>
    </row>
    <row r="520" spans="1:15" x14ac:dyDescent="0.55000000000000004">
      <c r="A520">
        <v>1018</v>
      </c>
      <c r="B520" t="s">
        <v>1001</v>
      </c>
      <c r="C520" t="s">
        <v>1000</v>
      </c>
      <c r="D520" t="s">
        <v>17</v>
      </c>
      <c r="E520" t="s">
        <v>18</v>
      </c>
      <c r="H520" t="s">
        <v>19</v>
      </c>
      <c r="I520" t="s">
        <v>20</v>
      </c>
      <c r="J520" t="s">
        <v>21</v>
      </c>
      <c r="K520" t="s">
        <v>28</v>
      </c>
      <c r="L520" t="s">
        <v>23</v>
      </c>
      <c r="M520" t="s">
        <v>24</v>
      </c>
      <c r="O520" t="s">
        <v>25</v>
      </c>
    </row>
    <row r="521" spans="1:15" x14ac:dyDescent="0.55000000000000004">
      <c r="A521">
        <v>1019</v>
      </c>
      <c r="B521" t="s">
        <v>1002</v>
      </c>
      <c r="C521" t="s">
        <v>1003</v>
      </c>
      <c r="D521" t="s">
        <v>17</v>
      </c>
      <c r="E521" t="s">
        <v>18</v>
      </c>
      <c r="H521" t="s">
        <v>19</v>
      </c>
      <c r="I521" t="s">
        <v>20</v>
      </c>
      <c r="J521" t="s">
        <v>21</v>
      </c>
      <c r="K521" t="s">
        <v>76</v>
      </c>
      <c r="L521" t="s">
        <v>23</v>
      </c>
      <c r="M521" t="s">
        <v>24</v>
      </c>
      <c r="O521" t="s">
        <v>25</v>
      </c>
    </row>
    <row r="522" spans="1:15" x14ac:dyDescent="0.55000000000000004">
      <c r="A522">
        <v>1020</v>
      </c>
      <c r="B522" t="s">
        <v>1004</v>
      </c>
      <c r="C522" t="s">
        <v>1005</v>
      </c>
      <c r="D522" t="s">
        <v>17</v>
      </c>
      <c r="E522" t="s">
        <v>18</v>
      </c>
      <c r="H522" t="s">
        <v>19</v>
      </c>
      <c r="I522" t="s">
        <v>20</v>
      </c>
      <c r="J522" t="s">
        <v>21</v>
      </c>
      <c r="K522" t="s">
        <v>28</v>
      </c>
      <c r="L522" t="s">
        <v>23</v>
      </c>
      <c r="M522" t="s">
        <v>24</v>
      </c>
      <c r="O522" t="s">
        <v>25</v>
      </c>
    </row>
    <row r="523" spans="1:15" x14ac:dyDescent="0.55000000000000004">
      <c r="A523">
        <v>1021</v>
      </c>
      <c r="B523" t="s">
        <v>1004</v>
      </c>
      <c r="C523" t="s">
        <v>1005</v>
      </c>
      <c r="D523" t="s">
        <v>17</v>
      </c>
      <c r="E523" t="s">
        <v>18</v>
      </c>
      <c r="H523" t="s">
        <v>19</v>
      </c>
      <c r="I523" t="s">
        <v>20</v>
      </c>
      <c r="J523" t="s">
        <v>21</v>
      </c>
      <c r="K523" t="s">
        <v>28</v>
      </c>
      <c r="L523" t="s">
        <v>23</v>
      </c>
      <c r="M523" t="s">
        <v>24</v>
      </c>
      <c r="O523" t="s">
        <v>25</v>
      </c>
    </row>
    <row r="524" spans="1:15" x14ac:dyDescent="0.55000000000000004">
      <c r="A524">
        <v>1022</v>
      </c>
      <c r="B524" t="s">
        <v>1006</v>
      </c>
      <c r="C524" t="s">
        <v>1007</v>
      </c>
      <c r="D524" t="s">
        <v>17</v>
      </c>
      <c r="E524" t="s">
        <v>18</v>
      </c>
      <c r="H524" t="s">
        <v>19</v>
      </c>
      <c r="I524" t="s">
        <v>20</v>
      </c>
      <c r="J524" t="s">
        <v>21</v>
      </c>
      <c r="K524" t="s">
        <v>28</v>
      </c>
      <c r="L524" t="s">
        <v>23</v>
      </c>
      <c r="M524" t="s">
        <v>24</v>
      </c>
      <c r="O524" t="s">
        <v>25</v>
      </c>
    </row>
    <row r="525" spans="1:15" x14ac:dyDescent="0.55000000000000004">
      <c r="A525">
        <v>1023</v>
      </c>
      <c r="B525" t="s">
        <v>1008</v>
      </c>
      <c r="C525" t="s">
        <v>1009</v>
      </c>
      <c r="D525" t="s">
        <v>17</v>
      </c>
      <c r="E525" t="s">
        <v>18</v>
      </c>
      <c r="H525" t="s">
        <v>19</v>
      </c>
      <c r="I525" t="s">
        <v>20</v>
      </c>
      <c r="J525" t="s">
        <v>21</v>
      </c>
      <c r="K525" t="s">
        <v>28</v>
      </c>
      <c r="L525" t="s">
        <v>23</v>
      </c>
      <c r="M525" t="s">
        <v>24</v>
      </c>
      <c r="O525" t="s">
        <v>25</v>
      </c>
    </row>
    <row r="526" spans="1:15" x14ac:dyDescent="0.55000000000000004">
      <c r="A526">
        <v>1024</v>
      </c>
      <c r="B526" t="s">
        <v>1010</v>
      </c>
      <c r="C526" t="s">
        <v>1011</v>
      </c>
      <c r="D526" t="s">
        <v>17</v>
      </c>
      <c r="E526" t="s">
        <v>18</v>
      </c>
      <c r="H526" t="s">
        <v>19</v>
      </c>
      <c r="I526" t="s">
        <v>20</v>
      </c>
      <c r="J526" t="s">
        <v>21</v>
      </c>
      <c r="K526" t="s">
        <v>36</v>
      </c>
      <c r="L526" t="s">
        <v>23</v>
      </c>
      <c r="M526" t="s">
        <v>24</v>
      </c>
      <c r="O526" t="s">
        <v>25</v>
      </c>
    </row>
    <row r="527" spans="1:15" x14ac:dyDescent="0.55000000000000004">
      <c r="A527">
        <v>1025</v>
      </c>
      <c r="B527" t="s">
        <v>1012</v>
      </c>
      <c r="C527" t="s">
        <v>1013</v>
      </c>
      <c r="D527" t="s">
        <v>17</v>
      </c>
      <c r="E527" t="s">
        <v>18</v>
      </c>
      <c r="H527" t="s">
        <v>19</v>
      </c>
      <c r="I527" t="s">
        <v>20</v>
      </c>
      <c r="J527" t="s">
        <v>21</v>
      </c>
      <c r="K527" t="s">
        <v>28</v>
      </c>
      <c r="L527" t="s">
        <v>23</v>
      </c>
      <c r="M527" t="s">
        <v>24</v>
      </c>
      <c r="O527" t="s">
        <v>25</v>
      </c>
    </row>
    <row r="528" spans="1:15" x14ac:dyDescent="0.55000000000000004">
      <c r="A528">
        <v>1026</v>
      </c>
      <c r="B528" t="s">
        <v>1014</v>
      </c>
      <c r="C528" t="s">
        <v>1013</v>
      </c>
      <c r="D528" t="s">
        <v>17</v>
      </c>
      <c r="E528" t="s">
        <v>18</v>
      </c>
      <c r="H528" t="s">
        <v>19</v>
      </c>
      <c r="I528" t="s">
        <v>20</v>
      </c>
      <c r="J528" t="s">
        <v>21</v>
      </c>
      <c r="K528" t="s">
        <v>69</v>
      </c>
      <c r="L528" t="s">
        <v>23</v>
      </c>
      <c r="M528" t="s">
        <v>24</v>
      </c>
      <c r="O528" t="s">
        <v>25</v>
      </c>
    </row>
    <row r="529" spans="1:15" x14ac:dyDescent="0.55000000000000004">
      <c r="A529">
        <v>1027</v>
      </c>
      <c r="B529" t="s">
        <v>1015</v>
      </c>
      <c r="C529" t="s">
        <v>1016</v>
      </c>
      <c r="D529" t="s">
        <v>17</v>
      </c>
      <c r="E529" t="s">
        <v>18</v>
      </c>
      <c r="H529" t="s">
        <v>19</v>
      </c>
      <c r="I529" t="s">
        <v>20</v>
      </c>
      <c r="J529" t="s">
        <v>21</v>
      </c>
      <c r="K529" t="s">
        <v>1017</v>
      </c>
      <c r="L529" t="s">
        <v>23</v>
      </c>
      <c r="M529" t="s">
        <v>24</v>
      </c>
      <c r="O529" t="s">
        <v>25</v>
      </c>
    </row>
    <row r="530" spans="1:15" x14ac:dyDescent="0.55000000000000004">
      <c r="A530">
        <v>1028</v>
      </c>
      <c r="B530" t="s">
        <v>1018</v>
      </c>
      <c r="C530" t="s">
        <v>1016</v>
      </c>
      <c r="D530" t="s">
        <v>17</v>
      </c>
      <c r="E530" t="s">
        <v>18</v>
      </c>
      <c r="H530" t="s">
        <v>19</v>
      </c>
      <c r="I530" t="s">
        <v>20</v>
      </c>
      <c r="J530" t="s">
        <v>21</v>
      </c>
      <c r="K530" t="s">
        <v>1017</v>
      </c>
      <c r="L530" t="s">
        <v>23</v>
      </c>
      <c r="M530" t="s">
        <v>24</v>
      </c>
      <c r="O530" t="s">
        <v>25</v>
      </c>
    </row>
    <row r="531" spans="1:15" x14ac:dyDescent="0.55000000000000004">
      <c r="A531">
        <v>1029</v>
      </c>
      <c r="B531" t="s">
        <v>1019</v>
      </c>
      <c r="C531" t="s">
        <v>1016</v>
      </c>
      <c r="D531" t="s">
        <v>17</v>
      </c>
      <c r="E531" t="s">
        <v>18</v>
      </c>
      <c r="H531" t="s">
        <v>19</v>
      </c>
      <c r="I531" t="s">
        <v>20</v>
      </c>
      <c r="J531" t="s">
        <v>21</v>
      </c>
      <c r="K531" t="s">
        <v>28</v>
      </c>
      <c r="L531" t="s">
        <v>23</v>
      </c>
      <c r="M531" t="s">
        <v>24</v>
      </c>
      <c r="O531" t="s">
        <v>25</v>
      </c>
    </row>
    <row r="532" spans="1:15" x14ac:dyDescent="0.55000000000000004">
      <c r="A532">
        <v>1030</v>
      </c>
      <c r="B532" t="s">
        <v>1020</v>
      </c>
      <c r="C532" t="s">
        <v>1021</v>
      </c>
      <c r="D532" t="s">
        <v>17</v>
      </c>
      <c r="E532" t="s">
        <v>18</v>
      </c>
      <c r="H532" t="s">
        <v>19</v>
      </c>
      <c r="I532" t="s">
        <v>20</v>
      </c>
      <c r="J532" t="s">
        <v>21</v>
      </c>
      <c r="K532" t="s">
        <v>28</v>
      </c>
      <c r="L532" t="s">
        <v>23</v>
      </c>
      <c r="M532" t="s">
        <v>24</v>
      </c>
      <c r="O532" t="s">
        <v>25</v>
      </c>
    </row>
    <row r="533" spans="1:15" x14ac:dyDescent="0.55000000000000004">
      <c r="A533">
        <v>1031</v>
      </c>
      <c r="B533" t="s">
        <v>1022</v>
      </c>
      <c r="C533" t="s">
        <v>1023</v>
      </c>
      <c r="D533" t="s">
        <v>17</v>
      </c>
      <c r="E533" t="s">
        <v>18</v>
      </c>
      <c r="H533" t="s">
        <v>19</v>
      </c>
      <c r="I533" t="s">
        <v>20</v>
      </c>
      <c r="J533" t="s">
        <v>21</v>
      </c>
      <c r="K533" t="s">
        <v>36</v>
      </c>
      <c r="L533" t="s">
        <v>23</v>
      </c>
      <c r="M533" t="s">
        <v>24</v>
      </c>
      <c r="O533" t="s">
        <v>25</v>
      </c>
    </row>
    <row r="534" spans="1:15" x14ac:dyDescent="0.55000000000000004">
      <c r="A534">
        <v>1032</v>
      </c>
      <c r="B534" t="s">
        <v>1024</v>
      </c>
      <c r="C534" t="s">
        <v>1025</v>
      </c>
      <c r="D534" t="s">
        <v>17</v>
      </c>
      <c r="E534" t="s">
        <v>18</v>
      </c>
      <c r="H534" t="s">
        <v>19</v>
      </c>
      <c r="I534" t="s">
        <v>20</v>
      </c>
      <c r="J534" t="s">
        <v>21</v>
      </c>
      <c r="K534" t="s">
        <v>69</v>
      </c>
      <c r="L534" t="s">
        <v>23</v>
      </c>
      <c r="M534" t="s">
        <v>24</v>
      </c>
      <c r="O534" t="s">
        <v>25</v>
      </c>
    </row>
    <row r="535" spans="1:15" x14ac:dyDescent="0.55000000000000004">
      <c r="A535">
        <v>1033</v>
      </c>
      <c r="B535" t="s">
        <v>1026</v>
      </c>
      <c r="C535" t="s">
        <v>1027</v>
      </c>
      <c r="D535" t="s">
        <v>17</v>
      </c>
      <c r="E535" t="s">
        <v>18</v>
      </c>
      <c r="H535" t="s">
        <v>19</v>
      </c>
      <c r="I535" t="s">
        <v>20</v>
      </c>
      <c r="J535" t="s">
        <v>21</v>
      </c>
      <c r="K535" t="s">
        <v>22</v>
      </c>
      <c r="L535" t="s">
        <v>23</v>
      </c>
      <c r="M535" t="s">
        <v>24</v>
      </c>
      <c r="O535" t="s">
        <v>25</v>
      </c>
    </row>
    <row r="536" spans="1:15" x14ac:dyDescent="0.55000000000000004">
      <c r="A536">
        <v>1034</v>
      </c>
      <c r="B536" t="s">
        <v>1028</v>
      </c>
      <c r="C536" t="s">
        <v>1029</v>
      </c>
      <c r="D536" t="s">
        <v>17</v>
      </c>
      <c r="E536" t="s">
        <v>18</v>
      </c>
      <c r="H536" t="s">
        <v>19</v>
      </c>
      <c r="I536" t="s">
        <v>20</v>
      </c>
      <c r="J536" t="s">
        <v>21</v>
      </c>
      <c r="K536" t="s">
        <v>28</v>
      </c>
      <c r="L536" t="s">
        <v>23</v>
      </c>
      <c r="M536" t="s">
        <v>24</v>
      </c>
      <c r="O536" t="s">
        <v>25</v>
      </c>
    </row>
    <row r="537" spans="1:15" x14ac:dyDescent="0.55000000000000004">
      <c r="A537">
        <v>1035</v>
      </c>
      <c r="B537" t="s">
        <v>1030</v>
      </c>
      <c r="C537" t="s">
        <v>1031</v>
      </c>
      <c r="D537" t="s">
        <v>17</v>
      </c>
      <c r="E537" t="s">
        <v>18</v>
      </c>
      <c r="H537" t="s">
        <v>19</v>
      </c>
      <c r="I537" t="s">
        <v>20</v>
      </c>
      <c r="J537" t="s">
        <v>21</v>
      </c>
      <c r="K537" t="s">
        <v>28</v>
      </c>
      <c r="L537" t="s">
        <v>23</v>
      </c>
      <c r="M537" t="s">
        <v>24</v>
      </c>
      <c r="O537" t="s">
        <v>25</v>
      </c>
    </row>
    <row r="538" spans="1:15" x14ac:dyDescent="0.55000000000000004">
      <c r="A538">
        <v>1036</v>
      </c>
      <c r="B538" t="s">
        <v>1032</v>
      </c>
      <c r="C538" t="s">
        <v>1033</v>
      </c>
      <c r="D538" t="s">
        <v>17</v>
      </c>
      <c r="E538" t="s">
        <v>18</v>
      </c>
      <c r="H538" t="s">
        <v>19</v>
      </c>
      <c r="I538" t="s">
        <v>20</v>
      </c>
      <c r="J538" t="s">
        <v>21</v>
      </c>
      <c r="K538" t="s">
        <v>1034</v>
      </c>
      <c r="L538" t="s">
        <v>23</v>
      </c>
      <c r="M538" t="s">
        <v>24</v>
      </c>
      <c r="O538" t="s">
        <v>25</v>
      </c>
    </row>
    <row r="539" spans="1:15" x14ac:dyDescent="0.55000000000000004">
      <c r="A539">
        <v>1037</v>
      </c>
      <c r="B539" t="s">
        <v>1035</v>
      </c>
      <c r="C539" t="s">
        <v>1033</v>
      </c>
      <c r="D539" t="s">
        <v>17</v>
      </c>
      <c r="E539" t="s">
        <v>18</v>
      </c>
      <c r="H539" t="s">
        <v>19</v>
      </c>
      <c r="I539" t="s">
        <v>20</v>
      </c>
      <c r="J539" t="s">
        <v>21</v>
      </c>
      <c r="K539" t="s">
        <v>28</v>
      </c>
      <c r="L539" t="s">
        <v>23</v>
      </c>
      <c r="M539" t="s">
        <v>24</v>
      </c>
      <c r="O539" t="s">
        <v>25</v>
      </c>
    </row>
    <row r="540" spans="1:15" x14ac:dyDescent="0.55000000000000004">
      <c r="A540">
        <v>1038</v>
      </c>
      <c r="B540" t="s">
        <v>1036</v>
      </c>
      <c r="C540" t="s">
        <v>1037</v>
      </c>
      <c r="D540" t="s">
        <v>17</v>
      </c>
      <c r="E540" t="s">
        <v>18</v>
      </c>
      <c r="H540" t="s">
        <v>19</v>
      </c>
      <c r="I540" t="s">
        <v>20</v>
      </c>
      <c r="J540" t="s">
        <v>21</v>
      </c>
      <c r="K540" t="s">
        <v>28</v>
      </c>
      <c r="L540" t="s">
        <v>23</v>
      </c>
      <c r="M540" t="s">
        <v>24</v>
      </c>
      <c r="O540" t="s">
        <v>25</v>
      </c>
    </row>
    <row r="541" spans="1:15" x14ac:dyDescent="0.55000000000000004">
      <c r="A541">
        <v>1039</v>
      </c>
      <c r="B541" t="s">
        <v>1038</v>
      </c>
      <c r="C541" t="s">
        <v>1039</v>
      </c>
      <c r="D541" t="s">
        <v>17</v>
      </c>
      <c r="E541" t="s">
        <v>18</v>
      </c>
      <c r="H541" t="s">
        <v>19</v>
      </c>
      <c r="I541" t="s">
        <v>20</v>
      </c>
      <c r="J541" t="s">
        <v>21</v>
      </c>
      <c r="K541" t="s">
        <v>82</v>
      </c>
      <c r="L541" t="s">
        <v>23</v>
      </c>
      <c r="M541" t="s">
        <v>24</v>
      </c>
      <c r="O541" t="s">
        <v>25</v>
      </c>
    </row>
    <row r="542" spans="1:15" x14ac:dyDescent="0.55000000000000004">
      <c r="A542">
        <v>1040</v>
      </c>
      <c r="B542" t="s">
        <v>1040</v>
      </c>
      <c r="C542" t="s">
        <v>1041</v>
      </c>
      <c r="D542" t="s">
        <v>17</v>
      </c>
      <c r="E542" t="s">
        <v>18</v>
      </c>
      <c r="H542" t="s">
        <v>19</v>
      </c>
      <c r="I542" t="s">
        <v>20</v>
      </c>
      <c r="J542" t="s">
        <v>21</v>
      </c>
      <c r="K542" t="s">
        <v>1042</v>
      </c>
      <c r="L542" t="s">
        <v>23</v>
      </c>
      <c r="M542" t="s">
        <v>24</v>
      </c>
      <c r="O542" t="s">
        <v>25</v>
      </c>
    </row>
    <row r="543" spans="1:15" x14ac:dyDescent="0.55000000000000004">
      <c r="A543">
        <v>1041</v>
      </c>
      <c r="B543" t="s">
        <v>1043</v>
      </c>
      <c r="C543" t="s">
        <v>1044</v>
      </c>
      <c r="D543" t="s">
        <v>17</v>
      </c>
      <c r="E543" t="s">
        <v>18</v>
      </c>
      <c r="H543" t="s">
        <v>19</v>
      </c>
      <c r="I543" t="s">
        <v>20</v>
      </c>
      <c r="J543" t="s">
        <v>21</v>
      </c>
      <c r="K543" t="s">
        <v>28</v>
      </c>
      <c r="L543" t="s">
        <v>23</v>
      </c>
      <c r="M543" t="s">
        <v>24</v>
      </c>
      <c r="O543" t="s">
        <v>25</v>
      </c>
    </row>
    <row r="544" spans="1:15" x14ac:dyDescent="0.55000000000000004">
      <c r="A544">
        <v>1042</v>
      </c>
      <c r="B544" t="s">
        <v>1045</v>
      </c>
      <c r="C544" t="s">
        <v>1044</v>
      </c>
      <c r="D544" t="s">
        <v>17</v>
      </c>
      <c r="E544" t="s">
        <v>18</v>
      </c>
      <c r="H544" t="s">
        <v>19</v>
      </c>
      <c r="I544" t="s">
        <v>20</v>
      </c>
      <c r="J544" t="s">
        <v>21</v>
      </c>
      <c r="K544" t="s">
        <v>69</v>
      </c>
      <c r="L544" t="s">
        <v>23</v>
      </c>
      <c r="M544" t="s">
        <v>24</v>
      </c>
      <c r="O544" t="s">
        <v>25</v>
      </c>
    </row>
    <row r="545" spans="1:15" x14ac:dyDescent="0.55000000000000004">
      <c r="A545">
        <v>1043</v>
      </c>
      <c r="B545" t="s">
        <v>1046</v>
      </c>
      <c r="C545" t="s">
        <v>1047</v>
      </c>
      <c r="D545" t="s">
        <v>17</v>
      </c>
      <c r="E545" t="s">
        <v>18</v>
      </c>
      <c r="H545" t="s">
        <v>19</v>
      </c>
      <c r="I545" t="s">
        <v>20</v>
      </c>
      <c r="J545" t="s">
        <v>21</v>
      </c>
      <c r="K545" t="s">
        <v>28</v>
      </c>
      <c r="L545" t="s">
        <v>23</v>
      </c>
      <c r="M545" t="s">
        <v>24</v>
      </c>
      <c r="O545" t="s">
        <v>25</v>
      </c>
    </row>
    <row r="546" spans="1:15" x14ac:dyDescent="0.55000000000000004">
      <c r="A546">
        <v>1044</v>
      </c>
      <c r="B546" t="s">
        <v>1048</v>
      </c>
      <c r="C546" t="s">
        <v>1049</v>
      </c>
      <c r="D546" t="s">
        <v>17</v>
      </c>
      <c r="E546" t="s">
        <v>18</v>
      </c>
      <c r="H546" t="s">
        <v>19</v>
      </c>
      <c r="I546" t="s">
        <v>20</v>
      </c>
      <c r="J546" t="s">
        <v>21</v>
      </c>
      <c r="K546" t="s">
        <v>28</v>
      </c>
      <c r="L546" t="s">
        <v>23</v>
      </c>
      <c r="M546" t="s">
        <v>24</v>
      </c>
      <c r="O546" t="s">
        <v>25</v>
      </c>
    </row>
    <row r="547" spans="1:15" x14ac:dyDescent="0.55000000000000004">
      <c r="A547">
        <v>1045</v>
      </c>
      <c r="B547" t="s">
        <v>1050</v>
      </c>
      <c r="C547" t="s">
        <v>1051</v>
      </c>
      <c r="D547" t="s">
        <v>17</v>
      </c>
      <c r="E547" t="s">
        <v>18</v>
      </c>
      <c r="H547" t="s">
        <v>19</v>
      </c>
      <c r="I547" t="s">
        <v>20</v>
      </c>
      <c r="J547" t="s">
        <v>21</v>
      </c>
      <c r="K547" t="s">
        <v>28</v>
      </c>
      <c r="L547" t="s">
        <v>23</v>
      </c>
      <c r="M547" t="s">
        <v>24</v>
      </c>
      <c r="O547" t="s">
        <v>25</v>
      </c>
    </row>
    <row r="548" spans="1:15" x14ac:dyDescent="0.55000000000000004">
      <c r="A548">
        <v>1046</v>
      </c>
      <c r="B548" t="s">
        <v>1052</v>
      </c>
      <c r="C548" t="s">
        <v>1053</v>
      </c>
      <c r="D548" t="s">
        <v>17</v>
      </c>
      <c r="E548" t="s">
        <v>18</v>
      </c>
      <c r="H548" t="s">
        <v>19</v>
      </c>
      <c r="I548" t="s">
        <v>20</v>
      </c>
      <c r="J548" t="s">
        <v>21</v>
      </c>
      <c r="K548" t="s">
        <v>82</v>
      </c>
      <c r="L548" t="s">
        <v>23</v>
      </c>
      <c r="M548" t="s">
        <v>24</v>
      </c>
      <c r="O548" t="s">
        <v>25</v>
      </c>
    </row>
    <row r="549" spans="1:15" x14ac:dyDescent="0.55000000000000004">
      <c r="A549">
        <v>1047</v>
      </c>
      <c r="B549" t="s">
        <v>1054</v>
      </c>
      <c r="C549" t="s">
        <v>1055</v>
      </c>
      <c r="D549" t="s">
        <v>17</v>
      </c>
      <c r="E549" t="s">
        <v>18</v>
      </c>
      <c r="H549" t="s">
        <v>19</v>
      </c>
      <c r="I549" t="s">
        <v>20</v>
      </c>
      <c r="J549" t="s">
        <v>21</v>
      </c>
      <c r="K549" t="s">
        <v>28</v>
      </c>
      <c r="L549" t="s">
        <v>23</v>
      </c>
      <c r="M549" t="s">
        <v>24</v>
      </c>
      <c r="O549" t="s">
        <v>25</v>
      </c>
    </row>
    <row r="550" spans="1:15" x14ac:dyDescent="0.55000000000000004">
      <c r="A550">
        <v>1048</v>
      </c>
      <c r="B550" t="s">
        <v>1056</v>
      </c>
      <c r="C550" t="s">
        <v>1057</v>
      </c>
      <c r="D550" t="s">
        <v>17</v>
      </c>
      <c r="E550" t="s">
        <v>18</v>
      </c>
      <c r="H550" t="s">
        <v>19</v>
      </c>
      <c r="I550" t="s">
        <v>20</v>
      </c>
      <c r="J550" t="s">
        <v>21</v>
      </c>
      <c r="K550" t="s">
        <v>28</v>
      </c>
      <c r="L550" t="s">
        <v>23</v>
      </c>
      <c r="M550" t="s">
        <v>24</v>
      </c>
      <c r="O550" t="s">
        <v>25</v>
      </c>
    </row>
    <row r="551" spans="1:15" x14ac:dyDescent="0.55000000000000004">
      <c r="A551">
        <v>1049</v>
      </c>
      <c r="B551" t="s">
        <v>1058</v>
      </c>
      <c r="C551" t="s">
        <v>1059</v>
      </c>
      <c r="D551" t="s">
        <v>17</v>
      </c>
      <c r="E551" t="s">
        <v>18</v>
      </c>
      <c r="H551" t="s">
        <v>19</v>
      </c>
      <c r="I551" t="s">
        <v>20</v>
      </c>
      <c r="J551" t="s">
        <v>21</v>
      </c>
      <c r="K551" t="s">
        <v>28</v>
      </c>
      <c r="L551" t="s">
        <v>23</v>
      </c>
      <c r="M551" t="s">
        <v>24</v>
      </c>
      <c r="O551" t="s">
        <v>25</v>
      </c>
    </row>
    <row r="552" spans="1:15" x14ac:dyDescent="0.55000000000000004">
      <c r="A552">
        <v>1050</v>
      </c>
      <c r="B552" t="s">
        <v>1060</v>
      </c>
      <c r="C552" t="s">
        <v>1061</v>
      </c>
      <c r="D552" t="s">
        <v>17</v>
      </c>
      <c r="E552" t="s">
        <v>18</v>
      </c>
      <c r="H552" t="s">
        <v>19</v>
      </c>
      <c r="I552" t="s">
        <v>20</v>
      </c>
      <c r="J552" t="s">
        <v>21</v>
      </c>
      <c r="K552" t="s">
        <v>1017</v>
      </c>
      <c r="L552" t="s">
        <v>23</v>
      </c>
      <c r="M552" t="s">
        <v>24</v>
      </c>
      <c r="O552" t="s">
        <v>25</v>
      </c>
    </row>
    <row r="553" spans="1:15" x14ac:dyDescent="0.55000000000000004">
      <c r="A553">
        <v>1051</v>
      </c>
      <c r="B553" t="s">
        <v>1062</v>
      </c>
      <c r="C553" t="s">
        <v>1063</v>
      </c>
      <c r="D553" t="s">
        <v>17</v>
      </c>
      <c r="E553" t="s">
        <v>18</v>
      </c>
      <c r="H553" t="s">
        <v>19</v>
      </c>
      <c r="I553" t="s">
        <v>20</v>
      </c>
      <c r="J553" t="s">
        <v>21</v>
      </c>
      <c r="K553" t="s">
        <v>28</v>
      </c>
      <c r="L553" t="s">
        <v>23</v>
      </c>
      <c r="M553" t="s">
        <v>24</v>
      </c>
      <c r="O553" t="s">
        <v>25</v>
      </c>
    </row>
    <row r="554" spans="1:15" x14ac:dyDescent="0.55000000000000004">
      <c r="A554">
        <v>1052</v>
      </c>
      <c r="B554" t="s">
        <v>1064</v>
      </c>
      <c r="C554" t="s">
        <v>1065</v>
      </c>
      <c r="D554" t="s">
        <v>17</v>
      </c>
      <c r="E554" t="s">
        <v>18</v>
      </c>
      <c r="H554" t="s">
        <v>19</v>
      </c>
      <c r="I554" t="s">
        <v>20</v>
      </c>
      <c r="J554" t="s">
        <v>21</v>
      </c>
      <c r="K554" t="s">
        <v>69</v>
      </c>
      <c r="L554" t="s">
        <v>23</v>
      </c>
      <c r="M554" t="s">
        <v>24</v>
      </c>
      <c r="O554" t="s">
        <v>25</v>
      </c>
    </row>
    <row r="555" spans="1:15" x14ac:dyDescent="0.55000000000000004">
      <c r="A555">
        <v>1053</v>
      </c>
      <c r="B555" t="s">
        <v>1066</v>
      </c>
      <c r="C555" t="s">
        <v>1067</v>
      </c>
      <c r="D555" t="s">
        <v>17</v>
      </c>
      <c r="E555" t="s">
        <v>18</v>
      </c>
      <c r="H555" t="s">
        <v>19</v>
      </c>
      <c r="I555" t="s">
        <v>20</v>
      </c>
      <c r="J555" t="s">
        <v>21</v>
      </c>
      <c r="K555" t="s">
        <v>82</v>
      </c>
      <c r="L555" t="s">
        <v>23</v>
      </c>
      <c r="M555" t="s">
        <v>24</v>
      </c>
      <c r="O555" t="s">
        <v>25</v>
      </c>
    </row>
    <row r="556" spans="1:15" x14ac:dyDescent="0.55000000000000004">
      <c r="A556">
        <v>1054</v>
      </c>
      <c r="B556" t="s">
        <v>1068</v>
      </c>
      <c r="C556" t="s">
        <v>1069</v>
      </c>
      <c r="D556" t="s">
        <v>17</v>
      </c>
      <c r="E556" t="s">
        <v>18</v>
      </c>
      <c r="H556" t="s">
        <v>19</v>
      </c>
      <c r="I556" t="s">
        <v>20</v>
      </c>
      <c r="J556" t="s">
        <v>21</v>
      </c>
      <c r="K556" t="s">
        <v>69</v>
      </c>
      <c r="L556" t="s">
        <v>23</v>
      </c>
      <c r="M556" t="s">
        <v>24</v>
      </c>
      <c r="O556" t="s">
        <v>25</v>
      </c>
    </row>
    <row r="557" spans="1:15" x14ac:dyDescent="0.55000000000000004">
      <c r="A557">
        <v>1055</v>
      </c>
      <c r="B557" t="s">
        <v>1070</v>
      </c>
      <c r="C557" t="s">
        <v>1071</v>
      </c>
      <c r="D557" t="s">
        <v>17</v>
      </c>
      <c r="E557" t="s">
        <v>18</v>
      </c>
      <c r="H557" t="s">
        <v>19</v>
      </c>
      <c r="I557" t="s">
        <v>20</v>
      </c>
      <c r="J557" t="s">
        <v>21</v>
      </c>
      <c r="K557" t="s">
        <v>220</v>
      </c>
      <c r="L557" t="s">
        <v>23</v>
      </c>
      <c r="M557" t="s">
        <v>24</v>
      </c>
      <c r="O557" t="s">
        <v>25</v>
      </c>
    </row>
    <row r="558" spans="1:15" x14ac:dyDescent="0.55000000000000004">
      <c r="A558">
        <v>1056</v>
      </c>
      <c r="B558" t="s">
        <v>1072</v>
      </c>
      <c r="C558" t="s">
        <v>1071</v>
      </c>
      <c r="D558" t="s">
        <v>17</v>
      </c>
      <c r="E558" t="s">
        <v>18</v>
      </c>
      <c r="H558" t="s">
        <v>19</v>
      </c>
      <c r="I558" t="s">
        <v>20</v>
      </c>
      <c r="J558" t="s">
        <v>21</v>
      </c>
      <c r="K558" t="s">
        <v>82</v>
      </c>
      <c r="L558" t="s">
        <v>23</v>
      </c>
      <c r="M558" t="s">
        <v>24</v>
      </c>
      <c r="O558" t="s">
        <v>25</v>
      </c>
    </row>
    <row r="559" spans="1:15" x14ac:dyDescent="0.55000000000000004">
      <c r="A559">
        <v>1057</v>
      </c>
      <c r="B559" t="s">
        <v>1073</v>
      </c>
      <c r="C559" t="s">
        <v>1074</v>
      </c>
      <c r="D559" t="s">
        <v>17</v>
      </c>
      <c r="E559" t="s">
        <v>18</v>
      </c>
      <c r="H559" t="s">
        <v>19</v>
      </c>
      <c r="I559" t="s">
        <v>20</v>
      </c>
      <c r="J559" t="s">
        <v>21</v>
      </c>
      <c r="K559" t="s">
        <v>28</v>
      </c>
      <c r="L559" t="s">
        <v>23</v>
      </c>
      <c r="M559" t="s">
        <v>24</v>
      </c>
      <c r="O559" t="s">
        <v>25</v>
      </c>
    </row>
    <row r="560" spans="1:15" x14ac:dyDescent="0.55000000000000004">
      <c r="A560">
        <v>1058</v>
      </c>
      <c r="B560" t="s">
        <v>1075</v>
      </c>
      <c r="C560" t="s">
        <v>1076</v>
      </c>
      <c r="D560" t="s">
        <v>17</v>
      </c>
      <c r="E560" t="s">
        <v>18</v>
      </c>
      <c r="H560" t="s">
        <v>19</v>
      </c>
      <c r="I560" t="s">
        <v>20</v>
      </c>
      <c r="J560" t="s">
        <v>21</v>
      </c>
      <c r="K560" t="s">
        <v>28</v>
      </c>
      <c r="L560" t="s">
        <v>23</v>
      </c>
      <c r="M560" t="s">
        <v>24</v>
      </c>
      <c r="O560" t="s">
        <v>25</v>
      </c>
    </row>
    <row r="561" spans="1:15" x14ac:dyDescent="0.55000000000000004">
      <c r="A561">
        <v>1059</v>
      </c>
      <c r="B561" t="s">
        <v>1077</v>
      </c>
      <c r="C561" t="s">
        <v>1078</v>
      </c>
      <c r="D561" t="s">
        <v>17</v>
      </c>
      <c r="E561" t="s">
        <v>18</v>
      </c>
      <c r="H561" t="s">
        <v>19</v>
      </c>
      <c r="I561" t="s">
        <v>20</v>
      </c>
      <c r="J561" t="s">
        <v>21</v>
      </c>
      <c r="K561" t="s">
        <v>82</v>
      </c>
      <c r="L561" t="s">
        <v>23</v>
      </c>
      <c r="M561" t="s">
        <v>24</v>
      </c>
      <c r="O561" t="s">
        <v>25</v>
      </c>
    </row>
    <row r="562" spans="1:15" x14ac:dyDescent="0.55000000000000004">
      <c r="A562">
        <v>1060</v>
      </c>
      <c r="B562" t="s">
        <v>1079</v>
      </c>
      <c r="C562" t="s">
        <v>1080</v>
      </c>
      <c r="D562" t="s">
        <v>17</v>
      </c>
      <c r="E562" t="s">
        <v>18</v>
      </c>
      <c r="H562" t="s">
        <v>19</v>
      </c>
      <c r="I562" t="s">
        <v>20</v>
      </c>
      <c r="J562" t="s">
        <v>21</v>
      </c>
      <c r="K562" t="s">
        <v>28</v>
      </c>
      <c r="L562" t="s">
        <v>23</v>
      </c>
      <c r="M562" t="s">
        <v>24</v>
      </c>
      <c r="O562" t="s">
        <v>25</v>
      </c>
    </row>
    <row r="563" spans="1:15" x14ac:dyDescent="0.55000000000000004">
      <c r="A563">
        <v>1061</v>
      </c>
      <c r="B563" t="s">
        <v>1081</v>
      </c>
      <c r="C563" t="s">
        <v>1082</v>
      </c>
      <c r="D563" t="s">
        <v>17</v>
      </c>
      <c r="E563" t="s">
        <v>18</v>
      </c>
      <c r="H563" t="s">
        <v>19</v>
      </c>
      <c r="I563" t="s">
        <v>20</v>
      </c>
      <c r="J563" t="s">
        <v>21</v>
      </c>
      <c r="K563" t="s">
        <v>36</v>
      </c>
      <c r="L563" t="s">
        <v>23</v>
      </c>
      <c r="M563" t="s">
        <v>24</v>
      </c>
      <c r="O563" t="s">
        <v>25</v>
      </c>
    </row>
    <row r="564" spans="1:15" x14ac:dyDescent="0.55000000000000004">
      <c r="A564">
        <v>1062</v>
      </c>
      <c r="B564" t="s">
        <v>1083</v>
      </c>
      <c r="C564" t="s">
        <v>1084</v>
      </c>
      <c r="D564" t="s">
        <v>17</v>
      </c>
      <c r="E564" t="s">
        <v>18</v>
      </c>
      <c r="H564" t="s">
        <v>19</v>
      </c>
      <c r="I564" t="s">
        <v>20</v>
      </c>
      <c r="J564" t="s">
        <v>21</v>
      </c>
      <c r="K564" t="s">
        <v>1085</v>
      </c>
      <c r="L564" t="s">
        <v>23</v>
      </c>
      <c r="M564" t="s">
        <v>24</v>
      </c>
      <c r="O564" t="s">
        <v>25</v>
      </c>
    </row>
    <row r="565" spans="1:15" x14ac:dyDescent="0.55000000000000004">
      <c r="A565">
        <v>1063</v>
      </c>
      <c r="B565" t="s">
        <v>1086</v>
      </c>
      <c r="C565" t="s">
        <v>1087</v>
      </c>
      <c r="D565" t="s">
        <v>17</v>
      </c>
      <c r="E565" t="s">
        <v>18</v>
      </c>
      <c r="H565" t="s">
        <v>19</v>
      </c>
      <c r="I565" t="s">
        <v>20</v>
      </c>
      <c r="J565" t="s">
        <v>21</v>
      </c>
      <c r="K565" t="s">
        <v>965</v>
      </c>
      <c r="L565" t="s">
        <v>23</v>
      </c>
      <c r="M565" t="s">
        <v>24</v>
      </c>
      <c r="O565" t="s">
        <v>25</v>
      </c>
    </row>
    <row r="566" spans="1:15" x14ac:dyDescent="0.55000000000000004">
      <c r="A566">
        <v>1064</v>
      </c>
      <c r="B566" t="s">
        <v>1088</v>
      </c>
      <c r="C566" t="s">
        <v>1087</v>
      </c>
      <c r="D566" t="s">
        <v>17</v>
      </c>
      <c r="E566" t="s">
        <v>18</v>
      </c>
      <c r="H566" t="s">
        <v>19</v>
      </c>
      <c r="I566" t="s">
        <v>20</v>
      </c>
      <c r="J566" t="s">
        <v>21</v>
      </c>
      <c r="K566" t="s">
        <v>28</v>
      </c>
      <c r="L566" t="s">
        <v>23</v>
      </c>
      <c r="M566" t="s">
        <v>24</v>
      </c>
      <c r="O566" t="s">
        <v>25</v>
      </c>
    </row>
    <row r="567" spans="1:15" x14ac:dyDescent="0.55000000000000004">
      <c r="A567">
        <v>1065</v>
      </c>
      <c r="B567" t="s">
        <v>1089</v>
      </c>
      <c r="C567" t="s">
        <v>1090</v>
      </c>
      <c r="D567" t="s">
        <v>17</v>
      </c>
      <c r="E567" t="s">
        <v>18</v>
      </c>
      <c r="H567" t="s">
        <v>19</v>
      </c>
      <c r="I567" t="s">
        <v>20</v>
      </c>
      <c r="J567" t="s">
        <v>21</v>
      </c>
      <c r="K567" t="s">
        <v>28</v>
      </c>
      <c r="L567" t="s">
        <v>23</v>
      </c>
      <c r="M567" t="s">
        <v>24</v>
      </c>
      <c r="O567" t="s">
        <v>25</v>
      </c>
    </row>
    <row r="568" spans="1:15" x14ac:dyDescent="0.55000000000000004">
      <c r="A568">
        <v>1066</v>
      </c>
      <c r="B568" t="s">
        <v>1091</v>
      </c>
      <c r="C568" t="s">
        <v>1092</v>
      </c>
      <c r="D568" t="s">
        <v>17</v>
      </c>
      <c r="E568" t="s">
        <v>18</v>
      </c>
      <c r="H568" t="s">
        <v>19</v>
      </c>
      <c r="I568" t="s">
        <v>20</v>
      </c>
      <c r="J568" t="s">
        <v>21</v>
      </c>
      <c r="K568" t="s">
        <v>28</v>
      </c>
      <c r="L568" t="s">
        <v>23</v>
      </c>
      <c r="M568" t="s">
        <v>24</v>
      </c>
      <c r="O568" t="s">
        <v>25</v>
      </c>
    </row>
    <row r="569" spans="1:15" x14ac:dyDescent="0.55000000000000004">
      <c r="A569">
        <v>1067</v>
      </c>
      <c r="B569" t="s">
        <v>1093</v>
      </c>
      <c r="C569" t="s">
        <v>1094</v>
      </c>
      <c r="D569" t="s">
        <v>17</v>
      </c>
      <c r="E569" t="s">
        <v>18</v>
      </c>
      <c r="H569" t="s">
        <v>19</v>
      </c>
      <c r="I569" t="s">
        <v>20</v>
      </c>
      <c r="J569" t="s">
        <v>21</v>
      </c>
      <c r="K569" t="s">
        <v>28</v>
      </c>
      <c r="L569" t="s">
        <v>23</v>
      </c>
      <c r="M569" t="s">
        <v>24</v>
      </c>
      <c r="O569" t="s">
        <v>25</v>
      </c>
    </row>
    <row r="570" spans="1:15" x14ac:dyDescent="0.55000000000000004">
      <c r="A570">
        <v>1068</v>
      </c>
      <c r="B570" t="s">
        <v>1095</v>
      </c>
      <c r="C570" t="s">
        <v>1096</v>
      </c>
      <c r="D570" t="s">
        <v>17</v>
      </c>
      <c r="E570" t="s">
        <v>18</v>
      </c>
      <c r="H570" t="s">
        <v>19</v>
      </c>
      <c r="I570" t="s">
        <v>20</v>
      </c>
      <c r="J570" t="s">
        <v>21</v>
      </c>
      <c r="K570" t="s">
        <v>82</v>
      </c>
      <c r="L570" t="s">
        <v>23</v>
      </c>
      <c r="M570" t="s">
        <v>24</v>
      </c>
      <c r="O570" t="s">
        <v>25</v>
      </c>
    </row>
    <row r="571" spans="1:15" x14ac:dyDescent="0.55000000000000004">
      <c r="A571">
        <v>1069</v>
      </c>
      <c r="B571" t="s">
        <v>1097</v>
      </c>
      <c r="C571" t="s">
        <v>1098</v>
      </c>
      <c r="D571" t="s">
        <v>17</v>
      </c>
      <c r="E571" t="s">
        <v>18</v>
      </c>
      <c r="H571" t="s">
        <v>19</v>
      </c>
      <c r="I571" t="s">
        <v>20</v>
      </c>
      <c r="J571" t="s">
        <v>21</v>
      </c>
      <c r="K571" t="s">
        <v>82</v>
      </c>
      <c r="L571" t="s">
        <v>23</v>
      </c>
      <c r="M571" t="s">
        <v>24</v>
      </c>
      <c r="O571" t="s">
        <v>25</v>
      </c>
    </row>
    <row r="572" spans="1:15" x14ac:dyDescent="0.55000000000000004">
      <c r="A572">
        <v>1070</v>
      </c>
      <c r="B572" t="s">
        <v>1099</v>
      </c>
      <c r="C572" t="s">
        <v>1100</v>
      </c>
      <c r="D572" t="s">
        <v>17</v>
      </c>
      <c r="E572" t="s">
        <v>18</v>
      </c>
      <c r="H572" t="s">
        <v>19</v>
      </c>
      <c r="I572" t="s">
        <v>20</v>
      </c>
      <c r="J572" t="s">
        <v>21</v>
      </c>
      <c r="K572" t="s">
        <v>28</v>
      </c>
      <c r="L572" t="s">
        <v>23</v>
      </c>
      <c r="M572" t="s">
        <v>24</v>
      </c>
      <c r="O572" t="s">
        <v>25</v>
      </c>
    </row>
    <row r="573" spans="1:15" x14ac:dyDescent="0.55000000000000004">
      <c r="A573">
        <v>1071</v>
      </c>
      <c r="B573" t="s">
        <v>1101</v>
      </c>
      <c r="C573" t="s">
        <v>1102</v>
      </c>
      <c r="D573" t="s">
        <v>17</v>
      </c>
      <c r="E573" t="s">
        <v>18</v>
      </c>
      <c r="H573" t="s">
        <v>19</v>
      </c>
      <c r="I573" t="s">
        <v>20</v>
      </c>
      <c r="J573" t="s">
        <v>21</v>
      </c>
      <c r="K573" t="s">
        <v>62</v>
      </c>
      <c r="L573" t="s">
        <v>23</v>
      </c>
      <c r="M573" t="s">
        <v>24</v>
      </c>
      <c r="O573" t="s">
        <v>25</v>
      </c>
    </row>
    <row r="574" spans="1:15" x14ac:dyDescent="0.55000000000000004">
      <c r="A574">
        <v>1072</v>
      </c>
      <c r="B574" t="s">
        <v>1103</v>
      </c>
      <c r="C574" t="s">
        <v>1104</v>
      </c>
      <c r="D574" t="s">
        <v>17</v>
      </c>
      <c r="E574" t="s">
        <v>18</v>
      </c>
      <c r="H574" t="s">
        <v>19</v>
      </c>
      <c r="I574" t="s">
        <v>20</v>
      </c>
      <c r="J574" t="s">
        <v>21</v>
      </c>
      <c r="K574" t="s">
        <v>36</v>
      </c>
      <c r="L574" t="s">
        <v>23</v>
      </c>
      <c r="M574" t="s">
        <v>24</v>
      </c>
      <c r="O574" t="s">
        <v>25</v>
      </c>
    </row>
    <row r="575" spans="1:15" x14ac:dyDescent="0.55000000000000004">
      <c r="A575">
        <v>1073</v>
      </c>
      <c r="B575" t="s">
        <v>1105</v>
      </c>
      <c r="C575" t="s">
        <v>1106</v>
      </c>
      <c r="D575" t="s">
        <v>17</v>
      </c>
      <c r="E575" t="s">
        <v>18</v>
      </c>
      <c r="H575" t="s">
        <v>19</v>
      </c>
      <c r="I575" t="s">
        <v>20</v>
      </c>
      <c r="J575" t="s">
        <v>21</v>
      </c>
      <c r="K575" t="s">
        <v>28</v>
      </c>
      <c r="L575" t="s">
        <v>23</v>
      </c>
      <c r="M575" t="s">
        <v>24</v>
      </c>
      <c r="O575" t="s">
        <v>25</v>
      </c>
    </row>
    <row r="576" spans="1:15" x14ac:dyDescent="0.55000000000000004">
      <c r="A576">
        <v>1074</v>
      </c>
      <c r="B576" t="s">
        <v>1107</v>
      </c>
      <c r="C576" t="s">
        <v>1108</v>
      </c>
      <c r="D576" t="s">
        <v>17</v>
      </c>
      <c r="E576" t="s">
        <v>18</v>
      </c>
      <c r="H576" t="s">
        <v>19</v>
      </c>
      <c r="I576" t="s">
        <v>20</v>
      </c>
      <c r="J576" t="s">
        <v>21</v>
      </c>
      <c r="K576" t="s">
        <v>28</v>
      </c>
      <c r="L576" t="s">
        <v>23</v>
      </c>
      <c r="M576" t="s">
        <v>24</v>
      </c>
      <c r="O576" t="s">
        <v>25</v>
      </c>
    </row>
    <row r="577" spans="1:15" x14ac:dyDescent="0.55000000000000004">
      <c r="A577">
        <v>1075</v>
      </c>
      <c r="B577" t="s">
        <v>1109</v>
      </c>
      <c r="C577" t="s">
        <v>1110</v>
      </c>
      <c r="D577" t="s">
        <v>17</v>
      </c>
      <c r="E577" t="s">
        <v>18</v>
      </c>
      <c r="H577" t="s">
        <v>19</v>
      </c>
      <c r="I577" t="s">
        <v>20</v>
      </c>
      <c r="J577" t="s">
        <v>21</v>
      </c>
      <c r="K577" t="s">
        <v>28</v>
      </c>
      <c r="L577" t="s">
        <v>23</v>
      </c>
      <c r="M577" t="s">
        <v>24</v>
      </c>
      <c r="O577" t="s">
        <v>25</v>
      </c>
    </row>
    <row r="578" spans="1:15" x14ac:dyDescent="0.55000000000000004">
      <c r="A578">
        <v>1076</v>
      </c>
      <c r="B578" t="s">
        <v>1111</v>
      </c>
      <c r="C578" t="s">
        <v>1110</v>
      </c>
      <c r="D578" t="s">
        <v>17</v>
      </c>
      <c r="E578" t="s">
        <v>18</v>
      </c>
      <c r="H578" t="s">
        <v>19</v>
      </c>
      <c r="I578" t="s">
        <v>20</v>
      </c>
      <c r="J578" t="s">
        <v>21</v>
      </c>
      <c r="K578" t="s">
        <v>82</v>
      </c>
      <c r="L578" t="s">
        <v>23</v>
      </c>
      <c r="M578" t="s">
        <v>24</v>
      </c>
      <c r="O578" t="s">
        <v>25</v>
      </c>
    </row>
    <row r="579" spans="1:15" x14ac:dyDescent="0.55000000000000004">
      <c r="A579">
        <v>1077</v>
      </c>
      <c r="B579" t="s">
        <v>1112</v>
      </c>
      <c r="C579" t="s">
        <v>1113</v>
      </c>
      <c r="D579" t="s">
        <v>17</v>
      </c>
      <c r="E579" t="s">
        <v>18</v>
      </c>
      <c r="H579" t="s">
        <v>19</v>
      </c>
      <c r="I579" t="s">
        <v>20</v>
      </c>
      <c r="J579" t="s">
        <v>21</v>
      </c>
      <c r="K579" t="s">
        <v>36</v>
      </c>
      <c r="L579" t="s">
        <v>23</v>
      </c>
      <c r="M579" t="s">
        <v>24</v>
      </c>
      <c r="O579" t="s">
        <v>25</v>
      </c>
    </row>
    <row r="580" spans="1:15" x14ac:dyDescent="0.55000000000000004">
      <c r="A580">
        <v>1078</v>
      </c>
      <c r="B580" t="s">
        <v>1114</v>
      </c>
      <c r="C580" t="s">
        <v>1115</v>
      </c>
      <c r="D580" t="s">
        <v>17</v>
      </c>
      <c r="E580" t="s">
        <v>18</v>
      </c>
      <c r="H580" t="s">
        <v>19</v>
      </c>
      <c r="I580" t="s">
        <v>20</v>
      </c>
      <c r="J580" t="s">
        <v>21</v>
      </c>
      <c r="K580" t="s">
        <v>220</v>
      </c>
      <c r="L580" t="s">
        <v>23</v>
      </c>
      <c r="M580" t="s">
        <v>24</v>
      </c>
      <c r="O580" t="s">
        <v>25</v>
      </c>
    </row>
    <row r="581" spans="1:15" x14ac:dyDescent="0.55000000000000004">
      <c r="A581">
        <v>1079</v>
      </c>
      <c r="B581" t="s">
        <v>1116</v>
      </c>
      <c r="C581" t="s">
        <v>1115</v>
      </c>
      <c r="D581" t="s">
        <v>17</v>
      </c>
      <c r="E581" t="s">
        <v>18</v>
      </c>
      <c r="H581" t="s">
        <v>19</v>
      </c>
      <c r="I581" t="s">
        <v>20</v>
      </c>
      <c r="J581" t="s">
        <v>21</v>
      </c>
      <c r="K581" t="s">
        <v>28</v>
      </c>
      <c r="L581" t="s">
        <v>23</v>
      </c>
      <c r="M581" t="s">
        <v>24</v>
      </c>
      <c r="O581" t="s">
        <v>25</v>
      </c>
    </row>
    <row r="582" spans="1:15" x14ac:dyDescent="0.55000000000000004">
      <c r="A582">
        <v>1080</v>
      </c>
      <c r="B582" t="s">
        <v>1117</v>
      </c>
      <c r="C582" t="s">
        <v>1118</v>
      </c>
      <c r="D582" t="s">
        <v>17</v>
      </c>
      <c r="E582" t="s">
        <v>18</v>
      </c>
      <c r="H582" t="s">
        <v>19</v>
      </c>
      <c r="I582" t="s">
        <v>20</v>
      </c>
      <c r="J582" t="s">
        <v>21</v>
      </c>
      <c r="K582" t="s">
        <v>220</v>
      </c>
      <c r="L582" t="s">
        <v>23</v>
      </c>
      <c r="M582" t="s">
        <v>24</v>
      </c>
      <c r="O582" t="s">
        <v>25</v>
      </c>
    </row>
    <row r="583" spans="1:15" x14ac:dyDescent="0.55000000000000004">
      <c r="A583">
        <v>1081</v>
      </c>
      <c r="B583" t="s">
        <v>1119</v>
      </c>
      <c r="C583" t="s">
        <v>1120</v>
      </c>
      <c r="D583" t="s">
        <v>17</v>
      </c>
      <c r="E583" t="s">
        <v>18</v>
      </c>
      <c r="H583" t="s">
        <v>19</v>
      </c>
      <c r="I583" t="s">
        <v>20</v>
      </c>
      <c r="J583" t="s">
        <v>21</v>
      </c>
      <c r="K583" t="s">
        <v>82</v>
      </c>
      <c r="L583" t="s">
        <v>23</v>
      </c>
      <c r="M583" t="s">
        <v>24</v>
      </c>
      <c r="O583" t="s">
        <v>25</v>
      </c>
    </row>
    <row r="584" spans="1:15" x14ac:dyDescent="0.55000000000000004">
      <c r="A584">
        <v>1082</v>
      </c>
      <c r="B584" t="s">
        <v>1121</v>
      </c>
      <c r="C584" t="s">
        <v>1122</v>
      </c>
      <c r="D584" t="s">
        <v>17</v>
      </c>
      <c r="E584" t="s">
        <v>18</v>
      </c>
      <c r="G584" t="s">
        <v>1123</v>
      </c>
      <c r="H584" t="s">
        <v>19</v>
      </c>
      <c r="I584" t="s">
        <v>20</v>
      </c>
      <c r="J584" t="s">
        <v>21</v>
      </c>
      <c r="K584" t="s">
        <v>28</v>
      </c>
      <c r="L584" t="s">
        <v>23</v>
      </c>
      <c r="M584" t="s">
        <v>24</v>
      </c>
      <c r="O584" t="s">
        <v>25</v>
      </c>
    </row>
    <row r="585" spans="1:15" x14ac:dyDescent="0.55000000000000004">
      <c r="A585">
        <v>1083</v>
      </c>
      <c r="B585" t="s">
        <v>1124</v>
      </c>
      <c r="C585" t="s">
        <v>1125</v>
      </c>
      <c r="D585" t="s">
        <v>17</v>
      </c>
      <c r="E585" t="s">
        <v>18</v>
      </c>
      <c r="G585" t="s">
        <v>1123</v>
      </c>
      <c r="H585" t="s">
        <v>19</v>
      </c>
      <c r="I585" t="s">
        <v>20</v>
      </c>
      <c r="J585" t="s">
        <v>21</v>
      </c>
      <c r="K585" t="s">
        <v>28</v>
      </c>
      <c r="L585" t="s">
        <v>23</v>
      </c>
      <c r="M585" t="s">
        <v>24</v>
      </c>
      <c r="O585" t="s">
        <v>25</v>
      </c>
    </row>
    <row r="586" spans="1:15" x14ac:dyDescent="0.55000000000000004">
      <c r="A586">
        <v>1084</v>
      </c>
      <c r="B586" t="s">
        <v>1126</v>
      </c>
      <c r="C586" t="s">
        <v>1127</v>
      </c>
      <c r="D586" t="s">
        <v>17</v>
      </c>
      <c r="E586" t="s">
        <v>18</v>
      </c>
      <c r="G586" t="s">
        <v>1123</v>
      </c>
      <c r="H586" t="s">
        <v>19</v>
      </c>
      <c r="I586" t="s">
        <v>20</v>
      </c>
      <c r="J586" t="s">
        <v>21</v>
      </c>
      <c r="K586" t="s">
        <v>28</v>
      </c>
      <c r="L586" t="s">
        <v>23</v>
      </c>
      <c r="M586" t="s">
        <v>24</v>
      </c>
      <c r="O586" t="s">
        <v>25</v>
      </c>
    </row>
    <row r="587" spans="1:15" x14ac:dyDescent="0.55000000000000004">
      <c r="A587">
        <v>1085</v>
      </c>
      <c r="B587" t="s">
        <v>1128</v>
      </c>
      <c r="C587" t="s">
        <v>1129</v>
      </c>
      <c r="D587" t="s">
        <v>17</v>
      </c>
      <c r="E587" t="s">
        <v>18</v>
      </c>
      <c r="G587" t="s">
        <v>1123</v>
      </c>
      <c r="H587" t="s">
        <v>19</v>
      </c>
      <c r="I587" t="s">
        <v>20</v>
      </c>
      <c r="J587" t="s">
        <v>21</v>
      </c>
      <c r="K587" t="s">
        <v>28</v>
      </c>
      <c r="L587" t="s">
        <v>23</v>
      </c>
      <c r="M587" t="s">
        <v>24</v>
      </c>
      <c r="O587" t="s">
        <v>25</v>
      </c>
    </row>
    <row r="588" spans="1:15" x14ac:dyDescent="0.55000000000000004">
      <c r="A588">
        <v>1086</v>
      </c>
      <c r="B588" t="s">
        <v>1130</v>
      </c>
      <c r="C588" t="s">
        <v>1131</v>
      </c>
      <c r="D588" t="s">
        <v>17</v>
      </c>
      <c r="E588" t="s">
        <v>18</v>
      </c>
      <c r="G588" t="s">
        <v>1123</v>
      </c>
      <c r="H588" t="s">
        <v>19</v>
      </c>
      <c r="I588" t="s">
        <v>20</v>
      </c>
      <c r="J588" t="s">
        <v>21</v>
      </c>
      <c r="K588" t="s">
        <v>28</v>
      </c>
      <c r="L588" t="s">
        <v>23</v>
      </c>
      <c r="M588" t="s">
        <v>24</v>
      </c>
      <c r="O588" t="s">
        <v>25</v>
      </c>
    </row>
    <row r="589" spans="1:15" x14ac:dyDescent="0.55000000000000004">
      <c r="A589">
        <v>1087</v>
      </c>
      <c r="B589" t="s">
        <v>1132</v>
      </c>
      <c r="C589" t="s">
        <v>1133</v>
      </c>
      <c r="D589" t="s">
        <v>17</v>
      </c>
      <c r="E589" t="s">
        <v>18</v>
      </c>
      <c r="G589" t="s">
        <v>1123</v>
      </c>
      <c r="H589" t="s">
        <v>19</v>
      </c>
      <c r="I589" t="s">
        <v>20</v>
      </c>
      <c r="J589" t="s">
        <v>21</v>
      </c>
      <c r="K589" t="s">
        <v>28</v>
      </c>
      <c r="L589" t="s">
        <v>23</v>
      </c>
      <c r="M589" t="s">
        <v>24</v>
      </c>
      <c r="O589" t="s">
        <v>25</v>
      </c>
    </row>
    <row r="590" spans="1:15" x14ac:dyDescent="0.55000000000000004">
      <c r="A590">
        <v>1088</v>
      </c>
      <c r="B590" t="s">
        <v>1134</v>
      </c>
      <c r="C590" t="s">
        <v>1135</v>
      </c>
      <c r="D590" t="s">
        <v>17</v>
      </c>
      <c r="E590" t="s">
        <v>18</v>
      </c>
      <c r="G590" t="s">
        <v>1123</v>
      </c>
      <c r="H590" t="s">
        <v>19</v>
      </c>
      <c r="I590" t="s">
        <v>20</v>
      </c>
      <c r="J590" t="s">
        <v>21</v>
      </c>
      <c r="K590" t="s">
        <v>28</v>
      </c>
      <c r="L590" t="s">
        <v>23</v>
      </c>
      <c r="M590" t="s">
        <v>24</v>
      </c>
      <c r="O590" t="s">
        <v>25</v>
      </c>
    </row>
    <row r="591" spans="1:15" x14ac:dyDescent="0.55000000000000004">
      <c r="A591">
        <v>1089</v>
      </c>
      <c r="B591" t="s">
        <v>1136</v>
      </c>
      <c r="C591" t="s">
        <v>1137</v>
      </c>
      <c r="D591" t="s">
        <v>17</v>
      </c>
      <c r="E591" t="s">
        <v>18</v>
      </c>
      <c r="G591" t="s">
        <v>1123</v>
      </c>
      <c r="H591" t="s">
        <v>19</v>
      </c>
      <c r="I591" t="s">
        <v>20</v>
      </c>
      <c r="J591" t="s">
        <v>21</v>
      </c>
      <c r="K591" t="s">
        <v>28</v>
      </c>
      <c r="L591" t="s">
        <v>23</v>
      </c>
      <c r="M591" t="s">
        <v>24</v>
      </c>
      <c r="O591" t="s">
        <v>25</v>
      </c>
    </row>
    <row r="592" spans="1:15" x14ac:dyDescent="0.55000000000000004">
      <c r="A592">
        <v>1090</v>
      </c>
      <c r="B592" t="s">
        <v>1138</v>
      </c>
      <c r="C592" t="s">
        <v>1139</v>
      </c>
      <c r="D592" t="s">
        <v>17</v>
      </c>
      <c r="E592" t="s">
        <v>18</v>
      </c>
      <c r="G592" t="s">
        <v>1123</v>
      </c>
      <c r="H592" t="s">
        <v>19</v>
      </c>
      <c r="I592" t="s">
        <v>20</v>
      </c>
      <c r="J592" t="s">
        <v>21</v>
      </c>
      <c r="K592" t="s">
        <v>28</v>
      </c>
      <c r="L592" t="s">
        <v>23</v>
      </c>
      <c r="M592" t="s">
        <v>24</v>
      </c>
      <c r="O592" t="s">
        <v>25</v>
      </c>
    </row>
    <row r="593" spans="1:15" x14ac:dyDescent="0.55000000000000004">
      <c r="A593">
        <v>1091</v>
      </c>
      <c r="B593" t="s">
        <v>1140</v>
      </c>
      <c r="C593" t="s">
        <v>1141</v>
      </c>
      <c r="D593" t="s">
        <v>17</v>
      </c>
      <c r="E593" t="s">
        <v>18</v>
      </c>
      <c r="G593" t="s">
        <v>1123</v>
      </c>
      <c r="H593" t="s">
        <v>19</v>
      </c>
      <c r="I593" t="s">
        <v>20</v>
      </c>
      <c r="J593" t="s">
        <v>21</v>
      </c>
      <c r="K593" t="s">
        <v>28</v>
      </c>
      <c r="L593" t="s">
        <v>23</v>
      </c>
      <c r="M593" t="s">
        <v>24</v>
      </c>
      <c r="O593" t="s">
        <v>25</v>
      </c>
    </row>
    <row r="594" spans="1:15" x14ac:dyDescent="0.55000000000000004">
      <c r="A594">
        <v>1092</v>
      </c>
      <c r="B594" t="s">
        <v>1142</v>
      </c>
      <c r="C594" t="s">
        <v>1143</v>
      </c>
      <c r="D594" t="s">
        <v>17</v>
      </c>
      <c r="E594" t="s">
        <v>18</v>
      </c>
      <c r="G594" t="s">
        <v>1123</v>
      </c>
      <c r="H594" t="s">
        <v>19</v>
      </c>
      <c r="I594" t="s">
        <v>20</v>
      </c>
      <c r="J594" t="s">
        <v>21</v>
      </c>
      <c r="K594" t="s">
        <v>28</v>
      </c>
      <c r="L594" t="s">
        <v>23</v>
      </c>
      <c r="M594" t="s">
        <v>24</v>
      </c>
      <c r="O594" t="s">
        <v>25</v>
      </c>
    </row>
    <row r="595" spans="1:15" x14ac:dyDescent="0.55000000000000004">
      <c r="A595">
        <v>1093</v>
      </c>
      <c r="B595" t="s">
        <v>1144</v>
      </c>
      <c r="C595" t="s">
        <v>1145</v>
      </c>
      <c r="D595" t="s">
        <v>17</v>
      </c>
      <c r="E595" t="s">
        <v>18</v>
      </c>
      <c r="G595" t="s">
        <v>1123</v>
      </c>
      <c r="H595" t="s">
        <v>19</v>
      </c>
      <c r="I595" t="s">
        <v>20</v>
      </c>
      <c r="J595" t="s">
        <v>21</v>
      </c>
      <c r="K595" t="s">
        <v>28</v>
      </c>
      <c r="L595" t="s">
        <v>23</v>
      </c>
      <c r="M595" t="s">
        <v>24</v>
      </c>
      <c r="O595" t="s">
        <v>25</v>
      </c>
    </row>
    <row r="596" spans="1:15" x14ac:dyDescent="0.55000000000000004">
      <c r="A596">
        <v>1094</v>
      </c>
      <c r="B596" t="s">
        <v>1146</v>
      </c>
      <c r="C596" t="s">
        <v>1147</v>
      </c>
      <c r="D596" t="s">
        <v>17</v>
      </c>
      <c r="E596" t="s">
        <v>18</v>
      </c>
      <c r="G596" t="s">
        <v>1123</v>
      </c>
      <c r="H596" t="s">
        <v>19</v>
      </c>
      <c r="I596" t="s">
        <v>20</v>
      </c>
      <c r="J596" t="s">
        <v>21</v>
      </c>
      <c r="K596" t="s">
        <v>28</v>
      </c>
      <c r="L596" t="s">
        <v>23</v>
      </c>
      <c r="M596" t="s">
        <v>24</v>
      </c>
      <c r="O596" t="s">
        <v>25</v>
      </c>
    </row>
    <row r="597" spans="1:15" x14ac:dyDescent="0.55000000000000004">
      <c r="A597">
        <v>1095</v>
      </c>
      <c r="B597" t="s">
        <v>1148</v>
      </c>
      <c r="C597" t="s">
        <v>1149</v>
      </c>
      <c r="D597" t="s">
        <v>17</v>
      </c>
      <c r="E597" t="s">
        <v>18</v>
      </c>
      <c r="G597" t="s">
        <v>1123</v>
      </c>
      <c r="H597" t="s">
        <v>19</v>
      </c>
      <c r="I597" t="s">
        <v>20</v>
      </c>
      <c r="J597" t="s">
        <v>21</v>
      </c>
      <c r="K597" t="s">
        <v>28</v>
      </c>
      <c r="L597" t="s">
        <v>23</v>
      </c>
      <c r="M597" t="s">
        <v>24</v>
      </c>
      <c r="O597" t="s">
        <v>25</v>
      </c>
    </row>
    <row r="598" spans="1:15" x14ac:dyDescent="0.55000000000000004">
      <c r="A598">
        <v>1096</v>
      </c>
      <c r="B598" t="s">
        <v>1150</v>
      </c>
      <c r="C598" t="s">
        <v>1151</v>
      </c>
      <c r="D598" t="s">
        <v>17</v>
      </c>
      <c r="E598" t="s">
        <v>18</v>
      </c>
      <c r="G598" t="s">
        <v>1123</v>
      </c>
      <c r="H598" t="s">
        <v>19</v>
      </c>
      <c r="I598" t="s">
        <v>20</v>
      </c>
      <c r="J598" t="s">
        <v>21</v>
      </c>
      <c r="K598" t="s">
        <v>28</v>
      </c>
      <c r="L598" t="s">
        <v>23</v>
      </c>
      <c r="M598" t="s">
        <v>24</v>
      </c>
      <c r="O598" t="s">
        <v>25</v>
      </c>
    </row>
    <row r="599" spans="1:15" x14ac:dyDescent="0.55000000000000004">
      <c r="A599">
        <v>1097</v>
      </c>
      <c r="B599" t="s">
        <v>1152</v>
      </c>
      <c r="C599" t="s">
        <v>1153</v>
      </c>
      <c r="D599" t="s">
        <v>17</v>
      </c>
      <c r="E599" t="s">
        <v>18</v>
      </c>
      <c r="G599" t="s">
        <v>1123</v>
      </c>
      <c r="H599" t="s">
        <v>19</v>
      </c>
      <c r="I599" t="s">
        <v>20</v>
      </c>
      <c r="J599" t="s">
        <v>21</v>
      </c>
      <c r="K599" t="s">
        <v>28</v>
      </c>
      <c r="L599" t="s">
        <v>23</v>
      </c>
      <c r="M599" t="s">
        <v>24</v>
      </c>
      <c r="O599" t="s">
        <v>25</v>
      </c>
    </row>
    <row r="600" spans="1:15" x14ac:dyDescent="0.55000000000000004">
      <c r="A600">
        <v>1098</v>
      </c>
      <c r="B600" t="s">
        <v>1154</v>
      </c>
      <c r="C600" t="s">
        <v>1155</v>
      </c>
      <c r="D600" t="s">
        <v>17</v>
      </c>
      <c r="E600" t="s">
        <v>18</v>
      </c>
      <c r="G600" t="s">
        <v>1123</v>
      </c>
      <c r="H600" t="s">
        <v>19</v>
      </c>
      <c r="I600" t="s">
        <v>20</v>
      </c>
      <c r="J600" t="s">
        <v>21</v>
      </c>
      <c r="K600" t="s">
        <v>28</v>
      </c>
      <c r="L600" t="s">
        <v>23</v>
      </c>
      <c r="M600" t="s">
        <v>24</v>
      </c>
      <c r="O600" t="s">
        <v>25</v>
      </c>
    </row>
    <row r="601" spans="1:15" x14ac:dyDescent="0.55000000000000004">
      <c r="A601">
        <v>1099</v>
      </c>
      <c r="B601" t="s">
        <v>1156</v>
      </c>
      <c r="C601" t="s">
        <v>1157</v>
      </c>
      <c r="D601" t="s">
        <v>17</v>
      </c>
      <c r="E601" t="s">
        <v>18</v>
      </c>
      <c r="G601" t="s">
        <v>1123</v>
      </c>
      <c r="H601" t="s">
        <v>19</v>
      </c>
      <c r="I601" t="s">
        <v>20</v>
      </c>
      <c r="J601" t="s">
        <v>21</v>
      </c>
      <c r="K601" t="s">
        <v>28</v>
      </c>
      <c r="L601" t="s">
        <v>23</v>
      </c>
      <c r="M601" t="s">
        <v>24</v>
      </c>
      <c r="O601" t="s">
        <v>25</v>
      </c>
    </row>
    <row r="602" spans="1:15" x14ac:dyDescent="0.55000000000000004">
      <c r="A602">
        <v>1100</v>
      </c>
      <c r="B602" t="s">
        <v>1158</v>
      </c>
      <c r="C602" t="s">
        <v>1159</v>
      </c>
      <c r="D602" t="s">
        <v>17</v>
      </c>
      <c r="E602" t="s">
        <v>18</v>
      </c>
      <c r="G602" t="s">
        <v>1123</v>
      </c>
      <c r="H602" t="s">
        <v>19</v>
      </c>
      <c r="I602" t="s">
        <v>20</v>
      </c>
      <c r="J602" t="s">
        <v>21</v>
      </c>
      <c r="K602" t="s">
        <v>28</v>
      </c>
      <c r="L602" t="s">
        <v>23</v>
      </c>
      <c r="M602" t="s">
        <v>24</v>
      </c>
      <c r="O602" t="s">
        <v>25</v>
      </c>
    </row>
    <row r="603" spans="1:15" x14ac:dyDescent="0.55000000000000004">
      <c r="A603">
        <v>1101</v>
      </c>
      <c r="B603" t="s">
        <v>1160</v>
      </c>
      <c r="C603" t="s">
        <v>1161</v>
      </c>
      <c r="D603" t="s">
        <v>17</v>
      </c>
      <c r="E603" t="s">
        <v>18</v>
      </c>
      <c r="G603" t="s">
        <v>1123</v>
      </c>
      <c r="H603" t="s">
        <v>19</v>
      </c>
      <c r="I603" t="s">
        <v>20</v>
      </c>
      <c r="J603" t="s">
        <v>21</v>
      </c>
      <c r="K603" t="s">
        <v>28</v>
      </c>
      <c r="L603" t="s">
        <v>23</v>
      </c>
      <c r="M603" t="s">
        <v>24</v>
      </c>
      <c r="O603" t="s">
        <v>25</v>
      </c>
    </row>
    <row r="604" spans="1:15" x14ac:dyDescent="0.55000000000000004">
      <c r="A604">
        <v>1102</v>
      </c>
      <c r="B604" t="s">
        <v>1162</v>
      </c>
      <c r="C604" t="s">
        <v>1163</v>
      </c>
      <c r="D604" t="s">
        <v>17</v>
      </c>
      <c r="E604" t="s">
        <v>18</v>
      </c>
      <c r="G604" t="s">
        <v>1123</v>
      </c>
      <c r="H604" t="s">
        <v>19</v>
      </c>
      <c r="I604" t="s">
        <v>20</v>
      </c>
      <c r="J604" t="s">
        <v>21</v>
      </c>
      <c r="K604" t="s">
        <v>28</v>
      </c>
      <c r="L604" t="s">
        <v>23</v>
      </c>
      <c r="M604" t="s">
        <v>24</v>
      </c>
      <c r="O604" t="s">
        <v>25</v>
      </c>
    </row>
    <row r="605" spans="1:15" x14ac:dyDescent="0.55000000000000004">
      <c r="A605">
        <v>1103</v>
      </c>
      <c r="B605" t="s">
        <v>1164</v>
      </c>
      <c r="C605" t="s">
        <v>1165</v>
      </c>
      <c r="D605" t="s">
        <v>17</v>
      </c>
      <c r="E605" t="s">
        <v>18</v>
      </c>
      <c r="G605" t="s">
        <v>1123</v>
      </c>
      <c r="H605" t="s">
        <v>19</v>
      </c>
      <c r="I605" t="s">
        <v>20</v>
      </c>
      <c r="J605" t="s">
        <v>21</v>
      </c>
      <c r="K605" t="s">
        <v>28</v>
      </c>
      <c r="L605" t="s">
        <v>23</v>
      </c>
      <c r="M605" t="s">
        <v>24</v>
      </c>
      <c r="O605" t="s">
        <v>25</v>
      </c>
    </row>
    <row r="606" spans="1:15" x14ac:dyDescent="0.55000000000000004">
      <c r="A606">
        <v>1104</v>
      </c>
      <c r="B606" t="s">
        <v>1166</v>
      </c>
      <c r="C606" t="s">
        <v>1167</v>
      </c>
      <c r="D606" t="s">
        <v>17</v>
      </c>
      <c r="E606" t="s">
        <v>18</v>
      </c>
      <c r="G606" t="s">
        <v>1123</v>
      </c>
      <c r="H606" t="s">
        <v>19</v>
      </c>
      <c r="I606" t="s">
        <v>20</v>
      </c>
      <c r="J606" t="s">
        <v>21</v>
      </c>
      <c r="K606" t="s">
        <v>28</v>
      </c>
      <c r="L606" t="s">
        <v>23</v>
      </c>
      <c r="M606" t="s">
        <v>24</v>
      </c>
      <c r="O606" t="s">
        <v>25</v>
      </c>
    </row>
    <row r="607" spans="1:15" x14ac:dyDescent="0.55000000000000004">
      <c r="A607">
        <v>1105</v>
      </c>
      <c r="B607" t="s">
        <v>1168</v>
      </c>
      <c r="C607" t="s">
        <v>1169</v>
      </c>
      <c r="D607" t="s">
        <v>17</v>
      </c>
      <c r="E607" t="s">
        <v>18</v>
      </c>
      <c r="G607" t="s">
        <v>1123</v>
      </c>
      <c r="H607" t="s">
        <v>19</v>
      </c>
      <c r="I607" t="s">
        <v>20</v>
      </c>
      <c r="J607" t="s">
        <v>21</v>
      </c>
      <c r="K607" t="s">
        <v>28</v>
      </c>
      <c r="L607" t="s">
        <v>23</v>
      </c>
      <c r="M607" t="s">
        <v>24</v>
      </c>
      <c r="O607" t="s">
        <v>25</v>
      </c>
    </row>
    <row r="608" spans="1:15" x14ac:dyDescent="0.55000000000000004">
      <c r="A608">
        <v>1106</v>
      </c>
      <c r="B608" t="s">
        <v>1170</v>
      </c>
      <c r="C608" t="s">
        <v>1171</v>
      </c>
      <c r="D608" t="s">
        <v>17</v>
      </c>
      <c r="E608" t="s">
        <v>18</v>
      </c>
      <c r="G608" t="s">
        <v>1123</v>
      </c>
      <c r="H608" t="s">
        <v>19</v>
      </c>
      <c r="I608" t="s">
        <v>20</v>
      </c>
      <c r="J608" t="s">
        <v>21</v>
      </c>
      <c r="K608" t="s">
        <v>28</v>
      </c>
      <c r="L608" t="s">
        <v>23</v>
      </c>
      <c r="M608" t="s">
        <v>24</v>
      </c>
      <c r="O608" t="s">
        <v>25</v>
      </c>
    </row>
    <row r="609" spans="1:15" x14ac:dyDescent="0.55000000000000004">
      <c r="A609">
        <v>1107</v>
      </c>
      <c r="B609" t="s">
        <v>1172</v>
      </c>
      <c r="C609" t="s">
        <v>1173</v>
      </c>
      <c r="D609" t="s">
        <v>17</v>
      </c>
      <c r="E609" t="s">
        <v>18</v>
      </c>
      <c r="G609" t="s">
        <v>1123</v>
      </c>
      <c r="H609" t="s">
        <v>19</v>
      </c>
      <c r="I609" t="s">
        <v>20</v>
      </c>
      <c r="J609" t="s">
        <v>21</v>
      </c>
      <c r="K609" t="s">
        <v>28</v>
      </c>
      <c r="L609" t="s">
        <v>23</v>
      </c>
      <c r="M609" t="s">
        <v>24</v>
      </c>
      <c r="O609" t="s">
        <v>25</v>
      </c>
    </row>
    <row r="610" spans="1:15" x14ac:dyDescent="0.55000000000000004">
      <c r="A610">
        <v>1108</v>
      </c>
      <c r="B610" t="s">
        <v>1174</v>
      </c>
      <c r="C610" t="s">
        <v>1175</v>
      </c>
      <c r="D610" t="s">
        <v>17</v>
      </c>
      <c r="E610" t="s">
        <v>18</v>
      </c>
      <c r="G610" t="s">
        <v>1123</v>
      </c>
      <c r="H610" t="s">
        <v>19</v>
      </c>
      <c r="I610" t="s">
        <v>20</v>
      </c>
      <c r="J610" t="s">
        <v>21</v>
      </c>
      <c r="K610" t="s">
        <v>28</v>
      </c>
      <c r="L610" t="s">
        <v>23</v>
      </c>
      <c r="M610" t="s">
        <v>24</v>
      </c>
      <c r="O610" t="s">
        <v>25</v>
      </c>
    </row>
    <row r="611" spans="1:15" x14ac:dyDescent="0.55000000000000004">
      <c r="A611">
        <v>1109</v>
      </c>
      <c r="B611" t="s">
        <v>1176</v>
      </c>
      <c r="C611" t="s">
        <v>1177</v>
      </c>
      <c r="D611" t="s">
        <v>17</v>
      </c>
      <c r="E611" t="s">
        <v>18</v>
      </c>
      <c r="G611" t="s">
        <v>1123</v>
      </c>
      <c r="H611" t="s">
        <v>19</v>
      </c>
      <c r="I611" t="s">
        <v>20</v>
      </c>
      <c r="J611" t="s">
        <v>21</v>
      </c>
      <c r="K611" t="s">
        <v>28</v>
      </c>
      <c r="L611" t="s">
        <v>23</v>
      </c>
      <c r="M611" t="s">
        <v>24</v>
      </c>
      <c r="O611" t="s">
        <v>25</v>
      </c>
    </row>
    <row r="612" spans="1:15" x14ac:dyDescent="0.55000000000000004">
      <c r="A612">
        <v>1110</v>
      </c>
      <c r="B612" t="s">
        <v>1178</v>
      </c>
      <c r="C612" t="s">
        <v>1179</v>
      </c>
      <c r="D612" t="s">
        <v>17</v>
      </c>
      <c r="E612" t="s">
        <v>18</v>
      </c>
      <c r="H612" t="s">
        <v>19</v>
      </c>
      <c r="I612" t="s">
        <v>20</v>
      </c>
      <c r="J612" t="s">
        <v>21</v>
      </c>
      <c r="K612" t="s">
        <v>28</v>
      </c>
      <c r="L612" t="s">
        <v>23</v>
      </c>
      <c r="M612" t="s">
        <v>24</v>
      </c>
      <c r="O612" t="s">
        <v>25</v>
      </c>
    </row>
    <row r="613" spans="1:15" x14ac:dyDescent="0.55000000000000004">
      <c r="A613">
        <v>1111</v>
      </c>
      <c r="B613" t="s">
        <v>1180</v>
      </c>
      <c r="C613" t="s">
        <v>1181</v>
      </c>
      <c r="D613" t="s">
        <v>17</v>
      </c>
      <c r="E613" t="s">
        <v>18</v>
      </c>
      <c r="H613" t="s">
        <v>19</v>
      </c>
      <c r="I613" t="s">
        <v>20</v>
      </c>
      <c r="J613" t="s">
        <v>21</v>
      </c>
      <c r="K613" t="s">
        <v>28</v>
      </c>
      <c r="L613" t="s">
        <v>23</v>
      </c>
      <c r="M613" t="s">
        <v>24</v>
      </c>
      <c r="O613" t="s">
        <v>25</v>
      </c>
    </row>
    <row r="614" spans="1:15" x14ac:dyDescent="0.55000000000000004">
      <c r="A614">
        <v>1112</v>
      </c>
      <c r="B614" t="s">
        <v>1182</v>
      </c>
      <c r="C614" t="s">
        <v>1181</v>
      </c>
      <c r="D614" t="s">
        <v>17</v>
      </c>
      <c r="E614" t="s">
        <v>18</v>
      </c>
      <c r="H614" t="s">
        <v>19</v>
      </c>
      <c r="I614" t="s">
        <v>20</v>
      </c>
      <c r="J614" t="s">
        <v>21</v>
      </c>
      <c r="K614" t="s">
        <v>82</v>
      </c>
      <c r="L614" t="s">
        <v>23</v>
      </c>
      <c r="M614" t="s">
        <v>24</v>
      </c>
      <c r="O614" t="s">
        <v>25</v>
      </c>
    </row>
    <row r="615" spans="1:15" x14ac:dyDescent="0.55000000000000004">
      <c r="A615">
        <v>1113</v>
      </c>
      <c r="B615" t="s">
        <v>1183</v>
      </c>
      <c r="C615" t="s">
        <v>1181</v>
      </c>
      <c r="D615" t="s">
        <v>17</v>
      </c>
      <c r="E615" t="s">
        <v>18</v>
      </c>
      <c r="H615" t="s">
        <v>19</v>
      </c>
      <c r="I615" t="s">
        <v>20</v>
      </c>
      <c r="J615" t="s">
        <v>21</v>
      </c>
      <c r="K615" t="s">
        <v>57</v>
      </c>
      <c r="L615" t="s">
        <v>23</v>
      </c>
      <c r="M615" t="s">
        <v>24</v>
      </c>
      <c r="O615" t="s">
        <v>25</v>
      </c>
    </row>
    <row r="616" spans="1:15" x14ac:dyDescent="0.55000000000000004">
      <c r="A616">
        <v>1114</v>
      </c>
      <c r="B616" t="s">
        <v>1184</v>
      </c>
      <c r="C616" t="s">
        <v>1185</v>
      </c>
      <c r="D616" t="s">
        <v>17</v>
      </c>
      <c r="E616" t="s">
        <v>18</v>
      </c>
      <c r="H616" t="s">
        <v>19</v>
      </c>
      <c r="I616" t="s">
        <v>20</v>
      </c>
      <c r="J616" t="s">
        <v>21</v>
      </c>
      <c r="K616" t="s">
        <v>28</v>
      </c>
      <c r="L616" t="s">
        <v>23</v>
      </c>
      <c r="M616" t="s">
        <v>24</v>
      </c>
      <c r="O616" t="s">
        <v>25</v>
      </c>
    </row>
    <row r="617" spans="1:15" x14ac:dyDescent="0.55000000000000004">
      <c r="A617">
        <v>1115</v>
      </c>
      <c r="B617" t="s">
        <v>1186</v>
      </c>
      <c r="C617" t="s">
        <v>1185</v>
      </c>
      <c r="D617" t="s">
        <v>17</v>
      </c>
      <c r="E617" t="s">
        <v>18</v>
      </c>
      <c r="H617" t="s">
        <v>19</v>
      </c>
      <c r="I617" t="s">
        <v>20</v>
      </c>
      <c r="J617" t="s">
        <v>21</v>
      </c>
      <c r="K617" t="s">
        <v>69</v>
      </c>
      <c r="L617" t="s">
        <v>23</v>
      </c>
      <c r="M617" t="s">
        <v>24</v>
      </c>
      <c r="O617" t="s">
        <v>25</v>
      </c>
    </row>
    <row r="618" spans="1:15" x14ac:dyDescent="0.55000000000000004">
      <c r="A618">
        <v>1116</v>
      </c>
      <c r="B618" t="s">
        <v>1187</v>
      </c>
      <c r="C618" t="s">
        <v>1188</v>
      </c>
      <c r="D618" t="s">
        <v>17</v>
      </c>
      <c r="E618" t="s">
        <v>18</v>
      </c>
      <c r="H618" t="s">
        <v>19</v>
      </c>
      <c r="I618" t="s">
        <v>20</v>
      </c>
      <c r="J618" t="s">
        <v>21</v>
      </c>
      <c r="K618" t="s">
        <v>76</v>
      </c>
      <c r="L618" t="s">
        <v>23</v>
      </c>
      <c r="M618" t="s">
        <v>24</v>
      </c>
      <c r="O618" t="s">
        <v>25</v>
      </c>
    </row>
    <row r="619" spans="1:15" x14ac:dyDescent="0.55000000000000004">
      <c r="A619">
        <v>1117</v>
      </c>
      <c r="B619" t="s">
        <v>1189</v>
      </c>
      <c r="C619" t="s">
        <v>1188</v>
      </c>
      <c r="D619" t="s">
        <v>17</v>
      </c>
      <c r="E619" t="s">
        <v>18</v>
      </c>
      <c r="H619" t="s">
        <v>19</v>
      </c>
      <c r="I619" t="s">
        <v>20</v>
      </c>
      <c r="J619" t="s">
        <v>21</v>
      </c>
      <c r="K619" t="s">
        <v>57</v>
      </c>
      <c r="L619" t="s">
        <v>23</v>
      </c>
      <c r="M619" t="s">
        <v>24</v>
      </c>
      <c r="O619" t="s">
        <v>25</v>
      </c>
    </row>
    <row r="620" spans="1:15" x14ac:dyDescent="0.55000000000000004">
      <c r="A620">
        <v>1118</v>
      </c>
      <c r="B620" t="s">
        <v>1190</v>
      </c>
      <c r="C620" t="s">
        <v>1191</v>
      </c>
      <c r="D620" t="s">
        <v>17</v>
      </c>
      <c r="E620" t="s">
        <v>18</v>
      </c>
      <c r="H620" t="s">
        <v>19</v>
      </c>
      <c r="I620" t="s">
        <v>20</v>
      </c>
      <c r="J620" t="s">
        <v>21</v>
      </c>
      <c r="K620" t="s">
        <v>28</v>
      </c>
      <c r="L620" t="s">
        <v>23</v>
      </c>
      <c r="M620" t="s">
        <v>24</v>
      </c>
      <c r="O620" t="s">
        <v>25</v>
      </c>
    </row>
    <row r="621" spans="1:15" x14ac:dyDescent="0.55000000000000004">
      <c r="A621">
        <v>1119</v>
      </c>
      <c r="B621" t="s">
        <v>1192</v>
      </c>
      <c r="C621" t="s">
        <v>1193</v>
      </c>
      <c r="D621" t="s">
        <v>17</v>
      </c>
      <c r="E621" t="s">
        <v>18</v>
      </c>
      <c r="H621" t="s">
        <v>19</v>
      </c>
      <c r="I621" t="s">
        <v>20</v>
      </c>
      <c r="J621" t="s">
        <v>21</v>
      </c>
      <c r="K621" t="s">
        <v>28</v>
      </c>
      <c r="L621" t="s">
        <v>23</v>
      </c>
      <c r="M621" t="s">
        <v>24</v>
      </c>
      <c r="O621" t="s">
        <v>25</v>
      </c>
    </row>
    <row r="622" spans="1:15" x14ac:dyDescent="0.55000000000000004">
      <c r="A622">
        <v>1120</v>
      </c>
      <c r="B622" t="s">
        <v>1194</v>
      </c>
      <c r="C622" t="s">
        <v>1195</v>
      </c>
      <c r="D622" t="s">
        <v>17</v>
      </c>
      <c r="E622" t="s">
        <v>18</v>
      </c>
      <c r="H622" t="s">
        <v>19</v>
      </c>
      <c r="I622" t="s">
        <v>20</v>
      </c>
      <c r="J622" t="s">
        <v>21</v>
      </c>
      <c r="K622" t="s">
        <v>28</v>
      </c>
      <c r="L622" t="s">
        <v>23</v>
      </c>
      <c r="M622" t="s">
        <v>24</v>
      </c>
      <c r="O622" t="s">
        <v>25</v>
      </c>
    </row>
    <row r="623" spans="1:15" x14ac:dyDescent="0.55000000000000004">
      <c r="A623">
        <v>1121</v>
      </c>
      <c r="B623" t="s">
        <v>1196</v>
      </c>
      <c r="C623" t="s">
        <v>1195</v>
      </c>
      <c r="D623" t="s">
        <v>17</v>
      </c>
      <c r="E623" t="s">
        <v>18</v>
      </c>
      <c r="H623" t="s">
        <v>19</v>
      </c>
      <c r="I623" t="s">
        <v>20</v>
      </c>
      <c r="J623" t="s">
        <v>21</v>
      </c>
      <c r="K623" t="s">
        <v>22</v>
      </c>
      <c r="L623" t="s">
        <v>23</v>
      </c>
      <c r="M623" t="s">
        <v>24</v>
      </c>
      <c r="O623" t="s">
        <v>25</v>
      </c>
    </row>
    <row r="624" spans="1:15" x14ac:dyDescent="0.55000000000000004">
      <c r="A624">
        <v>1122</v>
      </c>
      <c r="B624" t="s">
        <v>1197</v>
      </c>
      <c r="C624" t="s">
        <v>1195</v>
      </c>
      <c r="D624" t="s">
        <v>17</v>
      </c>
      <c r="E624" t="s">
        <v>18</v>
      </c>
      <c r="H624" t="s">
        <v>19</v>
      </c>
      <c r="I624" t="s">
        <v>20</v>
      </c>
      <c r="J624" t="s">
        <v>21</v>
      </c>
      <c r="K624" t="s">
        <v>57</v>
      </c>
      <c r="L624" t="s">
        <v>23</v>
      </c>
      <c r="M624" t="s">
        <v>24</v>
      </c>
      <c r="O624" t="s">
        <v>25</v>
      </c>
    </row>
    <row r="625" spans="1:15" x14ac:dyDescent="0.55000000000000004">
      <c r="A625">
        <v>1123</v>
      </c>
      <c r="B625" t="s">
        <v>1198</v>
      </c>
      <c r="C625" t="s">
        <v>1199</v>
      </c>
      <c r="D625" t="s">
        <v>17</v>
      </c>
      <c r="E625" t="s">
        <v>18</v>
      </c>
      <c r="H625" t="s">
        <v>19</v>
      </c>
      <c r="I625" t="s">
        <v>20</v>
      </c>
      <c r="J625" t="s">
        <v>21</v>
      </c>
      <c r="K625" t="s">
        <v>62</v>
      </c>
      <c r="L625" t="s">
        <v>23</v>
      </c>
      <c r="M625" t="s">
        <v>24</v>
      </c>
      <c r="O625" t="s">
        <v>25</v>
      </c>
    </row>
    <row r="626" spans="1:15" x14ac:dyDescent="0.55000000000000004">
      <c r="A626">
        <v>1124</v>
      </c>
      <c r="B626" t="s">
        <v>1200</v>
      </c>
      <c r="C626" t="s">
        <v>1199</v>
      </c>
      <c r="D626" t="s">
        <v>17</v>
      </c>
      <c r="E626" t="s">
        <v>18</v>
      </c>
      <c r="H626" t="s">
        <v>19</v>
      </c>
      <c r="I626" t="s">
        <v>20</v>
      </c>
      <c r="J626" t="s">
        <v>21</v>
      </c>
      <c r="K626" t="s">
        <v>82</v>
      </c>
      <c r="L626" t="s">
        <v>23</v>
      </c>
      <c r="M626" t="s">
        <v>24</v>
      </c>
      <c r="O626" t="s">
        <v>25</v>
      </c>
    </row>
    <row r="627" spans="1:15" x14ac:dyDescent="0.55000000000000004">
      <c r="A627">
        <v>1125</v>
      </c>
      <c r="B627" t="s">
        <v>1201</v>
      </c>
      <c r="C627" t="s">
        <v>1202</v>
      </c>
      <c r="D627" t="s">
        <v>17</v>
      </c>
      <c r="E627" t="s">
        <v>18</v>
      </c>
      <c r="H627" t="s">
        <v>19</v>
      </c>
      <c r="I627" t="s">
        <v>20</v>
      </c>
      <c r="J627" t="s">
        <v>21</v>
      </c>
      <c r="K627" t="s">
        <v>28</v>
      </c>
      <c r="L627" t="s">
        <v>23</v>
      </c>
      <c r="M627" t="s">
        <v>24</v>
      </c>
      <c r="O627" t="s">
        <v>25</v>
      </c>
    </row>
    <row r="628" spans="1:15" x14ac:dyDescent="0.55000000000000004">
      <c r="A628">
        <v>1126</v>
      </c>
      <c r="B628" t="s">
        <v>1203</v>
      </c>
      <c r="C628" t="s">
        <v>1204</v>
      </c>
      <c r="D628" t="s">
        <v>17</v>
      </c>
      <c r="E628" t="s">
        <v>18</v>
      </c>
      <c r="H628" t="s">
        <v>19</v>
      </c>
      <c r="I628" t="s">
        <v>20</v>
      </c>
      <c r="J628" t="s">
        <v>21</v>
      </c>
      <c r="K628" t="s">
        <v>28</v>
      </c>
      <c r="L628" t="s">
        <v>23</v>
      </c>
      <c r="M628" t="s">
        <v>24</v>
      </c>
      <c r="O628" t="s">
        <v>25</v>
      </c>
    </row>
    <row r="629" spans="1:15" x14ac:dyDescent="0.55000000000000004">
      <c r="A629">
        <v>1127</v>
      </c>
      <c r="B629" t="s">
        <v>1205</v>
      </c>
      <c r="C629" t="s">
        <v>1206</v>
      </c>
      <c r="D629" t="s">
        <v>17</v>
      </c>
      <c r="E629" t="s">
        <v>18</v>
      </c>
      <c r="H629" t="s">
        <v>19</v>
      </c>
      <c r="I629" t="s">
        <v>20</v>
      </c>
      <c r="J629" t="s">
        <v>21</v>
      </c>
      <c r="K629" t="s">
        <v>220</v>
      </c>
      <c r="L629" t="s">
        <v>23</v>
      </c>
      <c r="M629" t="s">
        <v>24</v>
      </c>
      <c r="O629" t="s">
        <v>25</v>
      </c>
    </row>
    <row r="630" spans="1:15" x14ac:dyDescent="0.55000000000000004">
      <c r="A630">
        <v>1128</v>
      </c>
      <c r="B630" t="s">
        <v>1207</v>
      </c>
      <c r="C630" t="s">
        <v>1206</v>
      </c>
      <c r="D630" t="s">
        <v>17</v>
      </c>
      <c r="E630" t="s">
        <v>18</v>
      </c>
      <c r="H630" t="s">
        <v>19</v>
      </c>
      <c r="I630" t="s">
        <v>20</v>
      </c>
      <c r="J630" t="s">
        <v>21</v>
      </c>
      <c r="K630" t="s">
        <v>28</v>
      </c>
      <c r="L630" t="s">
        <v>23</v>
      </c>
      <c r="M630" t="s">
        <v>24</v>
      </c>
      <c r="O630" t="s">
        <v>25</v>
      </c>
    </row>
    <row r="631" spans="1:15" x14ac:dyDescent="0.55000000000000004">
      <c r="A631">
        <v>1129</v>
      </c>
      <c r="B631" t="s">
        <v>1208</v>
      </c>
      <c r="C631" t="s">
        <v>1209</v>
      </c>
      <c r="D631" t="s">
        <v>17</v>
      </c>
      <c r="E631" t="s">
        <v>18</v>
      </c>
      <c r="H631" t="s">
        <v>19</v>
      </c>
      <c r="I631" t="s">
        <v>20</v>
      </c>
      <c r="J631" t="s">
        <v>21</v>
      </c>
      <c r="K631" t="s">
        <v>28</v>
      </c>
      <c r="L631" t="s">
        <v>23</v>
      </c>
      <c r="M631" t="s">
        <v>24</v>
      </c>
      <c r="O631" t="s">
        <v>25</v>
      </c>
    </row>
    <row r="632" spans="1:15" x14ac:dyDescent="0.55000000000000004">
      <c r="A632">
        <v>1130</v>
      </c>
      <c r="B632" t="s">
        <v>1210</v>
      </c>
      <c r="C632" t="s">
        <v>1211</v>
      </c>
      <c r="D632" t="s">
        <v>17</v>
      </c>
      <c r="E632" t="s">
        <v>18</v>
      </c>
      <c r="H632" t="s">
        <v>19</v>
      </c>
      <c r="I632" t="s">
        <v>20</v>
      </c>
      <c r="J632" t="s">
        <v>21</v>
      </c>
      <c r="K632" t="s">
        <v>28</v>
      </c>
      <c r="L632" t="s">
        <v>23</v>
      </c>
      <c r="M632" t="s">
        <v>24</v>
      </c>
      <c r="O632" t="s">
        <v>25</v>
      </c>
    </row>
    <row r="633" spans="1:15" x14ac:dyDescent="0.55000000000000004">
      <c r="A633">
        <v>1131</v>
      </c>
      <c r="B633" t="s">
        <v>1212</v>
      </c>
      <c r="C633" t="s">
        <v>1213</v>
      </c>
      <c r="D633" t="s">
        <v>17</v>
      </c>
      <c r="E633" t="s">
        <v>18</v>
      </c>
      <c r="H633" t="s">
        <v>19</v>
      </c>
      <c r="I633" t="s">
        <v>20</v>
      </c>
      <c r="J633" t="s">
        <v>21</v>
      </c>
      <c r="K633" t="s">
        <v>28</v>
      </c>
      <c r="L633" t="s">
        <v>23</v>
      </c>
      <c r="M633" t="s">
        <v>24</v>
      </c>
      <c r="O633" t="s">
        <v>25</v>
      </c>
    </row>
    <row r="634" spans="1:15" x14ac:dyDescent="0.55000000000000004">
      <c r="A634">
        <v>1132</v>
      </c>
      <c r="B634" t="s">
        <v>1214</v>
      </c>
      <c r="C634" t="s">
        <v>1213</v>
      </c>
      <c r="D634" t="s">
        <v>17</v>
      </c>
      <c r="E634" t="s">
        <v>18</v>
      </c>
      <c r="H634" t="s">
        <v>19</v>
      </c>
      <c r="I634" t="s">
        <v>20</v>
      </c>
      <c r="J634" t="s">
        <v>21</v>
      </c>
      <c r="K634" t="s">
        <v>69</v>
      </c>
      <c r="L634" t="s">
        <v>23</v>
      </c>
      <c r="M634" t="s">
        <v>24</v>
      </c>
      <c r="O634" t="s">
        <v>25</v>
      </c>
    </row>
    <row r="635" spans="1:15" x14ac:dyDescent="0.55000000000000004">
      <c r="A635">
        <v>1133</v>
      </c>
      <c r="B635" t="s">
        <v>1215</v>
      </c>
      <c r="C635" t="s">
        <v>1216</v>
      </c>
      <c r="D635" t="s">
        <v>17</v>
      </c>
      <c r="E635" t="s">
        <v>18</v>
      </c>
      <c r="H635" t="s">
        <v>19</v>
      </c>
      <c r="I635" t="s">
        <v>20</v>
      </c>
      <c r="J635" t="s">
        <v>21</v>
      </c>
      <c r="K635" t="s">
        <v>28</v>
      </c>
      <c r="L635" t="s">
        <v>23</v>
      </c>
      <c r="M635" t="s">
        <v>24</v>
      </c>
      <c r="O635" t="s">
        <v>25</v>
      </c>
    </row>
    <row r="636" spans="1:15" x14ac:dyDescent="0.55000000000000004">
      <c r="A636">
        <v>1134</v>
      </c>
      <c r="B636" t="s">
        <v>1217</v>
      </c>
      <c r="C636" t="s">
        <v>1218</v>
      </c>
      <c r="D636" t="s">
        <v>17</v>
      </c>
      <c r="E636" t="s">
        <v>18</v>
      </c>
      <c r="H636" t="s">
        <v>19</v>
      </c>
      <c r="I636" t="s">
        <v>20</v>
      </c>
      <c r="J636" t="s">
        <v>21</v>
      </c>
      <c r="K636" t="s">
        <v>965</v>
      </c>
      <c r="L636" t="s">
        <v>23</v>
      </c>
      <c r="M636" t="s">
        <v>24</v>
      </c>
      <c r="O636" t="s">
        <v>25</v>
      </c>
    </row>
    <row r="637" spans="1:15" x14ac:dyDescent="0.55000000000000004">
      <c r="A637">
        <v>1135</v>
      </c>
      <c r="B637" t="s">
        <v>1219</v>
      </c>
      <c r="C637" t="s">
        <v>1220</v>
      </c>
      <c r="D637" t="s">
        <v>17</v>
      </c>
      <c r="E637" t="s">
        <v>18</v>
      </c>
      <c r="H637" t="s">
        <v>19</v>
      </c>
      <c r="I637" t="s">
        <v>20</v>
      </c>
      <c r="J637" t="s">
        <v>21</v>
      </c>
      <c r="K637" t="s">
        <v>965</v>
      </c>
      <c r="L637" t="s">
        <v>23</v>
      </c>
      <c r="M637" t="s">
        <v>24</v>
      </c>
      <c r="O637" t="s">
        <v>25</v>
      </c>
    </row>
    <row r="638" spans="1:15" x14ac:dyDescent="0.55000000000000004">
      <c r="A638">
        <v>1136</v>
      </c>
      <c r="B638" t="s">
        <v>1221</v>
      </c>
      <c r="C638" t="s">
        <v>1220</v>
      </c>
      <c r="D638" t="s">
        <v>17</v>
      </c>
      <c r="E638" t="s">
        <v>18</v>
      </c>
      <c r="H638" t="s">
        <v>19</v>
      </c>
      <c r="I638" t="s">
        <v>20</v>
      </c>
      <c r="J638" t="s">
        <v>21</v>
      </c>
      <c r="K638" t="s">
        <v>64</v>
      </c>
      <c r="L638" t="s">
        <v>23</v>
      </c>
      <c r="M638" t="s">
        <v>24</v>
      </c>
      <c r="O638" t="s">
        <v>25</v>
      </c>
    </row>
    <row r="639" spans="1:15" x14ac:dyDescent="0.55000000000000004">
      <c r="A639">
        <v>1137</v>
      </c>
      <c r="B639" t="s">
        <v>1222</v>
      </c>
      <c r="C639" t="s">
        <v>1223</v>
      </c>
      <c r="D639" t="s">
        <v>17</v>
      </c>
      <c r="E639" t="s">
        <v>18</v>
      </c>
      <c r="H639" t="s">
        <v>19</v>
      </c>
      <c r="I639" t="s">
        <v>20</v>
      </c>
      <c r="J639" t="s">
        <v>21</v>
      </c>
      <c r="K639" t="s">
        <v>1224</v>
      </c>
      <c r="L639" t="s">
        <v>23</v>
      </c>
      <c r="M639" t="s">
        <v>24</v>
      </c>
      <c r="O639" t="s">
        <v>25</v>
      </c>
    </row>
    <row r="640" spans="1:15" x14ac:dyDescent="0.55000000000000004">
      <c r="A640">
        <v>1138</v>
      </c>
      <c r="B640" t="s">
        <v>1225</v>
      </c>
      <c r="C640" t="s">
        <v>1223</v>
      </c>
      <c r="D640" t="s">
        <v>17</v>
      </c>
      <c r="E640" t="s">
        <v>18</v>
      </c>
      <c r="H640" t="s">
        <v>19</v>
      </c>
      <c r="I640" t="s">
        <v>20</v>
      </c>
      <c r="J640" t="s">
        <v>21</v>
      </c>
      <c r="K640" t="s">
        <v>76</v>
      </c>
      <c r="L640" t="s">
        <v>23</v>
      </c>
      <c r="M640" t="s">
        <v>24</v>
      </c>
      <c r="O640" t="s">
        <v>25</v>
      </c>
    </row>
    <row r="641" spans="1:15" x14ac:dyDescent="0.55000000000000004">
      <c r="A641">
        <v>1139</v>
      </c>
      <c r="B641" t="s">
        <v>1226</v>
      </c>
      <c r="C641" t="s">
        <v>1223</v>
      </c>
      <c r="D641" t="s">
        <v>17</v>
      </c>
      <c r="E641" t="s">
        <v>18</v>
      </c>
      <c r="H641" t="s">
        <v>19</v>
      </c>
      <c r="I641" t="s">
        <v>20</v>
      </c>
      <c r="J641" t="s">
        <v>21</v>
      </c>
      <c r="K641" t="s">
        <v>28</v>
      </c>
      <c r="L641" t="s">
        <v>23</v>
      </c>
      <c r="M641" t="s">
        <v>24</v>
      </c>
      <c r="O641" t="s">
        <v>25</v>
      </c>
    </row>
    <row r="642" spans="1:15" x14ac:dyDescent="0.55000000000000004">
      <c r="A642">
        <v>1140</v>
      </c>
      <c r="B642" t="s">
        <v>1227</v>
      </c>
      <c r="C642" t="s">
        <v>1223</v>
      </c>
      <c r="D642" t="s">
        <v>17</v>
      </c>
      <c r="E642" t="s">
        <v>18</v>
      </c>
      <c r="H642" t="s">
        <v>19</v>
      </c>
      <c r="I642" t="s">
        <v>20</v>
      </c>
      <c r="J642" t="s">
        <v>21</v>
      </c>
      <c r="K642" t="s">
        <v>69</v>
      </c>
      <c r="L642" t="s">
        <v>23</v>
      </c>
      <c r="M642" t="s">
        <v>24</v>
      </c>
      <c r="O642" t="s">
        <v>25</v>
      </c>
    </row>
    <row r="643" spans="1:15" x14ac:dyDescent="0.55000000000000004">
      <c r="A643">
        <v>1141</v>
      </c>
      <c r="B643" t="s">
        <v>1228</v>
      </c>
      <c r="C643" t="s">
        <v>1229</v>
      </c>
      <c r="D643" t="s">
        <v>17</v>
      </c>
      <c r="E643" t="s">
        <v>18</v>
      </c>
      <c r="H643" t="s">
        <v>19</v>
      </c>
      <c r="I643" t="s">
        <v>20</v>
      </c>
      <c r="J643" t="s">
        <v>21</v>
      </c>
      <c r="K643" t="s">
        <v>28</v>
      </c>
      <c r="L643" t="s">
        <v>23</v>
      </c>
      <c r="M643" t="s">
        <v>24</v>
      </c>
      <c r="O643" t="s">
        <v>25</v>
      </c>
    </row>
    <row r="644" spans="1:15" x14ac:dyDescent="0.55000000000000004">
      <c r="A644">
        <v>1142</v>
      </c>
      <c r="B644" t="s">
        <v>1230</v>
      </c>
      <c r="C644" t="s">
        <v>1231</v>
      </c>
      <c r="D644" t="s">
        <v>17</v>
      </c>
      <c r="E644" t="s">
        <v>18</v>
      </c>
      <c r="H644" t="s">
        <v>19</v>
      </c>
      <c r="I644" t="s">
        <v>20</v>
      </c>
      <c r="J644" t="s">
        <v>21</v>
      </c>
      <c r="K644" t="s">
        <v>28</v>
      </c>
      <c r="L644" t="s">
        <v>23</v>
      </c>
      <c r="M644" t="s">
        <v>24</v>
      </c>
      <c r="O644" t="s">
        <v>25</v>
      </c>
    </row>
    <row r="645" spans="1:15" x14ac:dyDescent="0.55000000000000004">
      <c r="A645">
        <v>1143</v>
      </c>
      <c r="B645" t="s">
        <v>1232</v>
      </c>
      <c r="C645" t="s">
        <v>1233</v>
      </c>
      <c r="D645" t="s">
        <v>17</v>
      </c>
      <c r="E645" t="s">
        <v>18</v>
      </c>
      <c r="H645" t="s">
        <v>19</v>
      </c>
      <c r="I645" t="s">
        <v>20</v>
      </c>
      <c r="J645" t="s">
        <v>21</v>
      </c>
      <c r="K645" t="s">
        <v>28</v>
      </c>
      <c r="L645" t="s">
        <v>23</v>
      </c>
      <c r="M645" t="s">
        <v>24</v>
      </c>
      <c r="O645" t="s">
        <v>25</v>
      </c>
    </row>
    <row r="646" spans="1:15" x14ac:dyDescent="0.55000000000000004">
      <c r="A646">
        <v>1144</v>
      </c>
      <c r="B646" t="s">
        <v>1234</v>
      </c>
      <c r="C646" t="s">
        <v>1235</v>
      </c>
      <c r="D646" t="s">
        <v>17</v>
      </c>
      <c r="E646" t="s">
        <v>18</v>
      </c>
      <c r="H646" t="s">
        <v>19</v>
      </c>
      <c r="I646" t="s">
        <v>20</v>
      </c>
      <c r="J646" t="s">
        <v>21</v>
      </c>
      <c r="K646" t="s">
        <v>28</v>
      </c>
      <c r="L646" t="s">
        <v>23</v>
      </c>
      <c r="M646" t="s">
        <v>24</v>
      </c>
      <c r="O646" t="s">
        <v>25</v>
      </c>
    </row>
    <row r="647" spans="1:15" x14ac:dyDescent="0.55000000000000004">
      <c r="A647">
        <v>1145</v>
      </c>
      <c r="B647" t="s">
        <v>1236</v>
      </c>
      <c r="C647" t="s">
        <v>1237</v>
      </c>
      <c r="D647" t="s">
        <v>17</v>
      </c>
      <c r="E647" t="s">
        <v>18</v>
      </c>
      <c r="H647" t="s">
        <v>19</v>
      </c>
      <c r="I647" t="s">
        <v>20</v>
      </c>
      <c r="J647" t="s">
        <v>21</v>
      </c>
      <c r="K647" t="s">
        <v>64</v>
      </c>
      <c r="L647" t="s">
        <v>23</v>
      </c>
      <c r="M647" t="s">
        <v>24</v>
      </c>
      <c r="O647" t="s">
        <v>25</v>
      </c>
    </row>
    <row r="648" spans="1:15" x14ac:dyDescent="0.55000000000000004">
      <c r="A648">
        <v>1146</v>
      </c>
      <c r="B648" t="s">
        <v>1238</v>
      </c>
      <c r="C648" t="s">
        <v>1239</v>
      </c>
      <c r="D648" t="s">
        <v>17</v>
      </c>
      <c r="E648" t="s">
        <v>18</v>
      </c>
      <c r="H648" t="s">
        <v>19</v>
      </c>
      <c r="I648" t="s">
        <v>20</v>
      </c>
      <c r="J648" t="s">
        <v>21</v>
      </c>
      <c r="K648" t="s">
        <v>965</v>
      </c>
      <c r="L648" t="s">
        <v>23</v>
      </c>
      <c r="M648" t="s">
        <v>24</v>
      </c>
      <c r="O648" t="s">
        <v>25</v>
      </c>
    </row>
    <row r="649" spans="1:15" x14ac:dyDescent="0.55000000000000004">
      <c r="A649">
        <v>1147</v>
      </c>
      <c r="B649" t="s">
        <v>1240</v>
      </c>
      <c r="C649" t="s">
        <v>1241</v>
      </c>
      <c r="D649" t="s">
        <v>17</v>
      </c>
      <c r="E649" t="s">
        <v>18</v>
      </c>
      <c r="H649" t="s">
        <v>19</v>
      </c>
      <c r="I649" t="s">
        <v>20</v>
      </c>
      <c r="J649" t="s">
        <v>21</v>
      </c>
      <c r="K649" t="s">
        <v>965</v>
      </c>
      <c r="L649" t="s">
        <v>23</v>
      </c>
      <c r="M649" t="s">
        <v>24</v>
      </c>
      <c r="O649" t="s">
        <v>25</v>
      </c>
    </row>
    <row r="650" spans="1:15" x14ac:dyDescent="0.55000000000000004">
      <c r="A650">
        <v>1148</v>
      </c>
      <c r="B650" t="s">
        <v>1242</v>
      </c>
      <c r="C650" t="s">
        <v>1243</v>
      </c>
      <c r="D650" t="s">
        <v>17</v>
      </c>
      <c r="E650" t="s">
        <v>18</v>
      </c>
      <c r="H650" t="s">
        <v>19</v>
      </c>
      <c r="I650" t="s">
        <v>20</v>
      </c>
      <c r="J650" t="s">
        <v>21</v>
      </c>
      <c r="K650" t="s">
        <v>28</v>
      </c>
      <c r="L650" t="s">
        <v>23</v>
      </c>
      <c r="M650" t="s">
        <v>24</v>
      </c>
      <c r="O650" t="s">
        <v>25</v>
      </c>
    </row>
    <row r="651" spans="1:15" x14ac:dyDescent="0.55000000000000004">
      <c r="A651">
        <v>1149</v>
      </c>
      <c r="B651" t="s">
        <v>1244</v>
      </c>
      <c r="C651" t="s">
        <v>1245</v>
      </c>
      <c r="D651" t="s">
        <v>17</v>
      </c>
      <c r="E651" t="s">
        <v>18</v>
      </c>
      <c r="H651" t="s">
        <v>19</v>
      </c>
      <c r="I651" t="s">
        <v>20</v>
      </c>
      <c r="J651" t="s">
        <v>21</v>
      </c>
      <c r="K651" t="s">
        <v>36</v>
      </c>
      <c r="L651" t="s">
        <v>23</v>
      </c>
      <c r="M651" t="s">
        <v>24</v>
      </c>
      <c r="O651" t="s">
        <v>25</v>
      </c>
    </row>
    <row r="652" spans="1:15" x14ac:dyDescent="0.55000000000000004">
      <c r="A652">
        <v>1150</v>
      </c>
      <c r="B652" t="s">
        <v>1246</v>
      </c>
      <c r="C652" t="s">
        <v>1247</v>
      </c>
      <c r="D652" t="s">
        <v>17</v>
      </c>
      <c r="E652" t="s">
        <v>18</v>
      </c>
      <c r="H652" t="s">
        <v>19</v>
      </c>
      <c r="I652" t="s">
        <v>20</v>
      </c>
      <c r="J652" t="s">
        <v>21</v>
      </c>
      <c r="K652" t="s">
        <v>36</v>
      </c>
      <c r="L652" t="s">
        <v>23</v>
      </c>
      <c r="M652" t="s">
        <v>24</v>
      </c>
      <c r="O652" t="s">
        <v>25</v>
      </c>
    </row>
    <row r="653" spans="1:15" x14ac:dyDescent="0.55000000000000004">
      <c r="A653">
        <v>1151</v>
      </c>
      <c r="B653" t="s">
        <v>1248</v>
      </c>
      <c r="C653" t="s">
        <v>1249</v>
      </c>
      <c r="D653" t="s">
        <v>17</v>
      </c>
      <c r="E653" t="s">
        <v>18</v>
      </c>
      <c r="H653" t="s">
        <v>19</v>
      </c>
      <c r="I653" t="s">
        <v>20</v>
      </c>
      <c r="J653" t="s">
        <v>21</v>
      </c>
      <c r="K653" t="s">
        <v>57</v>
      </c>
      <c r="L653" t="s">
        <v>23</v>
      </c>
      <c r="M653" t="s">
        <v>24</v>
      </c>
      <c r="O653" t="s">
        <v>25</v>
      </c>
    </row>
    <row r="654" spans="1:15" x14ac:dyDescent="0.55000000000000004">
      <c r="A654">
        <v>1152</v>
      </c>
      <c r="B654" t="s">
        <v>1250</v>
      </c>
      <c r="C654" t="s">
        <v>1251</v>
      </c>
      <c r="D654" t="s">
        <v>17</v>
      </c>
      <c r="E654" t="s">
        <v>18</v>
      </c>
      <c r="H654" t="s">
        <v>19</v>
      </c>
      <c r="I654" t="s">
        <v>20</v>
      </c>
      <c r="J654" t="s">
        <v>21</v>
      </c>
      <c r="K654" t="s">
        <v>36</v>
      </c>
      <c r="L654" t="s">
        <v>23</v>
      </c>
      <c r="M654" t="s">
        <v>24</v>
      </c>
      <c r="O654" t="s">
        <v>25</v>
      </c>
    </row>
    <row r="655" spans="1:15" x14ac:dyDescent="0.55000000000000004">
      <c r="A655">
        <v>1153</v>
      </c>
      <c r="B655" t="s">
        <v>1252</v>
      </c>
      <c r="C655" t="s">
        <v>1253</v>
      </c>
      <c r="D655" t="s">
        <v>17</v>
      </c>
      <c r="E655" t="s">
        <v>18</v>
      </c>
      <c r="H655" t="s">
        <v>19</v>
      </c>
      <c r="I655" t="s">
        <v>20</v>
      </c>
      <c r="J655" t="s">
        <v>21</v>
      </c>
      <c r="K655" t="s">
        <v>28</v>
      </c>
      <c r="L655" t="s">
        <v>23</v>
      </c>
      <c r="M655" t="s">
        <v>24</v>
      </c>
      <c r="O655" t="s">
        <v>25</v>
      </c>
    </row>
    <row r="656" spans="1:15" x14ac:dyDescent="0.55000000000000004">
      <c r="A656">
        <v>1154</v>
      </c>
      <c r="B656" t="s">
        <v>1254</v>
      </c>
      <c r="C656" t="s">
        <v>1255</v>
      </c>
      <c r="D656" t="s">
        <v>17</v>
      </c>
      <c r="E656" t="s">
        <v>18</v>
      </c>
      <c r="H656" t="s">
        <v>19</v>
      </c>
      <c r="I656" t="s">
        <v>20</v>
      </c>
      <c r="J656" t="s">
        <v>21</v>
      </c>
      <c r="K656" t="s">
        <v>28</v>
      </c>
      <c r="L656" t="s">
        <v>23</v>
      </c>
      <c r="M656" t="s">
        <v>24</v>
      </c>
      <c r="O656" t="s">
        <v>25</v>
      </c>
    </row>
    <row r="657" spans="1:15" x14ac:dyDescent="0.55000000000000004">
      <c r="A657">
        <v>1155</v>
      </c>
      <c r="B657" t="s">
        <v>1256</v>
      </c>
      <c r="C657" t="s">
        <v>1257</v>
      </c>
      <c r="D657" t="s">
        <v>17</v>
      </c>
      <c r="E657" t="s">
        <v>18</v>
      </c>
      <c r="H657" t="s">
        <v>19</v>
      </c>
      <c r="I657" t="s">
        <v>20</v>
      </c>
      <c r="J657" t="s">
        <v>21</v>
      </c>
      <c r="K657" t="s">
        <v>965</v>
      </c>
      <c r="L657" t="s">
        <v>23</v>
      </c>
      <c r="M657" t="s">
        <v>24</v>
      </c>
      <c r="O657" t="s">
        <v>25</v>
      </c>
    </row>
    <row r="658" spans="1:15" x14ac:dyDescent="0.55000000000000004">
      <c r="A658">
        <v>1156</v>
      </c>
      <c r="B658" t="s">
        <v>1258</v>
      </c>
      <c r="C658" t="s">
        <v>1257</v>
      </c>
      <c r="D658" t="s">
        <v>17</v>
      </c>
      <c r="E658" t="s">
        <v>18</v>
      </c>
      <c r="H658" t="s">
        <v>19</v>
      </c>
      <c r="I658" t="s">
        <v>20</v>
      </c>
      <c r="J658" t="s">
        <v>21</v>
      </c>
      <c r="K658" t="s">
        <v>28</v>
      </c>
      <c r="L658" t="s">
        <v>23</v>
      </c>
      <c r="M658" t="s">
        <v>24</v>
      </c>
      <c r="O658" t="s">
        <v>25</v>
      </c>
    </row>
    <row r="659" spans="1:15" x14ac:dyDescent="0.55000000000000004">
      <c r="A659">
        <v>1157</v>
      </c>
      <c r="B659" t="s">
        <v>1259</v>
      </c>
      <c r="C659" t="s">
        <v>1257</v>
      </c>
      <c r="D659" t="s">
        <v>17</v>
      </c>
      <c r="E659" t="s">
        <v>18</v>
      </c>
      <c r="H659" t="s">
        <v>19</v>
      </c>
      <c r="I659" t="s">
        <v>20</v>
      </c>
      <c r="J659" t="s">
        <v>21</v>
      </c>
      <c r="K659" t="s">
        <v>82</v>
      </c>
      <c r="L659" t="s">
        <v>23</v>
      </c>
      <c r="M659" t="s">
        <v>24</v>
      </c>
      <c r="O659" t="s">
        <v>25</v>
      </c>
    </row>
    <row r="660" spans="1:15" x14ac:dyDescent="0.55000000000000004">
      <c r="A660">
        <v>1158</v>
      </c>
      <c r="B660" t="s">
        <v>1260</v>
      </c>
      <c r="C660" t="s">
        <v>1257</v>
      </c>
      <c r="D660" t="s">
        <v>17</v>
      </c>
      <c r="E660" t="s">
        <v>18</v>
      </c>
      <c r="H660" t="s">
        <v>19</v>
      </c>
      <c r="I660" t="s">
        <v>20</v>
      </c>
      <c r="J660" t="s">
        <v>21</v>
      </c>
      <c r="K660" t="s">
        <v>69</v>
      </c>
      <c r="L660" t="s">
        <v>23</v>
      </c>
      <c r="M660" t="s">
        <v>24</v>
      </c>
      <c r="O660" t="s">
        <v>25</v>
      </c>
    </row>
    <row r="661" spans="1:15" x14ac:dyDescent="0.55000000000000004">
      <c r="A661">
        <v>1159</v>
      </c>
      <c r="B661" t="s">
        <v>1261</v>
      </c>
      <c r="C661" t="s">
        <v>1262</v>
      </c>
      <c r="D661" t="s">
        <v>17</v>
      </c>
      <c r="E661" t="s">
        <v>18</v>
      </c>
      <c r="H661" t="s">
        <v>19</v>
      </c>
      <c r="I661" t="s">
        <v>20</v>
      </c>
      <c r="J661" t="s">
        <v>21</v>
      </c>
      <c r="K661" t="s">
        <v>28</v>
      </c>
      <c r="L661" t="s">
        <v>23</v>
      </c>
      <c r="M661" t="s">
        <v>24</v>
      </c>
      <c r="O661" t="s">
        <v>25</v>
      </c>
    </row>
    <row r="662" spans="1:15" x14ac:dyDescent="0.55000000000000004">
      <c r="A662">
        <v>1160</v>
      </c>
      <c r="B662" t="s">
        <v>1263</v>
      </c>
      <c r="C662" t="s">
        <v>1262</v>
      </c>
      <c r="D662" t="s">
        <v>17</v>
      </c>
      <c r="E662" t="s">
        <v>18</v>
      </c>
      <c r="H662" t="s">
        <v>19</v>
      </c>
      <c r="I662" t="s">
        <v>20</v>
      </c>
      <c r="J662" t="s">
        <v>21</v>
      </c>
      <c r="K662" t="s">
        <v>57</v>
      </c>
      <c r="L662" t="s">
        <v>23</v>
      </c>
      <c r="M662" t="s">
        <v>24</v>
      </c>
      <c r="O662" t="s">
        <v>25</v>
      </c>
    </row>
    <row r="663" spans="1:15" x14ac:dyDescent="0.55000000000000004">
      <c r="A663">
        <v>1161</v>
      </c>
      <c r="B663" t="s">
        <v>1264</v>
      </c>
      <c r="C663" t="s">
        <v>1265</v>
      </c>
      <c r="D663" t="s">
        <v>17</v>
      </c>
      <c r="E663" t="s">
        <v>18</v>
      </c>
      <c r="H663" t="s">
        <v>19</v>
      </c>
      <c r="I663" t="s">
        <v>20</v>
      </c>
      <c r="J663" t="s">
        <v>21</v>
      </c>
      <c r="K663" t="s">
        <v>36</v>
      </c>
      <c r="L663" t="s">
        <v>23</v>
      </c>
      <c r="M663" t="s">
        <v>24</v>
      </c>
      <c r="O663" t="s">
        <v>25</v>
      </c>
    </row>
    <row r="664" spans="1:15" x14ac:dyDescent="0.55000000000000004">
      <c r="A664">
        <v>1162</v>
      </c>
      <c r="B664" t="s">
        <v>1266</v>
      </c>
      <c r="C664" t="s">
        <v>1267</v>
      </c>
      <c r="D664" t="s">
        <v>17</v>
      </c>
      <c r="E664" t="s">
        <v>18</v>
      </c>
      <c r="H664" t="s">
        <v>19</v>
      </c>
      <c r="I664" t="s">
        <v>20</v>
      </c>
      <c r="J664" t="s">
        <v>21</v>
      </c>
      <c r="K664" t="s">
        <v>28</v>
      </c>
      <c r="L664" t="s">
        <v>23</v>
      </c>
      <c r="M664" t="s">
        <v>24</v>
      </c>
      <c r="O664" t="s">
        <v>25</v>
      </c>
    </row>
    <row r="665" spans="1:15" x14ac:dyDescent="0.55000000000000004">
      <c r="A665">
        <v>1163</v>
      </c>
      <c r="B665" t="s">
        <v>1268</v>
      </c>
      <c r="C665" t="s">
        <v>1269</v>
      </c>
      <c r="D665" t="s">
        <v>17</v>
      </c>
      <c r="E665" t="s">
        <v>18</v>
      </c>
      <c r="H665" t="s">
        <v>19</v>
      </c>
      <c r="I665" t="s">
        <v>20</v>
      </c>
      <c r="J665" t="s">
        <v>21</v>
      </c>
      <c r="K665" t="s">
        <v>82</v>
      </c>
      <c r="L665" t="s">
        <v>23</v>
      </c>
      <c r="M665" t="s">
        <v>24</v>
      </c>
      <c r="O665" t="s">
        <v>25</v>
      </c>
    </row>
    <row r="666" spans="1:15" x14ac:dyDescent="0.55000000000000004">
      <c r="A666">
        <v>1164</v>
      </c>
      <c r="B666" t="s">
        <v>1270</v>
      </c>
      <c r="C666" t="s">
        <v>1271</v>
      </c>
      <c r="D666" t="s">
        <v>17</v>
      </c>
      <c r="E666" t="s">
        <v>18</v>
      </c>
      <c r="H666" t="s">
        <v>19</v>
      </c>
      <c r="I666" t="s">
        <v>20</v>
      </c>
      <c r="J666" t="s">
        <v>21</v>
      </c>
      <c r="K666" t="s">
        <v>28</v>
      </c>
      <c r="L666" t="s">
        <v>23</v>
      </c>
      <c r="M666" t="s">
        <v>24</v>
      </c>
      <c r="O666" t="s">
        <v>25</v>
      </c>
    </row>
    <row r="667" spans="1:15" x14ac:dyDescent="0.55000000000000004">
      <c r="A667">
        <v>1165</v>
      </c>
      <c r="B667" t="s">
        <v>1272</v>
      </c>
      <c r="C667" t="s">
        <v>1273</v>
      </c>
      <c r="D667" t="s">
        <v>17</v>
      </c>
      <c r="E667" t="s">
        <v>18</v>
      </c>
      <c r="H667" t="s">
        <v>19</v>
      </c>
      <c r="I667" t="s">
        <v>20</v>
      </c>
      <c r="J667" t="s">
        <v>21</v>
      </c>
      <c r="K667" t="s">
        <v>28</v>
      </c>
      <c r="L667" t="s">
        <v>23</v>
      </c>
      <c r="M667" t="s">
        <v>24</v>
      </c>
      <c r="O667" t="s">
        <v>25</v>
      </c>
    </row>
    <row r="668" spans="1:15" x14ac:dyDescent="0.55000000000000004">
      <c r="A668">
        <v>1166</v>
      </c>
      <c r="B668" t="s">
        <v>1274</v>
      </c>
      <c r="C668" t="s">
        <v>1275</v>
      </c>
      <c r="D668" t="s">
        <v>17</v>
      </c>
      <c r="E668" t="s">
        <v>18</v>
      </c>
      <c r="H668" t="s">
        <v>19</v>
      </c>
      <c r="I668" t="s">
        <v>20</v>
      </c>
      <c r="J668" t="s">
        <v>21</v>
      </c>
      <c r="K668" t="s">
        <v>57</v>
      </c>
      <c r="L668" t="s">
        <v>23</v>
      </c>
      <c r="M668" t="s">
        <v>24</v>
      </c>
      <c r="O668" t="s">
        <v>25</v>
      </c>
    </row>
    <row r="669" spans="1:15" x14ac:dyDescent="0.55000000000000004">
      <c r="A669">
        <v>1167</v>
      </c>
      <c r="B669" t="s">
        <v>1276</v>
      </c>
      <c r="C669" t="s">
        <v>1277</v>
      </c>
      <c r="D669" t="s">
        <v>17</v>
      </c>
      <c r="E669" t="s">
        <v>18</v>
      </c>
      <c r="H669" t="s">
        <v>19</v>
      </c>
      <c r="I669" t="s">
        <v>20</v>
      </c>
      <c r="J669" t="s">
        <v>21</v>
      </c>
      <c r="K669" t="s">
        <v>28</v>
      </c>
      <c r="L669" t="s">
        <v>23</v>
      </c>
      <c r="M669" t="s">
        <v>24</v>
      </c>
      <c r="O669" t="s">
        <v>25</v>
      </c>
    </row>
    <row r="670" spans="1:15" x14ac:dyDescent="0.55000000000000004">
      <c r="A670">
        <v>1168</v>
      </c>
      <c r="B670" t="s">
        <v>1278</v>
      </c>
      <c r="C670" t="s">
        <v>1279</v>
      </c>
      <c r="D670" t="s">
        <v>17</v>
      </c>
      <c r="E670" t="s">
        <v>18</v>
      </c>
      <c r="H670" t="s">
        <v>19</v>
      </c>
      <c r="I670" t="s">
        <v>20</v>
      </c>
      <c r="J670" t="s">
        <v>21</v>
      </c>
      <c r="K670" t="s">
        <v>76</v>
      </c>
      <c r="L670" t="s">
        <v>23</v>
      </c>
      <c r="M670" t="s">
        <v>24</v>
      </c>
      <c r="O670" t="s">
        <v>25</v>
      </c>
    </row>
    <row r="671" spans="1:15" x14ac:dyDescent="0.55000000000000004">
      <c r="A671">
        <v>1169</v>
      </c>
      <c r="B671" t="s">
        <v>1280</v>
      </c>
      <c r="C671" t="s">
        <v>1281</v>
      </c>
      <c r="D671" t="s">
        <v>17</v>
      </c>
      <c r="E671" t="s">
        <v>18</v>
      </c>
      <c r="H671" t="s">
        <v>19</v>
      </c>
      <c r="I671" t="s">
        <v>20</v>
      </c>
      <c r="J671" t="s">
        <v>21</v>
      </c>
      <c r="K671" t="s">
        <v>330</v>
      </c>
      <c r="L671" t="s">
        <v>23</v>
      </c>
      <c r="M671" t="s">
        <v>24</v>
      </c>
      <c r="O671" t="s">
        <v>25</v>
      </c>
    </row>
    <row r="672" spans="1:15" x14ac:dyDescent="0.55000000000000004">
      <c r="A672">
        <v>1170</v>
      </c>
      <c r="B672" t="s">
        <v>1282</v>
      </c>
      <c r="C672" t="s">
        <v>1283</v>
      </c>
      <c r="D672" t="s">
        <v>17</v>
      </c>
      <c r="E672" t="s">
        <v>18</v>
      </c>
      <c r="H672" t="s">
        <v>19</v>
      </c>
      <c r="I672" t="s">
        <v>20</v>
      </c>
      <c r="J672" t="s">
        <v>21</v>
      </c>
      <c r="K672" t="s">
        <v>82</v>
      </c>
      <c r="L672" t="s">
        <v>23</v>
      </c>
      <c r="M672" t="s">
        <v>24</v>
      </c>
      <c r="O672" t="s">
        <v>25</v>
      </c>
    </row>
    <row r="673" spans="1:15" x14ac:dyDescent="0.55000000000000004">
      <c r="A673">
        <v>1171</v>
      </c>
      <c r="B673" t="s">
        <v>1284</v>
      </c>
      <c r="C673" t="s">
        <v>1285</v>
      </c>
      <c r="D673" t="s">
        <v>17</v>
      </c>
      <c r="E673" t="s">
        <v>18</v>
      </c>
      <c r="H673" t="s">
        <v>19</v>
      </c>
      <c r="I673" t="s">
        <v>20</v>
      </c>
      <c r="J673" t="s">
        <v>21</v>
      </c>
      <c r="K673" t="s">
        <v>62</v>
      </c>
      <c r="L673" t="s">
        <v>23</v>
      </c>
      <c r="M673" t="s">
        <v>24</v>
      </c>
      <c r="O673" t="s">
        <v>25</v>
      </c>
    </row>
    <row r="674" spans="1:15" x14ac:dyDescent="0.55000000000000004">
      <c r="A674">
        <v>1172</v>
      </c>
      <c r="B674" t="s">
        <v>1286</v>
      </c>
      <c r="C674" t="s">
        <v>1285</v>
      </c>
      <c r="D674" t="s">
        <v>17</v>
      </c>
      <c r="E674" t="s">
        <v>18</v>
      </c>
      <c r="H674" t="s">
        <v>19</v>
      </c>
      <c r="I674" t="s">
        <v>20</v>
      </c>
      <c r="J674" t="s">
        <v>21</v>
      </c>
      <c r="K674" t="s">
        <v>28</v>
      </c>
      <c r="L674" t="s">
        <v>23</v>
      </c>
      <c r="M674" t="s">
        <v>24</v>
      </c>
      <c r="O674" t="s">
        <v>25</v>
      </c>
    </row>
    <row r="675" spans="1:15" x14ac:dyDescent="0.55000000000000004">
      <c r="A675">
        <v>1173</v>
      </c>
      <c r="B675" t="s">
        <v>1287</v>
      </c>
      <c r="C675" t="s">
        <v>1288</v>
      </c>
      <c r="D675" t="s">
        <v>17</v>
      </c>
      <c r="E675" t="s">
        <v>18</v>
      </c>
      <c r="H675" t="s">
        <v>19</v>
      </c>
      <c r="I675" t="s">
        <v>20</v>
      </c>
      <c r="J675" t="s">
        <v>21</v>
      </c>
      <c r="K675" t="s">
        <v>28</v>
      </c>
      <c r="L675" t="s">
        <v>23</v>
      </c>
      <c r="M675" t="s">
        <v>24</v>
      </c>
      <c r="O675" t="s">
        <v>25</v>
      </c>
    </row>
    <row r="676" spans="1:15" x14ac:dyDescent="0.55000000000000004">
      <c r="A676">
        <v>1174</v>
      </c>
      <c r="B676" t="s">
        <v>1289</v>
      </c>
      <c r="C676" t="s">
        <v>1290</v>
      </c>
      <c r="D676" t="s">
        <v>17</v>
      </c>
      <c r="E676" t="s">
        <v>18</v>
      </c>
      <c r="H676" t="s">
        <v>19</v>
      </c>
      <c r="I676" t="s">
        <v>20</v>
      </c>
      <c r="J676" t="s">
        <v>21</v>
      </c>
      <c r="K676" t="s">
        <v>28</v>
      </c>
      <c r="L676" t="s">
        <v>23</v>
      </c>
      <c r="M676" t="s">
        <v>24</v>
      </c>
      <c r="O676" t="s">
        <v>25</v>
      </c>
    </row>
    <row r="677" spans="1:15" x14ac:dyDescent="0.55000000000000004">
      <c r="A677">
        <v>1175</v>
      </c>
      <c r="B677" t="s">
        <v>1291</v>
      </c>
      <c r="C677" t="s">
        <v>1292</v>
      </c>
      <c r="D677" t="s">
        <v>17</v>
      </c>
      <c r="E677" t="s">
        <v>18</v>
      </c>
      <c r="H677" t="s">
        <v>19</v>
      </c>
      <c r="I677" t="s">
        <v>20</v>
      </c>
      <c r="J677" t="s">
        <v>21</v>
      </c>
      <c r="K677" t="s">
        <v>28</v>
      </c>
      <c r="L677" t="s">
        <v>23</v>
      </c>
      <c r="M677" t="s">
        <v>24</v>
      </c>
      <c r="O677" t="s">
        <v>25</v>
      </c>
    </row>
    <row r="678" spans="1:15" x14ac:dyDescent="0.55000000000000004">
      <c r="A678">
        <v>1176</v>
      </c>
      <c r="B678" t="s">
        <v>1293</v>
      </c>
      <c r="C678" t="s">
        <v>1294</v>
      </c>
      <c r="D678" t="s">
        <v>17</v>
      </c>
      <c r="E678" t="s">
        <v>18</v>
      </c>
      <c r="H678" t="s">
        <v>19</v>
      </c>
      <c r="I678" t="s">
        <v>20</v>
      </c>
      <c r="J678" t="s">
        <v>21</v>
      </c>
      <c r="K678" t="s">
        <v>82</v>
      </c>
      <c r="L678" t="s">
        <v>23</v>
      </c>
      <c r="M678" t="s">
        <v>24</v>
      </c>
      <c r="O678" t="s">
        <v>25</v>
      </c>
    </row>
    <row r="679" spans="1:15" x14ac:dyDescent="0.55000000000000004">
      <c r="A679">
        <v>1177</v>
      </c>
      <c r="B679" t="s">
        <v>1295</v>
      </c>
      <c r="C679" t="s">
        <v>1296</v>
      </c>
      <c r="D679" t="s">
        <v>17</v>
      </c>
      <c r="E679" t="s">
        <v>18</v>
      </c>
      <c r="H679" t="s">
        <v>19</v>
      </c>
      <c r="I679" t="s">
        <v>20</v>
      </c>
      <c r="J679" t="s">
        <v>21</v>
      </c>
      <c r="K679" t="s">
        <v>57</v>
      </c>
      <c r="L679" t="s">
        <v>23</v>
      </c>
      <c r="M679" t="s">
        <v>24</v>
      </c>
      <c r="O679" t="s">
        <v>25</v>
      </c>
    </row>
    <row r="680" spans="1:15" x14ac:dyDescent="0.55000000000000004">
      <c r="A680">
        <v>1178</v>
      </c>
      <c r="B680" t="s">
        <v>1297</v>
      </c>
      <c r="C680" t="s">
        <v>1298</v>
      </c>
      <c r="D680" t="s">
        <v>17</v>
      </c>
      <c r="E680" t="s">
        <v>18</v>
      </c>
      <c r="H680" t="s">
        <v>19</v>
      </c>
      <c r="I680" t="s">
        <v>20</v>
      </c>
      <c r="J680" t="s">
        <v>21</v>
      </c>
      <c r="K680" t="s">
        <v>28</v>
      </c>
      <c r="L680" t="s">
        <v>23</v>
      </c>
      <c r="M680" t="s">
        <v>24</v>
      </c>
      <c r="O680" t="s">
        <v>25</v>
      </c>
    </row>
    <row r="681" spans="1:15" x14ac:dyDescent="0.55000000000000004">
      <c r="A681">
        <v>1179</v>
      </c>
      <c r="B681" t="s">
        <v>1299</v>
      </c>
      <c r="C681" t="s">
        <v>1298</v>
      </c>
      <c r="D681" t="s">
        <v>17</v>
      </c>
      <c r="E681" t="s">
        <v>18</v>
      </c>
      <c r="H681" t="s">
        <v>19</v>
      </c>
      <c r="I681" t="s">
        <v>20</v>
      </c>
      <c r="J681" t="s">
        <v>21</v>
      </c>
      <c r="K681" t="s">
        <v>57</v>
      </c>
      <c r="L681" t="s">
        <v>23</v>
      </c>
      <c r="M681" t="s">
        <v>24</v>
      </c>
      <c r="O681" t="s">
        <v>25</v>
      </c>
    </row>
    <row r="682" spans="1:15" x14ac:dyDescent="0.55000000000000004">
      <c r="A682">
        <v>1180</v>
      </c>
      <c r="B682" t="s">
        <v>1300</v>
      </c>
      <c r="C682" t="s">
        <v>1301</v>
      </c>
      <c r="D682" t="s">
        <v>17</v>
      </c>
      <c r="E682" t="s">
        <v>18</v>
      </c>
      <c r="H682" t="s">
        <v>19</v>
      </c>
      <c r="I682" t="s">
        <v>20</v>
      </c>
      <c r="J682" t="s">
        <v>21</v>
      </c>
      <c r="K682" t="s">
        <v>57</v>
      </c>
      <c r="L682" t="s">
        <v>23</v>
      </c>
      <c r="M682" t="s">
        <v>24</v>
      </c>
      <c r="O682" t="s">
        <v>25</v>
      </c>
    </row>
    <row r="683" spans="1:15" x14ac:dyDescent="0.55000000000000004">
      <c r="A683">
        <v>1181</v>
      </c>
      <c r="B683" t="s">
        <v>1302</v>
      </c>
      <c r="C683" t="s">
        <v>1303</v>
      </c>
      <c r="D683" t="s">
        <v>17</v>
      </c>
      <c r="E683" t="s">
        <v>18</v>
      </c>
      <c r="H683" t="s">
        <v>19</v>
      </c>
      <c r="I683" t="s">
        <v>20</v>
      </c>
      <c r="J683" t="s">
        <v>21</v>
      </c>
      <c r="K683" t="s">
        <v>36</v>
      </c>
      <c r="L683" t="s">
        <v>23</v>
      </c>
      <c r="M683" t="s">
        <v>24</v>
      </c>
      <c r="O683" t="s">
        <v>25</v>
      </c>
    </row>
    <row r="684" spans="1:15" x14ac:dyDescent="0.55000000000000004">
      <c r="A684">
        <v>1182</v>
      </c>
      <c r="B684" t="s">
        <v>1304</v>
      </c>
      <c r="C684" t="s">
        <v>1305</v>
      </c>
      <c r="D684" t="s">
        <v>17</v>
      </c>
      <c r="E684" t="s">
        <v>18</v>
      </c>
      <c r="G684" t="s">
        <v>1306</v>
      </c>
      <c r="H684" t="s">
        <v>19</v>
      </c>
      <c r="I684" t="s">
        <v>20</v>
      </c>
      <c r="J684" t="s">
        <v>21</v>
      </c>
      <c r="K684" t="s">
        <v>28</v>
      </c>
      <c r="L684" t="s">
        <v>23</v>
      </c>
      <c r="M684" t="s">
        <v>24</v>
      </c>
      <c r="O684" t="s">
        <v>25</v>
      </c>
    </row>
    <row r="685" spans="1:15" x14ac:dyDescent="0.55000000000000004">
      <c r="A685">
        <v>1183</v>
      </c>
      <c r="B685" t="s">
        <v>1307</v>
      </c>
      <c r="C685" t="s">
        <v>1308</v>
      </c>
      <c r="D685" t="s">
        <v>17</v>
      </c>
      <c r="E685" t="s">
        <v>18</v>
      </c>
      <c r="G685" t="s">
        <v>1306</v>
      </c>
      <c r="H685" t="s">
        <v>19</v>
      </c>
      <c r="I685" t="s">
        <v>20</v>
      </c>
      <c r="J685" t="s">
        <v>21</v>
      </c>
      <c r="K685" t="s">
        <v>28</v>
      </c>
      <c r="L685" t="s">
        <v>23</v>
      </c>
      <c r="M685" t="s">
        <v>24</v>
      </c>
      <c r="O685" t="s">
        <v>25</v>
      </c>
    </row>
    <row r="686" spans="1:15" x14ac:dyDescent="0.55000000000000004">
      <c r="A686">
        <v>1184</v>
      </c>
      <c r="B686" t="s">
        <v>1309</v>
      </c>
      <c r="C686" t="s">
        <v>1310</v>
      </c>
      <c r="D686" t="s">
        <v>17</v>
      </c>
      <c r="E686" t="s">
        <v>18</v>
      </c>
      <c r="G686" t="s">
        <v>1306</v>
      </c>
      <c r="H686" t="s">
        <v>19</v>
      </c>
      <c r="I686" t="s">
        <v>20</v>
      </c>
      <c r="J686" t="s">
        <v>21</v>
      </c>
      <c r="K686" t="s">
        <v>28</v>
      </c>
      <c r="L686" t="s">
        <v>23</v>
      </c>
      <c r="M686" t="s">
        <v>24</v>
      </c>
      <c r="O686" t="s">
        <v>25</v>
      </c>
    </row>
    <row r="687" spans="1:15" x14ac:dyDescent="0.55000000000000004">
      <c r="A687">
        <v>1185</v>
      </c>
      <c r="B687" t="s">
        <v>1311</v>
      </c>
      <c r="C687" t="s">
        <v>1312</v>
      </c>
      <c r="D687" t="s">
        <v>17</v>
      </c>
      <c r="E687" t="s">
        <v>18</v>
      </c>
      <c r="G687" t="s">
        <v>1306</v>
      </c>
      <c r="H687" t="s">
        <v>19</v>
      </c>
      <c r="I687" t="s">
        <v>20</v>
      </c>
      <c r="J687" t="s">
        <v>21</v>
      </c>
      <c r="K687" t="s">
        <v>28</v>
      </c>
      <c r="L687" t="s">
        <v>23</v>
      </c>
      <c r="M687" t="s">
        <v>24</v>
      </c>
      <c r="O687" t="s">
        <v>25</v>
      </c>
    </row>
    <row r="688" spans="1:15" x14ac:dyDescent="0.55000000000000004">
      <c r="A688">
        <v>1186</v>
      </c>
      <c r="B688" t="s">
        <v>1313</v>
      </c>
      <c r="C688" t="s">
        <v>1314</v>
      </c>
      <c r="D688" t="s">
        <v>17</v>
      </c>
      <c r="E688" t="s">
        <v>18</v>
      </c>
      <c r="H688" t="s">
        <v>19</v>
      </c>
      <c r="I688" t="s">
        <v>20</v>
      </c>
      <c r="J688" t="s">
        <v>21</v>
      </c>
      <c r="K688" t="s">
        <v>28</v>
      </c>
      <c r="L688" t="s">
        <v>23</v>
      </c>
      <c r="M688" t="s">
        <v>24</v>
      </c>
      <c r="O688" t="s">
        <v>25</v>
      </c>
    </row>
    <row r="689" spans="1:15" x14ac:dyDescent="0.55000000000000004">
      <c r="A689">
        <v>1187</v>
      </c>
      <c r="B689" t="s">
        <v>1315</v>
      </c>
      <c r="C689" t="s">
        <v>1316</v>
      </c>
      <c r="D689" t="s">
        <v>17</v>
      </c>
      <c r="E689" t="s">
        <v>18</v>
      </c>
      <c r="H689" t="s">
        <v>19</v>
      </c>
      <c r="I689" t="s">
        <v>20</v>
      </c>
      <c r="J689" t="s">
        <v>21</v>
      </c>
      <c r="K689" t="s">
        <v>36</v>
      </c>
      <c r="L689" t="s">
        <v>23</v>
      </c>
      <c r="M689" t="s">
        <v>24</v>
      </c>
      <c r="O689" t="s">
        <v>25</v>
      </c>
    </row>
    <row r="690" spans="1:15" x14ac:dyDescent="0.55000000000000004">
      <c r="A690">
        <v>1188</v>
      </c>
      <c r="B690" t="s">
        <v>1317</v>
      </c>
      <c r="C690" t="s">
        <v>1318</v>
      </c>
      <c r="D690" t="s">
        <v>17</v>
      </c>
      <c r="E690" t="s">
        <v>18</v>
      </c>
      <c r="H690" t="s">
        <v>19</v>
      </c>
      <c r="I690" t="s">
        <v>20</v>
      </c>
      <c r="J690" t="s">
        <v>21</v>
      </c>
      <c r="K690" t="s">
        <v>28</v>
      </c>
      <c r="L690" t="s">
        <v>23</v>
      </c>
      <c r="M690" t="s">
        <v>24</v>
      </c>
      <c r="O690" t="s">
        <v>25</v>
      </c>
    </row>
    <row r="691" spans="1:15" x14ac:dyDescent="0.55000000000000004">
      <c r="A691">
        <v>1189</v>
      </c>
      <c r="B691" t="s">
        <v>1319</v>
      </c>
      <c r="C691" t="s">
        <v>1320</v>
      </c>
      <c r="D691" t="s">
        <v>17</v>
      </c>
      <c r="E691" t="s">
        <v>18</v>
      </c>
      <c r="H691" t="s">
        <v>19</v>
      </c>
      <c r="I691" t="s">
        <v>20</v>
      </c>
      <c r="J691" t="s">
        <v>21</v>
      </c>
      <c r="K691" t="s">
        <v>36</v>
      </c>
      <c r="L691" t="s">
        <v>23</v>
      </c>
      <c r="M691" t="s">
        <v>24</v>
      </c>
      <c r="O691" t="s">
        <v>25</v>
      </c>
    </row>
    <row r="692" spans="1:15" x14ac:dyDescent="0.55000000000000004">
      <c r="A692">
        <v>1190</v>
      </c>
      <c r="B692" t="s">
        <v>1321</v>
      </c>
      <c r="C692" t="s">
        <v>1322</v>
      </c>
      <c r="D692" t="s">
        <v>17</v>
      </c>
      <c r="E692" t="s">
        <v>18</v>
      </c>
      <c r="H692" t="s">
        <v>19</v>
      </c>
      <c r="I692" t="s">
        <v>20</v>
      </c>
      <c r="J692" t="s">
        <v>21</v>
      </c>
      <c r="K692" t="s">
        <v>36</v>
      </c>
      <c r="L692" t="s">
        <v>23</v>
      </c>
      <c r="M692" t="s">
        <v>24</v>
      </c>
      <c r="O692" t="s">
        <v>25</v>
      </c>
    </row>
    <row r="693" spans="1:15" x14ac:dyDescent="0.55000000000000004">
      <c r="A693">
        <v>1191</v>
      </c>
      <c r="B693" t="s">
        <v>1323</v>
      </c>
      <c r="C693" t="s">
        <v>1324</v>
      </c>
      <c r="D693" t="s">
        <v>17</v>
      </c>
      <c r="E693" t="s">
        <v>18</v>
      </c>
      <c r="H693" t="s">
        <v>19</v>
      </c>
      <c r="I693" t="s">
        <v>20</v>
      </c>
      <c r="J693" t="s">
        <v>21</v>
      </c>
      <c r="K693" t="s">
        <v>36</v>
      </c>
      <c r="L693" t="s">
        <v>23</v>
      </c>
      <c r="M693" t="s">
        <v>24</v>
      </c>
      <c r="O693" t="s">
        <v>25</v>
      </c>
    </row>
    <row r="694" spans="1:15" x14ac:dyDescent="0.55000000000000004">
      <c r="A694">
        <v>1192</v>
      </c>
      <c r="B694" t="s">
        <v>1325</v>
      </c>
      <c r="C694" t="s">
        <v>1326</v>
      </c>
      <c r="D694" t="s">
        <v>17</v>
      </c>
      <c r="E694" t="s">
        <v>18</v>
      </c>
      <c r="H694" t="s">
        <v>19</v>
      </c>
      <c r="I694" t="s">
        <v>20</v>
      </c>
      <c r="J694" t="s">
        <v>21</v>
      </c>
      <c r="K694" t="s">
        <v>82</v>
      </c>
      <c r="L694" t="s">
        <v>23</v>
      </c>
      <c r="M694" t="s">
        <v>24</v>
      </c>
      <c r="O694" t="s">
        <v>25</v>
      </c>
    </row>
    <row r="695" spans="1:15" x14ac:dyDescent="0.55000000000000004">
      <c r="A695">
        <v>1193</v>
      </c>
      <c r="B695" t="s">
        <v>1327</v>
      </c>
      <c r="C695" t="s">
        <v>1328</v>
      </c>
      <c r="D695" t="s">
        <v>17</v>
      </c>
      <c r="E695" t="s">
        <v>18</v>
      </c>
      <c r="H695" t="s">
        <v>19</v>
      </c>
      <c r="I695" t="s">
        <v>20</v>
      </c>
      <c r="J695" t="s">
        <v>21</v>
      </c>
      <c r="K695" t="s">
        <v>28</v>
      </c>
      <c r="L695" t="s">
        <v>23</v>
      </c>
      <c r="M695" t="s">
        <v>24</v>
      </c>
      <c r="O695" t="s">
        <v>25</v>
      </c>
    </row>
    <row r="696" spans="1:15" x14ac:dyDescent="0.55000000000000004">
      <c r="A696">
        <v>1194</v>
      </c>
      <c r="B696" t="s">
        <v>1329</v>
      </c>
      <c r="C696" t="s">
        <v>1330</v>
      </c>
      <c r="D696" t="s">
        <v>17</v>
      </c>
      <c r="E696" t="s">
        <v>18</v>
      </c>
      <c r="H696" t="s">
        <v>19</v>
      </c>
      <c r="I696" t="s">
        <v>20</v>
      </c>
      <c r="J696" t="s">
        <v>21</v>
      </c>
      <c r="K696" t="s">
        <v>64</v>
      </c>
      <c r="L696" t="s">
        <v>23</v>
      </c>
      <c r="M696" t="s">
        <v>24</v>
      </c>
      <c r="O696" t="s">
        <v>25</v>
      </c>
    </row>
    <row r="697" spans="1:15" x14ac:dyDescent="0.55000000000000004">
      <c r="A697">
        <v>1195</v>
      </c>
      <c r="B697" t="s">
        <v>1331</v>
      </c>
      <c r="C697" t="s">
        <v>1332</v>
      </c>
      <c r="D697" t="s">
        <v>17</v>
      </c>
      <c r="E697" t="s">
        <v>18</v>
      </c>
      <c r="H697" t="s">
        <v>19</v>
      </c>
      <c r="I697" t="s">
        <v>20</v>
      </c>
      <c r="J697" t="s">
        <v>21</v>
      </c>
      <c r="K697" t="s">
        <v>22</v>
      </c>
      <c r="L697" t="s">
        <v>23</v>
      </c>
      <c r="M697" t="s">
        <v>24</v>
      </c>
      <c r="O697" t="s">
        <v>25</v>
      </c>
    </row>
    <row r="698" spans="1:15" x14ac:dyDescent="0.55000000000000004">
      <c r="A698">
        <v>1196</v>
      </c>
      <c r="B698" t="s">
        <v>1333</v>
      </c>
      <c r="C698" t="s">
        <v>1334</v>
      </c>
      <c r="D698" t="s">
        <v>17</v>
      </c>
      <c r="E698" t="s">
        <v>18</v>
      </c>
      <c r="H698" t="s">
        <v>19</v>
      </c>
      <c r="I698" t="s">
        <v>20</v>
      </c>
      <c r="J698" t="s">
        <v>21</v>
      </c>
      <c r="K698" t="s">
        <v>28</v>
      </c>
      <c r="L698" t="s">
        <v>23</v>
      </c>
      <c r="M698" t="s">
        <v>24</v>
      </c>
      <c r="O698" t="s">
        <v>25</v>
      </c>
    </row>
    <row r="699" spans="1:15" x14ac:dyDescent="0.55000000000000004">
      <c r="A699">
        <v>1197</v>
      </c>
      <c r="B699" t="s">
        <v>1335</v>
      </c>
      <c r="C699" t="s">
        <v>1336</v>
      </c>
      <c r="D699" t="s">
        <v>17</v>
      </c>
      <c r="E699" t="s">
        <v>18</v>
      </c>
      <c r="H699" t="s">
        <v>19</v>
      </c>
      <c r="I699" t="s">
        <v>20</v>
      </c>
      <c r="J699" t="s">
        <v>21</v>
      </c>
      <c r="K699" t="s">
        <v>28</v>
      </c>
      <c r="L699" t="s">
        <v>23</v>
      </c>
      <c r="M699" t="s">
        <v>24</v>
      </c>
      <c r="O699" t="s">
        <v>25</v>
      </c>
    </row>
    <row r="700" spans="1:15" x14ac:dyDescent="0.55000000000000004">
      <c r="A700">
        <v>1198</v>
      </c>
      <c r="B700" t="s">
        <v>1337</v>
      </c>
      <c r="C700" t="s">
        <v>1338</v>
      </c>
      <c r="D700" t="s">
        <v>17</v>
      </c>
      <c r="E700" t="s">
        <v>18</v>
      </c>
      <c r="H700" t="s">
        <v>19</v>
      </c>
      <c r="I700" t="s">
        <v>20</v>
      </c>
      <c r="J700" t="s">
        <v>21</v>
      </c>
      <c r="K700" t="s">
        <v>82</v>
      </c>
      <c r="L700" t="s">
        <v>23</v>
      </c>
      <c r="M700" t="s">
        <v>24</v>
      </c>
      <c r="O700" t="s">
        <v>25</v>
      </c>
    </row>
    <row r="701" spans="1:15" x14ac:dyDescent="0.55000000000000004">
      <c r="A701">
        <v>1199</v>
      </c>
      <c r="B701" t="s">
        <v>1339</v>
      </c>
      <c r="C701" t="s">
        <v>1340</v>
      </c>
      <c r="D701" t="s">
        <v>17</v>
      </c>
      <c r="E701" t="s">
        <v>18</v>
      </c>
      <c r="H701" t="s">
        <v>19</v>
      </c>
      <c r="I701" t="s">
        <v>20</v>
      </c>
      <c r="J701" t="s">
        <v>21</v>
      </c>
      <c r="K701" t="s">
        <v>1034</v>
      </c>
      <c r="L701" t="s">
        <v>23</v>
      </c>
      <c r="M701" t="s">
        <v>24</v>
      </c>
      <c r="O701" t="s">
        <v>25</v>
      </c>
    </row>
    <row r="702" spans="1:15" x14ac:dyDescent="0.55000000000000004">
      <c r="A702">
        <v>1200</v>
      </c>
      <c r="B702" t="s">
        <v>1341</v>
      </c>
      <c r="C702" t="s">
        <v>1340</v>
      </c>
      <c r="D702" t="s">
        <v>17</v>
      </c>
      <c r="E702" t="s">
        <v>18</v>
      </c>
      <c r="H702" t="s">
        <v>19</v>
      </c>
      <c r="I702" t="s">
        <v>20</v>
      </c>
      <c r="J702" t="s">
        <v>21</v>
      </c>
      <c r="K702" t="s">
        <v>28</v>
      </c>
      <c r="L702" t="s">
        <v>23</v>
      </c>
      <c r="M702" t="s">
        <v>24</v>
      </c>
      <c r="O702" t="s">
        <v>25</v>
      </c>
    </row>
    <row r="703" spans="1:15" x14ac:dyDescent="0.55000000000000004">
      <c r="A703">
        <v>1201</v>
      </c>
      <c r="B703" t="s">
        <v>1342</v>
      </c>
      <c r="C703" t="s">
        <v>1340</v>
      </c>
      <c r="D703" t="s">
        <v>17</v>
      </c>
      <c r="E703" t="s">
        <v>18</v>
      </c>
      <c r="H703" t="s">
        <v>19</v>
      </c>
      <c r="I703" t="s">
        <v>20</v>
      </c>
      <c r="J703" t="s">
        <v>21</v>
      </c>
      <c r="K703" t="s">
        <v>69</v>
      </c>
      <c r="L703" t="s">
        <v>23</v>
      </c>
      <c r="M703" t="s">
        <v>24</v>
      </c>
      <c r="O703" t="s">
        <v>25</v>
      </c>
    </row>
    <row r="704" spans="1:15" x14ac:dyDescent="0.55000000000000004">
      <c r="A704">
        <v>1202</v>
      </c>
      <c r="B704" t="s">
        <v>1343</v>
      </c>
      <c r="C704" t="s">
        <v>1344</v>
      </c>
      <c r="D704" t="s">
        <v>17</v>
      </c>
      <c r="E704" t="s">
        <v>18</v>
      </c>
      <c r="H704" t="s">
        <v>19</v>
      </c>
      <c r="I704" t="s">
        <v>20</v>
      </c>
      <c r="J704" t="s">
        <v>21</v>
      </c>
      <c r="K704" t="s">
        <v>28</v>
      </c>
      <c r="L704" t="s">
        <v>23</v>
      </c>
      <c r="M704" t="s">
        <v>24</v>
      </c>
      <c r="O704" t="s">
        <v>25</v>
      </c>
    </row>
    <row r="705" spans="1:15" x14ac:dyDescent="0.55000000000000004">
      <c r="A705">
        <v>1203</v>
      </c>
      <c r="B705" t="s">
        <v>1345</v>
      </c>
      <c r="C705" t="s">
        <v>1346</v>
      </c>
      <c r="D705" t="s">
        <v>17</v>
      </c>
      <c r="E705" t="s">
        <v>18</v>
      </c>
      <c r="H705" t="s">
        <v>19</v>
      </c>
      <c r="I705" t="s">
        <v>20</v>
      </c>
      <c r="J705" t="s">
        <v>21</v>
      </c>
      <c r="K705" t="s">
        <v>220</v>
      </c>
      <c r="L705" t="s">
        <v>23</v>
      </c>
      <c r="M705" t="s">
        <v>24</v>
      </c>
      <c r="O705" t="s">
        <v>25</v>
      </c>
    </row>
    <row r="706" spans="1:15" x14ac:dyDescent="0.55000000000000004">
      <c r="A706">
        <v>1204</v>
      </c>
      <c r="B706" t="s">
        <v>1347</v>
      </c>
      <c r="C706" t="s">
        <v>1346</v>
      </c>
      <c r="D706" t="s">
        <v>17</v>
      </c>
      <c r="E706" t="s">
        <v>18</v>
      </c>
      <c r="H706" t="s">
        <v>19</v>
      </c>
      <c r="I706" t="s">
        <v>20</v>
      </c>
      <c r="J706" t="s">
        <v>21</v>
      </c>
      <c r="K706" t="s">
        <v>28</v>
      </c>
      <c r="L706" t="s">
        <v>23</v>
      </c>
      <c r="M706" t="s">
        <v>24</v>
      </c>
      <c r="O706" t="s">
        <v>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7727C-B130-420C-82E7-A84E82B23BED}">
  <dimension ref="A1:I258"/>
  <sheetViews>
    <sheetView topLeftCell="B1" workbookViewId="0">
      <selection activeCell="G2" sqref="G2"/>
    </sheetView>
  </sheetViews>
  <sheetFormatPr defaultRowHeight="14.4" x14ac:dyDescent="0.55000000000000004"/>
  <cols>
    <col min="1" max="1" width="8.83984375" style="9"/>
    <col min="2" max="2" width="25.47265625" customWidth="1"/>
    <col min="3" max="3" width="5.9453125" bestFit="1" customWidth="1"/>
    <col min="4" max="4" width="115.578125" bestFit="1" customWidth="1"/>
    <col min="5" max="5" width="5.83984375" bestFit="1" customWidth="1"/>
    <col min="6" max="6" width="10.15625" bestFit="1" customWidth="1"/>
    <col min="7" max="7" width="8.83984375" style="7"/>
  </cols>
  <sheetData>
    <row r="1" spans="1:9" s="1" customFormat="1" x14ac:dyDescent="0.55000000000000004">
      <c r="A1" s="8" t="s">
        <v>3083</v>
      </c>
      <c r="B1" s="1" t="s">
        <v>2</v>
      </c>
      <c r="C1" s="1" t="s">
        <v>10</v>
      </c>
      <c r="D1" s="1" t="s">
        <v>1</v>
      </c>
      <c r="E1" s="1" t="s">
        <v>1656</v>
      </c>
      <c r="F1" s="1" t="s">
        <v>1660</v>
      </c>
      <c r="G1" s="6" t="s">
        <v>3082</v>
      </c>
    </row>
    <row r="2" spans="1:9" x14ac:dyDescent="0.55000000000000004">
      <c r="A2" s="9">
        <v>140</v>
      </c>
      <c r="B2" t="s">
        <v>34</v>
      </c>
      <c r="C2" t="s">
        <v>1692</v>
      </c>
      <c r="D2" t="s">
        <v>2188</v>
      </c>
      <c r="E2" t="s">
        <v>1657</v>
      </c>
      <c r="F2" t="s">
        <v>23</v>
      </c>
      <c r="G2" s="7" t="str">
        <f t="shared" ref="G2:G65" si="0">MID(D2,
FIND("1st.skey=",D2,1)+9,10)</f>
        <v>1666797541</v>
      </c>
      <c r="H2" t="s">
        <v>3084</v>
      </c>
      <c r="I2" s="10" t="s">
        <v>3085</v>
      </c>
    </row>
    <row r="3" spans="1:9" x14ac:dyDescent="0.55000000000000004">
      <c r="A3" s="9">
        <v>141</v>
      </c>
      <c r="B3" t="s">
        <v>38</v>
      </c>
      <c r="C3" t="s">
        <v>1692</v>
      </c>
      <c r="D3" t="s">
        <v>2189</v>
      </c>
      <c r="E3" t="s">
        <v>1657</v>
      </c>
      <c r="F3" t="s">
        <v>23</v>
      </c>
      <c r="G3" s="7" t="str">
        <f t="shared" si="0"/>
        <v>1666797541</v>
      </c>
    </row>
    <row r="4" spans="1:9" x14ac:dyDescent="0.55000000000000004">
      <c r="A4" s="9">
        <v>142</v>
      </c>
      <c r="B4" t="s">
        <v>40</v>
      </c>
      <c r="C4" t="s">
        <v>1692</v>
      </c>
      <c r="D4" t="s">
        <v>2190</v>
      </c>
      <c r="E4" t="s">
        <v>1657</v>
      </c>
      <c r="F4" t="s">
        <v>23</v>
      </c>
      <c r="G4" s="7" t="str">
        <f t="shared" si="0"/>
        <v>1666797541</v>
      </c>
    </row>
    <row r="5" spans="1:9" x14ac:dyDescent="0.55000000000000004">
      <c r="A5" s="9">
        <v>144</v>
      </c>
      <c r="B5" t="s">
        <v>44</v>
      </c>
      <c r="C5" t="s">
        <v>1692</v>
      </c>
      <c r="D5" t="s">
        <v>2192</v>
      </c>
      <c r="E5" t="s">
        <v>1657</v>
      </c>
      <c r="F5" t="s">
        <v>23</v>
      </c>
      <c r="G5" s="7" t="str">
        <f t="shared" si="0"/>
        <v>1666797542</v>
      </c>
    </row>
    <row r="6" spans="1:9" x14ac:dyDescent="0.55000000000000004">
      <c r="A6" s="9">
        <v>146</v>
      </c>
      <c r="B6" t="s">
        <v>48</v>
      </c>
      <c r="C6" t="s">
        <v>1692</v>
      </c>
      <c r="D6" t="s">
        <v>2194</v>
      </c>
      <c r="E6" t="s">
        <v>1657</v>
      </c>
      <c r="F6" t="s">
        <v>23</v>
      </c>
      <c r="G6" s="7" t="str">
        <f t="shared" si="0"/>
        <v>1666797542</v>
      </c>
    </row>
    <row r="7" spans="1:9" x14ac:dyDescent="0.55000000000000004">
      <c r="A7" s="9">
        <v>147</v>
      </c>
      <c r="B7" t="s">
        <v>50</v>
      </c>
      <c r="C7" t="s">
        <v>1692</v>
      </c>
      <c r="D7" t="s">
        <v>2195</v>
      </c>
      <c r="E7" t="s">
        <v>1657</v>
      </c>
      <c r="F7" t="s">
        <v>23</v>
      </c>
      <c r="G7" s="7" t="str">
        <f t="shared" si="0"/>
        <v>1666797542</v>
      </c>
    </row>
    <row r="8" spans="1:9" x14ac:dyDescent="0.55000000000000004">
      <c r="A8" s="9">
        <v>143</v>
      </c>
      <c r="B8" t="s">
        <v>42</v>
      </c>
      <c r="C8" t="s">
        <v>1692</v>
      </c>
      <c r="D8" t="s">
        <v>2191</v>
      </c>
      <c r="E8" t="s">
        <v>1657</v>
      </c>
      <c r="F8" t="s">
        <v>23</v>
      </c>
      <c r="G8" s="7" t="str">
        <f t="shared" si="0"/>
        <v>1666797542</v>
      </c>
    </row>
    <row r="9" spans="1:9" x14ac:dyDescent="0.55000000000000004">
      <c r="A9" s="9">
        <v>145</v>
      </c>
      <c r="B9" t="s">
        <v>46</v>
      </c>
      <c r="C9" t="s">
        <v>1692</v>
      </c>
      <c r="D9" t="s">
        <v>2193</v>
      </c>
      <c r="E9" t="s">
        <v>1657</v>
      </c>
      <c r="F9" t="s">
        <v>23</v>
      </c>
      <c r="G9" s="7" t="str">
        <f t="shared" si="0"/>
        <v>1666797542</v>
      </c>
    </row>
    <row r="10" spans="1:9" x14ac:dyDescent="0.55000000000000004">
      <c r="A10" s="9">
        <v>148</v>
      </c>
      <c r="B10" t="s">
        <v>52</v>
      </c>
      <c r="C10" t="s">
        <v>1692</v>
      </c>
      <c r="D10" t="s">
        <v>2196</v>
      </c>
      <c r="E10" t="s">
        <v>1657</v>
      </c>
      <c r="F10" t="s">
        <v>23</v>
      </c>
      <c r="G10" s="7" t="str">
        <f t="shared" si="0"/>
        <v>1666797543</v>
      </c>
    </row>
    <row r="11" spans="1:9" x14ac:dyDescent="0.55000000000000004">
      <c r="A11" s="9">
        <v>149</v>
      </c>
      <c r="B11" t="s">
        <v>2651</v>
      </c>
      <c r="C11" t="s">
        <v>1692</v>
      </c>
      <c r="D11" t="s">
        <v>2204</v>
      </c>
      <c r="E11" t="s">
        <v>1657</v>
      </c>
      <c r="F11" t="s">
        <v>23</v>
      </c>
      <c r="G11" s="7" t="str">
        <f t="shared" si="0"/>
        <v>1666797565</v>
      </c>
    </row>
    <row r="12" spans="1:9" x14ac:dyDescent="0.55000000000000004">
      <c r="A12" s="9">
        <v>150</v>
      </c>
      <c r="B12" t="s">
        <v>347</v>
      </c>
      <c r="C12" t="s">
        <v>1692</v>
      </c>
      <c r="D12" t="s">
        <v>2207</v>
      </c>
      <c r="E12" t="s">
        <v>1657</v>
      </c>
      <c r="F12" t="s">
        <v>23</v>
      </c>
      <c r="G12" s="7" t="str">
        <f t="shared" si="0"/>
        <v>1666797566</v>
      </c>
    </row>
    <row r="13" spans="1:9" x14ac:dyDescent="0.55000000000000004">
      <c r="A13" s="9">
        <v>151</v>
      </c>
      <c r="B13" t="s">
        <v>349</v>
      </c>
      <c r="C13" t="s">
        <v>1692</v>
      </c>
      <c r="D13" t="s">
        <v>2208</v>
      </c>
      <c r="E13" t="s">
        <v>1657</v>
      </c>
      <c r="F13" t="s">
        <v>23</v>
      </c>
      <c r="G13" s="7" t="str">
        <f t="shared" si="0"/>
        <v>1666797566</v>
      </c>
    </row>
    <row r="14" spans="1:9" x14ac:dyDescent="0.55000000000000004">
      <c r="A14" s="9">
        <v>152</v>
      </c>
      <c r="B14" t="s">
        <v>355</v>
      </c>
      <c r="C14" t="s">
        <v>1692</v>
      </c>
      <c r="D14" t="s">
        <v>2209</v>
      </c>
      <c r="E14" t="s">
        <v>1657</v>
      </c>
      <c r="F14" t="s">
        <v>23</v>
      </c>
      <c r="G14" s="7" t="str">
        <f t="shared" si="0"/>
        <v>1666797567</v>
      </c>
    </row>
    <row r="15" spans="1:9" x14ac:dyDescent="0.55000000000000004">
      <c r="A15" s="9">
        <v>153</v>
      </c>
      <c r="B15" t="s">
        <v>377</v>
      </c>
      <c r="C15" t="s">
        <v>1692</v>
      </c>
      <c r="D15" t="s">
        <v>2212</v>
      </c>
      <c r="E15" t="s">
        <v>1657</v>
      </c>
      <c r="F15" t="s">
        <v>23</v>
      </c>
      <c r="G15" s="7" t="str">
        <f t="shared" si="0"/>
        <v>1666797569</v>
      </c>
    </row>
    <row r="16" spans="1:9" x14ac:dyDescent="0.55000000000000004">
      <c r="A16" s="9">
        <v>154</v>
      </c>
      <c r="B16" t="s">
        <v>379</v>
      </c>
      <c r="C16" t="s">
        <v>1692</v>
      </c>
      <c r="D16" t="s">
        <v>2213</v>
      </c>
      <c r="E16" t="s">
        <v>1657</v>
      </c>
      <c r="F16" t="s">
        <v>23</v>
      </c>
      <c r="G16" s="7" t="str">
        <f t="shared" si="0"/>
        <v>1666797569</v>
      </c>
    </row>
    <row r="17" spans="1:7" x14ac:dyDescent="0.55000000000000004">
      <c r="A17" s="9">
        <v>155</v>
      </c>
      <c r="B17" t="s">
        <v>414</v>
      </c>
      <c r="C17" t="s">
        <v>1692</v>
      </c>
      <c r="D17" t="s">
        <v>2215</v>
      </c>
      <c r="E17" t="s">
        <v>1657</v>
      </c>
      <c r="F17" t="s">
        <v>23</v>
      </c>
      <c r="G17" s="7" t="str">
        <f t="shared" si="0"/>
        <v>1666797572</v>
      </c>
    </row>
    <row r="18" spans="1:7" x14ac:dyDescent="0.55000000000000004">
      <c r="A18" s="9">
        <v>156</v>
      </c>
      <c r="B18" t="s">
        <v>416</v>
      </c>
      <c r="C18" t="s">
        <v>1692</v>
      </c>
      <c r="D18" t="s">
        <v>2216</v>
      </c>
      <c r="E18" t="s">
        <v>1657</v>
      </c>
      <c r="F18" t="s">
        <v>23</v>
      </c>
      <c r="G18" s="7" t="str">
        <f t="shared" si="0"/>
        <v>1666797572</v>
      </c>
    </row>
    <row r="19" spans="1:7" x14ac:dyDescent="0.55000000000000004">
      <c r="A19" s="9">
        <v>157</v>
      </c>
      <c r="B19" t="s">
        <v>1576</v>
      </c>
      <c r="C19" t="s">
        <v>1692</v>
      </c>
      <c r="D19" t="s">
        <v>2217</v>
      </c>
      <c r="E19" t="s">
        <v>1657</v>
      </c>
      <c r="F19" t="s">
        <v>23</v>
      </c>
      <c r="G19" s="7" t="str">
        <f t="shared" si="0"/>
        <v>1666797573</v>
      </c>
    </row>
    <row r="20" spans="1:7" x14ac:dyDescent="0.55000000000000004">
      <c r="A20" s="9">
        <v>158</v>
      </c>
      <c r="B20" t="s">
        <v>1577</v>
      </c>
      <c r="C20" t="s">
        <v>1692</v>
      </c>
      <c r="D20" t="s">
        <v>2218</v>
      </c>
      <c r="E20" t="s">
        <v>1657</v>
      </c>
      <c r="F20" t="s">
        <v>23</v>
      </c>
      <c r="G20" s="7" t="str">
        <f t="shared" si="0"/>
        <v>1666797573</v>
      </c>
    </row>
    <row r="21" spans="1:7" x14ac:dyDescent="0.55000000000000004">
      <c r="A21" s="9">
        <v>159</v>
      </c>
      <c r="B21" t="s">
        <v>1578</v>
      </c>
      <c r="C21" t="s">
        <v>1692</v>
      </c>
      <c r="D21" t="s">
        <v>2219</v>
      </c>
      <c r="E21" t="s">
        <v>1657</v>
      </c>
      <c r="F21" t="s">
        <v>23</v>
      </c>
      <c r="G21" s="7" t="str">
        <f t="shared" si="0"/>
        <v>1666797573</v>
      </c>
    </row>
    <row r="22" spans="1:7" x14ac:dyDescent="0.55000000000000004">
      <c r="A22" s="9">
        <v>160</v>
      </c>
      <c r="B22" t="s">
        <v>2661</v>
      </c>
      <c r="C22" t="s">
        <v>1692</v>
      </c>
      <c r="D22" t="s">
        <v>2220</v>
      </c>
      <c r="E22" t="s">
        <v>1657</v>
      </c>
      <c r="F22" t="s">
        <v>23</v>
      </c>
      <c r="G22" s="7" t="str">
        <f t="shared" si="0"/>
        <v>1666797573</v>
      </c>
    </row>
    <row r="23" spans="1:7" x14ac:dyDescent="0.55000000000000004">
      <c r="A23" s="9">
        <v>161</v>
      </c>
      <c r="B23" t="s">
        <v>1580</v>
      </c>
      <c r="C23" t="s">
        <v>1692</v>
      </c>
      <c r="D23" t="s">
        <v>2221</v>
      </c>
      <c r="E23" t="s">
        <v>1657</v>
      </c>
      <c r="F23" t="s">
        <v>23</v>
      </c>
      <c r="G23" s="7" t="str">
        <f t="shared" si="0"/>
        <v>1666797573</v>
      </c>
    </row>
    <row r="24" spans="1:7" x14ac:dyDescent="0.55000000000000004">
      <c r="A24" s="9">
        <v>162</v>
      </c>
      <c r="B24" t="s">
        <v>451</v>
      </c>
      <c r="C24" t="s">
        <v>1692</v>
      </c>
      <c r="D24" t="s">
        <v>2224</v>
      </c>
      <c r="E24" t="s">
        <v>1657</v>
      </c>
      <c r="F24" t="s">
        <v>23</v>
      </c>
      <c r="G24" s="7" t="str">
        <f t="shared" si="0"/>
        <v>1666797575</v>
      </c>
    </row>
    <row r="25" spans="1:7" x14ac:dyDescent="0.55000000000000004">
      <c r="A25" s="9">
        <v>163</v>
      </c>
      <c r="B25" t="s">
        <v>2666</v>
      </c>
      <c r="C25" t="s">
        <v>1692</v>
      </c>
      <c r="D25" t="s">
        <v>2225</v>
      </c>
      <c r="E25" t="s">
        <v>1657</v>
      </c>
      <c r="F25" t="s">
        <v>23</v>
      </c>
      <c r="G25" s="7" t="str">
        <f t="shared" si="0"/>
        <v>1666797577</v>
      </c>
    </row>
    <row r="26" spans="1:7" x14ac:dyDescent="0.55000000000000004">
      <c r="A26" s="9">
        <v>164</v>
      </c>
      <c r="B26" t="s">
        <v>2667</v>
      </c>
      <c r="C26" t="s">
        <v>1692</v>
      </c>
      <c r="D26" t="s">
        <v>2226</v>
      </c>
      <c r="E26" t="s">
        <v>1657</v>
      </c>
      <c r="F26" t="s">
        <v>23</v>
      </c>
      <c r="G26" s="7" t="str">
        <f t="shared" si="0"/>
        <v>1666797577</v>
      </c>
    </row>
    <row r="27" spans="1:7" x14ac:dyDescent="0.55000000000000004">
      <c r="A27" s="9">
        <v>165</v>
      </c>
      <c r="B27" t="s">
        <v>2668</v>
      </c>
      <c r="C27" t="s">
        <v>1692</v>
      </c>
      <c r="D27" t="s">
        <v>2227</v>
      </c>
      <c r="E27" t="s">
        <v>1657</v>
      </c>
      <c r="F27" t="s">
        <v>23</v>
      </c>
      <c r="G27" s="7" t="str">
        <f t="shared" si="0"/>
        <v>1666797577</v>
      </c>
    </row>
    <row r="28" spans="1:7" x14ac:dyDescent="0.55000000000000004">
      <c r="A28" s="9">
        <v>166</v>
      </c>
      <c r="B28" t="s">
        <v>2669</v>
      </c>
      <c r="C28" t="s">
        <v>1692</v>
      </c>
      <c r="D28" t="s">
        <v>2228</v>
      </c>
      <c r="E28" t="s">
        <v>1657</v>
      </c>
      <c r="F28" t="s">
        <v>23</v>
      </c>
      <c r="G28" s="7" t="str">
        <f t="shared" si="0"/>
        <v>1666797577</v>
      </c>
    </row>
    <row r="29" spans="1:7" x14ac:dyDescent="0.55000000000000004">
      <c r="A29" s="9">
        <v>167</v>
      </c>
      <c r="B29" t="s">
        <v>1590</v>
      </c>
      <c r="C29" t="s">
        <v>1692</v>
      </c>
      <c r="D29" t="s">
        <v>2229</v>
      </c>
      <c r="E29" t="s">
        <v>1657</v>
      </c>
      <c r="F29" t="s">
        <v>23</v>
      </c>
      <c r="G29" s="7" t="str">
        <f t="shared" si="0"/>
        <v>1666797578</v>
      </c>
    </row>
    <row r="30" spans="1:7" x14ac:dyDescent="0.55000000000000004">
      <c r="A30" s="9">
        <v>168</v>
      </c>
      <c r="B30" t="s">
        <v>2670</v>
      </c>
      <c r="C30" t="s">
        <v>1692</v>
      </c>
      <c r="D30" t="s">
        <v>2230</v>
      </c>
      <c r="E30" t="s">
        <v>1657</v>
      </c>
      <c r="F30" t="s">
        <v>23</v>
      </c>
      <c r="G30" s="7" t="str">
        <f t="shared" si="0"/>
        <v>1666797578</v>
      </c>
    </row>
    <row r="31" spans="1:7" x14ac:dyDescent="0.55000000000000004">
      <c r="A31" s="9">
        <v>169</v>
      </c>
      <c r="B31" t="s">
        <v>2671</v>
      </c>
      <c r="C31" t="s">
        <v>1692</v>
      </c>
      <c r="D31" t="s">
        <v>2231</v>
      </c>
      <c r="E31" t="s">
        <v>1657</v>
      </c>
      <c r="F31" t="s">
        <v>23</v>
      </c>
      <c r="G31" s="7" t="str">
        <f t="shared" si="0"/>
        <v>1666797578</v>
      </c>
    </row>
    <row r="32" spans="1:7" x14ac:dyDescent="0.55000000000000004">
      <c r="A32" s="9">
        <v>170</v>
      </c>
      <c r="B32" t="s">
        <v>2672</v>
      </c>
      <c r="C32" t="s">
        <v>1692</v>
      </c>
      <c r="D32" t="s">
        <v>2232</v>
      </c>
      <c r="E32" t="s">
        <v>1657</v>
      </c>
      <c r="F32" t="s">
        <v>23</v>
      </c>
      <c r="G32" s="7" t="str">
        <f t="shared" si="0"/>
        <v>1666797578</v>
      </c>
    </row>
    <row r="33" spans="1:7" x14ac:dyDescent="0.55000000000000004">
      <c r="A33" s="9">
        <v>171</v>
      </c>
      <c r="B33" t="s">
        <v>2673</v>
      </c>
      <c r="C33" t="s">
        <v>1692</v>
      </c>
      <c r="D33" t="s">
        <v>2233</v>
      </c>
      <c r="E33" t="s">
        <v>1657</v>
      </c>
      <c r="F33" t="s">
        <v>23</v>
      </c>
      <c r="G33" s="7" t="str">
        <f t="shared" si="0"/>
        <v>1666797578</v>
      </c>
    </row>
    <row r="34" spans="1:7" x14ac:dyDescent="0.55000000000000004">
      <c r="A34" s="9">
        <v>172</v>
      </c>
      <c r="B34" t="s">
        <v>2674</v>
      </c>
      <c r="C34" t="s">
        <v>1692</v>
      </c>
      <c r="D34" t="s">
        <v>2234</v>
      </c>
      <c r="E34" t="s">
        <v>1657</v>
      </c>
      <c r="F34" t="s">
        <v>23</v>
      </c>
      <c r="G34" s="7" t="str">
        <f t="shared" si="0"/>
        <v>1666797579</v>
      </c>
    </row>
    <row r="35" spans="1:7" x14ac:dyDescent="0.55000000000000004">
      <c r="A35" s="9">
        <v>173</v>
      </c>
      <c r="B35" t="s">
        <v>2675</v>
      </c>
      <c r="C35" t="s">
        <v>1692</v>
      </c>
      <c r="D35" t="s">
        <v>2235</v>
      </c>
      <c r="E35" t="s">
        <v>1657</v>
      </c>
      <c r="F35" t="s">
        <v>23</v>
      </c>
      <c r="G35" s="7" t="str">
        <f t="shared" si="0"/>
        <v>1666797579</v>
      </c>
    </row>
    <row r="36" spans="1:7" x14ac:dyDescent="0.55000000000000004">
      <c r="A36" s="9">
        <v>174</v>
      </c>
      <c r="B36" t="s">
        <v>2676</v>
      </c>
      <c r="C36" t="s">
        <v>1692</v>
      </c>
      <c r="D36" t="s">
        <v>2236</v>
      </c>
      <c r="E36" t="s">
        <v>1657</v>
      </c>
      <c r="F36" t="s">
        <v>23</v>
      </c>
      <c r="G36" s="7" t="str">
        <f t="shared" si="0"/>
        <v>1666797579</v>
      </c>
    </row>
    <row r="37" spans="1:7" x14ac:dyDescent="0.55000000000000004">
      <c r="A37" s="9">
        <v>175</v>
      </c>
      <c r="B37" t="s">
        <v>2677</v>
      </c>
      <c r="C37" t="s">
        <v>1692</v>
      </c>
      <c r="D37" t="s">
        <v>2237</v>
      </c>
      <c r="E37" t="s">
        <v>1657</v>
      </c>
      <c r="F37" t="s">
        <v>23</v>
      </c>
      <c r="G37" s="7" t="str">
        <f t="shared" si="0"/>
        <v>1666797579</v>
      </c>
    </row>
    <row r="38" spans="1:7" x14ac:dyDescent="0.55000000000000004">
      <c r="A38" s="9">
        <v>176</v>
      </c>
      <c r="B38" t="s">
        <v>2678</v>
      </c>
      <c r="C38" t="s">
        <v>1692</v>
      </c>
      <c r="D38" t="s">
        <v>2238</v>
      </c>
      <c r="E38" t="s">
        <v>1657</v>
      </c>
      <c r="F38" t="s">
        <v>23</v>
      </c>
      <c r="G38" s="7" t="str">
        <f t="shared" si="0"/>
        <v>1666797579</v>
      </c>
    </row>
    <row r="39" spans="1:7" x14ac:dyDescent="0.55000000000000004">
      <c r="A39" s="9">
        <v>177</v>
      </c>
      <c r="B39" t="s">
        <v>2679</v>
      </c>
      <c r="C39" t="s">
        <v>1692</v>
      </c>
      <c r="D39" t="s">
        <v>2239</v>
      </c>
      <c r="E39" t="s">
        <v>1657</v>
      </c>
      <c r="F39" t="s">
        <v>23</v>
      </c>
      <c r="G39" s="7" t="str">
        <f t="shared" si="0"/>
        <v>1666797579</v>
      </c>
    </row>
    <row r="40" spans="1:7" x14ac:dyDescent="0.55000000000000004">
      <c r="A40" s="9">
        <v>178</v>
      </c>
      <c r="B40" t="s">
        <v>2680</v>
      </c>
      <c r="C40" t="s">
        <v>1692</v>
      </c>
      <c r="D40" t="s">
        <v>2240</v>
      </c>
      <c r="E40" t="s">
        <v>1657</v>
      </c>
      <c r="F40" t="s">
        <v>23</v>
      </c>
      <c r="G40" s="7" t="str">
        <f t="shared" si="0"/>
        <v>1666797580</v>
      </c>
    </row>
    <row r="41" spans="1:7" x14ac:dyDescent="0.55000000000000004">
      <c r="A41" s="9">
        <v>179</v>
      </c>
      <c r="B41" t="s">
        <v>2681</v>
      </c>
      <c r="C41" t="s">
        <v>1692</v>
      </c>
      <c r="D41" t="s">
        <v>2241</v>
      </c>
      <c r="E41" t="s">
        <v>1657</v>
      </c>
      <c r="F41" t="s">
        <v>23</v>
      </c>
      <c r="G41" s="7" t="str">
        <f t="shared" si="0"/>
        <v>1666797580</v>
      </c>
    </row>
    <row r="42" spans="1:7" x14ac:dyDescent="0.55000000000000004">
      <c r="A42" s="9">
        <v>180</v>
      </c>
      <c r="B42" t="s">
        <v>2682</v>
      </c>
      <c r="C42" t="s">
        <v>1692</v>
      </c>
      <c r="D42" t="s">
        <v>2242</v>
      </c>
      <c r="E42" t="s">
        <v>1657</v>
      </c>
      <c r="F42" t="s">
        <v>23</v>
      </c>
      <c r="G42" s="7" t="str">
        <f t="shared" si="0"/>
        <v>1666797580</v>
      </c>
    </row>
    <row r="43" spans="1:7" x14ac:dyDescent="0.55000000000000004">
      <c r="A43" s="9">
        <v>181</v>
      </c>
      <c r="B43" t="s">
        <v>2683</v>
      </c>
      <c r="C43" t="s">
        <v>1692</v>
      </c>
      <c r="D43" t="s">
        <v>2243</v>
      </c>
      <c r="E43" t="s">
        <v>1657</v>
      </c>
      <c r="F43" t="s">
        <v>23</v>
      </c>
      <c r="G43" s="7" t="str">
        <f t="shared" si="0"/>
        <v>1666797580</v>
      </c>
    </row>
    <row r="44" spans="1:7" x14ac:dyDescent="0.55000000000000004">
      <c r="A44" s="9">
        <v>182</v>
      </c>
      <c r="B44" t="s">
        <v>2684</v>
      </c>
      <c r="C44" t="s">
        <v>1692</v>
      </c>
      <c r="D44" t="s">
        <v>2244</v>
      </c>
      <c r="E44" t="s">
        <v>1657</v>
      </c>
      <c r="F44" t="s">
        <v>23</v>
      </c>
      <c r="G44" s="7" t="str">
        <f t="shared" si="0"/>
        <v>1666797581</v>
      </c>
    </row>
    <row r="45" spans="1:7" x14ac:dyDescent="0.55000000000000004">
      <c r="A45" s="9">
        <v>183</v>
      </c>
      <c r="B45" t="s">
        <v>2685</v>
      </c>
      <c r="C45" t="s">
        <v>1692</v>
      </c>
      <c r="D45" t="s">
        <v>2245</v>
      </c>
      <c r="E45" t="s">
        <v>1657</v>
      </c>
      <c r="F45" t="s">
        <v>23</v>
      </c>
      <c r="G45" s="7" t="str">
        <f t="shared" si="0"/>
        <v>1666797581</v>
      </c>
    </row>
    <row r="46" spans="1:7" x14ac:dyDescent="0.55000000000000004">
      <c r="A46" s="9">
        <v>184</v>
      </c>
      <c r="B46" t="s">
        <v>2686</v>
      </c>
      <c r="C46" t="s">
        <v>1692</v>
      </c>
      <c r="D46" t="s">
        <v>2246</v>
      </c>
      <c r="E46" t="s">
        <v>1657</v>
      </c>
      <c r="F46" t="s">
        <v>23</v>
      </c>
      <c r="G46" s="7" t="str">
        <f t="shared" si="0"/>
        <v>1666797581</v>
      </c>
    </row>
    <row r="47" spans="1:7" x14ac:dyDescent="0.55000000000000004">
      <c r="A47" s="9">
        <v>185</v>
      </c>
      <c r="B47" t="s">
        <v>2687</v>
      </c>
      <c r="C47" t="s">
        <v>1692</v>
      </c>
      <c r="D47" t="s">
        <v>2247</v>
      </c>
      <c r="E47" t="s">
        <v>1657</v>
      </c>
      <c r="F47" t="s">
        <v>23</v>
      </c>
      <c r="G47" s="7" t="str">
        <f t="shared" si="0"/>
        <v>1666797581</v>
      </c>
    </row>
    <row r="48" spans="1:7" x14ac:dyDescent="0.55000000000000004">
      <c r="A48" s="9">
        <v>186</v>
      </c>
      <c r="B48" t="s">
        <v>2688</v>
      </c>
      <c r="C48" t="s">
        <v>1692</v>
      </c>
      <c r="D48" t="s">
        <v>2248</v>
      </c>
      <c r="E48" t="s">
        <v>1657</v>
      </c>
      <c r="F48" t="s">
        <v>23</v>
      </c>
      <c r="G48" s="7" t="str">
        <f t="shared" si="0"/>
        <v>1666797581</v>
      </c>
    </row>
    <row r="49" spans="1:7" x14ac:dyDescent="0.55000000000000004">
      <c r="A49" s="9">
        <v>187</v>
      </c>
      <c r="B49" t="s">
        <v>2689</v>
      </c>
      <c r="C49" t="s">
        <v>1692</v>
      </c>
      <c r="D49" t="s">
        <v>2249</v>
      </c>
      <c r="E49" t="s">
        <v>1657</v>
      </c>
      <c r="F49" t="s">
        <v>23</v>
      </c>
      <c r="G49" s="7" t="str">
        <f t="shared" si="0"/>
        <v>1666797582</v>
      </c>
    </row>
    <row r="50" spans="1:7" x14ac:dyDescent="0.55000000000000004">
      <c r="A50" s="9">
        <v>188</v>
      </c>
      <c r="B50" t="s">
        <v>2690</v>
      </c>
      <c r="C50" t="s">
        <v>1692</v>
      </c>
      <c r="D50" t="s">
        <v>2250</v>
      </c>
      <c r="E50" t="s">
        <v>1657</v>
      </c>
      <c r="F50" t="s">
        <v>23</v>
      </c>
      <c r="G50" s="7" t="str">
        <f t="shared" si="0"/>
        <v>1666797582</v>
      </c>
    </row>
    <row r="51" spans="1:7" x14ac:dyDescent="0.55000000000000004">
      <c r="A51" s="9">
        <v>189</v>
      </c>
      <c r="B51" t="s">
        <v>2691</v>
      </c>
      <c r="C51" t="s">
        <v>1692</v>
      </c>
      <c r="D51" t="s">
        <v>2251</v>
      </c>
      <c r="E51" t="s">
        <v>1657</v>
      </c>
      <c r="F51" t="s">
        <v>23</v>
      </c>
      <c r="G51" s="7" t="str">
        <f t="shared" si="0"/>
        <v>1666797582</v>
      </c>
    </row>
    <row r="52" spans="1:7" x14ac:dyDescent="0.55000000000000004">
      <c r="A52" s="9">
        <v>190</v>
      </c>
      <c r="B52" t="s">
        <v>2692</v>
      </c>
      <c r="C52" t="s">
        <v>1692</v>
      </c>
      <c r="D52" t="s">
        <v>2252</v>
      </c>
      <c r="E52" t="s">
        <v>1657</v>
      </c>
      <c r="F52" t="s">
        <v>23</v>
      </c>
      <c r="G52" s="7" t="str">
        <f t="shared" si="0"/>
        <v>1666797582</v>
      </c>
    </row>
    <row r="53" spans="1:7" x14ac:dyDescent="0.55000000000000004">
      <c r="A53" s="9">
        <v>191</v>
      </c>
      <c r="B53" t="s">
        <v>2693</v>
      </c>
      <c r="C53" t="s">
        <v>1692</v>
      </c>
      <c r="D53" t="s">
        <v>2253</v>
      </c>
      <c r="E53" t="s">
        <v>1657</v>
      </c>
      <c r="F53" t="s">
        <v>23</v>
      </c>
      <c r="G53" s="7" t="str">
        <f t="shared" si="0"/>
        <v>1666797582</v>
      </c>
    </row>
    <row r="54" spans="1:7" x14ac:dyDescent="0.55000000000000004">
      <c r="A54" s="9">
        <v>192</v>
      </c>
      <c r="B54" t="s">
        <v>1592</v>
      </c>
      <c r="C54" t="s">
        <v>1692</v>
      </c>
      <c r="D54" t="s">
        <v>2254</v>
      </c>
      <c r="E54" t="s">
        <v>1657</v>
      </c>
      <c r="F54" t="s">
        <v>23</v>
      </c>
      <c r="G54" s="7" t="str">
        <f t="shared" si="0"/>
        <v>1666797583</v>
      </c>
    </row>
    <row r="55" spans="1:7" x14ac:dyDescent="0.55000000000000004">
      <c r="A55" s="9">
        <v>193</v>
      </c>
      <c r="B55" t="s">
        <v>2694</v>
      </c>
      <c r="C55" t="s">
        <v>1692</v>
      </c>
      <c r="D55" t="s">
        <v>2255</v>
      </c>
      <c r="E55" t="s">
        <v>1657</v>
      </c>
      <c r="F55" t="s">
        <v>23</v>
      </c>
      <c r="G55" s="7" t="str">
        <f t="shared" si="0"/>
        <v>1666797583</v>
      </c>
    </row>
    <row r="56" spans="1:7" x14ac:dyDescent="0.55000000000000004">
      <c r="A56" s="9">
        <v>194</v>
      </c>
      <c r="B56" t="s">
        <v>2695</v>
      </c>
      <c r="C56" t="s">
        <v>1692</v>
      </c>
      <c r="D56" t="s">
        <v>2256</v>
      </c>
      <c r="E56" t="s">
        <v>1657</v>
      </c>
      <c r="F56" t="s">
        <v>23</v>
      </c>
      <c r="G56" s="7" t="str">
        <f t="shared" si="0"/>
        <v>1666797583</v>
      </c>
    </row>
    <row r="57" spans="1:7" x14ac:dyDescent="0.55000000000000004">
      <c r="A57" s="9">
        <v>195</v>
      </c>
      <c r="B57" t="s">
        <v>2696</v>
      </c>
      <c r="C57" t="s">
        <v>1692</v>
      </c>
      <c r="D57" t="s">
        <v>2257</v>
      </c>
      <c r="E57" t="s">
        <v>1657</v>
      </c>
      <c r="F57" t="s">
        <v>23</v>
      </c>
      <c r="G57" s="7" t="str">
        <f t="shared" si="0"/>
        <v>1666797583</v>
      </c>
    </row>
    <row r="58" spans="1:7" x14ac:dyDescent="0.55000000000000004">
      <c r="A58" s="9">
        <v>196</v>
      </c>
      <c r="B58" t="s">
        <v>2697</v>
      </c>
      <c r="C58" t="s">
        <v>1692</v>
      </c>
      <c r="D58" t="s">
        <v>2258</v>
      </c>
      <c r="E58" t="s">
        <v>1657</v>
      </c>
      <c r="F58" t="s">
        <v>23</v>
      </c>
      <c r="G58" s="7" t="str">
        <f t="shared" si="0"/>
        <v>1666797583</v>
      </c>
    </row>
    <row r="59" spans="1:7" x14ac:dyDescent="0.55000000000000004">
      <c r="A59" s="9">
        <v>197</v>
      </c>
      <c r="B59" t="s">
        <v>2698</v>
      </c>
      <c r="C59" t="s">
        <v>1692</v>
      </c>
      <c r="D59" t="s">
        <v>2259</v>
      </c>
      <c r="E59" t="s">
        <v>1657</v>
      </c>
      <c r="F59" t="s">
        <v>23</v>
      </c>
      <c r="G59" s="7" t="str">
        <f t="shared" si="0"/>
        <v>1666797584</v>
      </c>
    </row>
    <row r="60" spans="1:7" x14ac:dyDescent="0.55000000000000004">
      <c r="A60" s="9">
        <v>198</v>
      </c>
      <c r="B60" t="s">
        <v>2699</v>
      </c>
      <c r="C60" t="s">
        <v>1692</v>
      </c>
      <c r="D60" t="s">
        <v>2260</v>
      </c>
      <c r="E60" t="s">
        <v>1657</v>
      </c>
      <c r="F60" t="s">
        <v>23</v>
      </c>
      <c r="G60" s="7" t="str">
        <f t="shared" si="0"/>
        <v>1666797584</v>
      </c>
    </row>
    <row r="61" spans="1:7" x14ac:dyDescent="0.55000000000000004">
      <c r="A61" s="9">
        <v>199</v>
      </c>
      <c r="B61" t="s">
        <v>2700</v>
      </c>
      <c r="C61" t="s">
        <v>1692</v>
      </c>
      <c r="D61" t="s">
        <v>2261</v>
      </c>
      <c r="E61" t="s">
        <v>1657</v>
      </c>
      <c r="F61" t="s">
        <v>23</v>
      </c>
      <c r="G61" s="7" t="str">
        <f t="shared" si="0"/>
        <v>1666797584</v>
      </c>
    </row>
    <row r="62" spans="1:7" x14ac:dyDescent="0.55000000000000004">
      <c r="A62" s="9">
        <v>200</v>
      </c>
      <c r="B62" t="s">
        <v>2701</v>
      </c>
      <c r="C62" t="s">
        <v>1692</v>
      </c>
      <c r="D62" t="s">
        <v>2262</v>
      </c>
      <c r="E62" t="s">
        <v>1657</v>
      </c>
      <c r="F62" t="s">
        <v>23</v>
      </c>
      <c r="G62" s="7" t="str">
        <f t="shared" si="0"/>
        <v>1666797584</v>
      </c>
    </row>
    <row r="63" spans="1:7" x14ac:dyDescent="0.55000000000000004">
      <c r="A63" s="9">
        <v>201</v>
      </c>
      <c r="B63" t="s">
        <v>2702</v>
      </c>
      <c r="C63" t="s">
        <v>1692</v>
      </c>
      <c r="D63" t="s">
        <v>2263</v>
      </c>
      <c r="E63" t="s">
        <v>1657</v>
      </c>
      <c r="F63" t="s">
        <v>23</v>
      </c>
      <c r="G63" s="7" t="str">
        <f t="shared" si="0"/>
        <v>1666797584</v>
      </c>
    </row>
    <row r="64" spans="1:7" x14ac:dyDescent="0.55000000000000004">
      <c r="A64" s="9">
        <v>202</v>
      </c>
      <c r="B64" t="s">
        <v>2703</v>
      </c>
      <c r="C64" t="s">
        <v>1692</v>
      </c>
      <c r="D64" t="s">
        <v>2264</v>
      </c>
      <c r="E64" t="s">
        <v>1657</v>
      </c>
      <c r="F64" t="s">
        <v>23</v>
      </c>
      <c r="G64" s="7" t="str">
        <f t="shared" si="0"/>
        <v>1666797584</v>
      </c>
    </row>
    <row r="65" spans="1:7" x14ac:dyDescent="0.55000000000000004">
      <c r="A65" s="9">
        <v>203</v>
      </c>
      <c r="B65" t="s">
        <v>2704</v>
      </c>
      <c r="C65" t="s">
        <v>1692</v>
      </c>
      <c r="D65" t="s">
        <v>2265</v>
      </c>
      <c r="E65" t="s">
        <v>1657</v>
      </c>
      <c r="F65" t="s">
        <v>23</v>
      </c>
      <c r="G65" s="7" t="str">
        <f t="shared" si="0"/>
        <v>1666797584</v>
      </c>
    </row>
    <row r="66" spans="1:7" x14ac:dyDescent="0.55000000000000004">
      <c r="A66" s="9">
        <v>204</v>
      </c>
      <c r="B66" t="s">
        <v>2705</v>
      </c>
      <c r="C66" t="s">
        <v>1692</v>
      </c>
      <c r="D66" t="s">
        <v>2266</v>
      </c>
      <c r="E66" t="s">
        <v>1657</v>
      </c>
      <c r="F66" t="s">
        <v>23</v>
      </c>
      <c r="G66" s="7" t="str">
        <f t="shared" ref="G66:G129" si="1">MID(D66,
FIND("1st.skey=",D66,1)+9,10)</f>
        <v>1666797585</v>
      </c>
    </row>
    <row r="67" spans="1:7" x14ac:dyDescent="0.55000000000000004">
      <c r="A67" s="9">
        <v>205</v>
      </c>
      <c r="B67" t="s">
        <v>2706</v>
      </c>
      <c r="C67" t="s">
        <v>1692</v>
      </c>
      <c r="D67" t="s">
        <v>2267</v>
      </c>
      <c r="E67" t="s">
        <v>1657</v>
      </c>
      <c r="F67" t="s">
        <v>23</v>
      </c>
      <c r="G67" s="7" t="str">
        <f t="shared" si="1"/>
        <v>1666797585</v>
      </c>
    </row>
    <row r="68" spans="1:7" x14ac:dyDescent="0.55000000000000004">
      <c r="A68" s="9">
        <v>206</v>
      </c>
      <c r="B68" t="s">
        <v>2707</v>
      </c>
      <c r="C68" t="s">
        <v>1692</v>
      </c>
      <c r="D68" t="s">
        <v>2268</v>
      </c>
      <c r="E68" t="s">
        <v>1657</v>
      </c>
      <c r="F68" t="s">
        <v>23</v>
      </c>
      <c r="G68" s="7" t="str">
        <f t="shared" si="1"/>
        <v>1666797585</v>
      </c>
    </row>
    <row r="69" spans="1:7" x14ac:dyDescent="0.55000000000000004">
      <c r="A69" s="9">
        <v>207</v>
      </c>
      <c r="B69" t="s">
        <v>2708</v>
      </c>
      <c r="C69" t="s">
        <v>1692</v>
      </c>
      <c r="D69" t="s">
        <v>2269</v>
      </c>
      <c r="E69" t="s">
        <v>1657</v>
      </c>
      <c r="F69" t="s">
        <v>23</v>
      </c>
      <c r="G69" s="7" t="str">
        <f t="shared" si="1"/>
        <v>1666797586</v>
      </c>
    </row>
    <row r="70" spans="1:7" x14ac:dyDescent="0.55000000000000004">
      <c r="A70" s="9">
        <v>208</v>
      </c>
      <c r="B70" t="s">
        <v>2709</v>
      </c>
      <c r="C70" t="s">
        <v>1692</v>
      </c>
      <c r="D70" t="s">
        <v>2270</v>
      </c>
      <c r="E70" t="s">
        <v>1657</v>
      </c>
      <c r="F70" t="s">
        <v>23</v>
      </c>
      <c r="G70" s="7" t="str">
        <f t="shared" si="1"/>
        <v>1666797586</v>
      </c>
    </row>
    <row r="71" spans="1:7" x14ac:dyDescent="0.55000000000000004">
      <c r="A71" s="9">
        <v>209</v>
      </c>
      <c r="B71" t="s">
        <v>2710</v>
      </c>
      <c r="C71" t="s">
        <v>1692</v>
      </c>
      <c r="D71" t="s">
        <v>2271</v>
      </c>
      <c r="E71" t="s">
        <v>1657</v>
      </c>
      <c r="F71" t="s">
        <v>23</v>
      </c>
      <c r="G71" s="7" t="str">
        <f t="shared" si="1"/>
        <v>1666797586</v>
      </c>
    </row>
    <row r="72" spans="1:7" x14ac:dyDescent="0.55000000000000004">
      <c r="A72" s="9">
        <v>210</v>
      </c>
      <c r="B72" t="s">
        <v>2711</v>
      </c>
      <c r="C72" t="s">
        <v>1692</v>
      </c>
      <c r="D72" t="s">
        <v>2272</v>
      </c>
      <c r="E72" t="s">
        <v>1657</v>
      </c>
      <c r="F72" t="s">
        <v>23</v>
      </c>
      <c r="G72" s="7" t="str">
        <f t="shared" si="1"/>
        <v>1666797586</v>
      </c>
    </row>
    <row r="73" spans="1:7" x14ac:dyDescent="0.55000000000000004">
      <c r="A73" s="9">
        <v>211</v>
      </c>
      <c r="B73" t="s">
        <v>566</v>
      </c>
      <c r="C73" t="s">
        <v>1692</v>
      </c>
      <c r="D73" t="s">
        <v>2273</v>
      </c>
      <c r="E73" t="s">
        <v>1657</v>
      </c>
      <c r="F73" t="s">
        <v>23</v>
      </c>
      <c r="G73" s="7" t="str">
        <f t="shared" si="1"/>
        <v>1666797586</v>
      </c>
    </row>
    <row r="74" spans="1:7" x14ac:dyDescent="0.55000000000000004">
      <c r="A74" s="9">
        <v>212</v>
      </c>
      <c r="B74" t="s">
        <v>681</v>
      </c>
      <c r="C74" t="s">
        <v>1692</v>
      </c>
      <c r="D74" t="s">
        <v>2274</v>
      </c>
      <c r="E74" t="s">
        <v>1657</v>
      </c>
      <c r="F74" t="s">
        <v>23</v>
      </c>
      <c r="G74" s="7" t="str">
        <f t="shared" si="1"/>
        <v>1666797591</v>
      </c>
    </row>
    <row r="75" spans="1:7" x14ac:dyDescent="0.55000000000000004">
      <c r="A75" s="9">
        <v>213</v>
      </c>
      <c r="B75" t="s">
        <v>2756</v>
      </c>
      <c r="C75" t="s">
        <v>1692</v>
      </c>
      <c r="D75" t="s">
        <v>2275</v>
      </c>
      <c r="E75" t="s">
        <v>1657</v>
      </c>
      <c r="F75" t="s">
        <v>23</v>
      </c>
      <c r="G75" s="7" t="str">
        <f t="shared" si="1"/>
        <v>1666797592</v>
      </c>
    </row>
    <row r="76" spans="1:7" x14ac:dyDescent="0.55000000000000004">
      <c r="A76" s="9">
        <v>214</v>
      </c>
      <c r="B76" t="s">
        <v>1604</v>
      </c>
      <c r="C76" t="s">
        <v>1692</v>
      </c>
      <c r="D76" t="s">
        <v>2276</v>
      </c>
      <c r="E76" t="s">
        <v>1657</v>
      </c>
      <c r="F76" t="s">
        <v>23</v>
      </c>
      <c r="G76" s="7" t="str">
        <f t="shared" si="1"/>
        <v>1666797592</v>
      </c>
    </row>
    <row r="77" spans="1:7" x14ac:dyDescent="0.55000000000000004">
      <c r="A77" s="9">
        <v>215</v>
      </c>
      <c r="B77" t="s">
        <v>1605</v>
      </c>
      <c r="C77" t="s">
        <v>1692</v>
      </c>
      <c r="D77" t="s">
        <v>2277</v>
      </c>
      <c r="E77" t="s">
        <v>1657</v>
      </c>
      <c r="F77" t="s">
        <v>23</v>
      </c>
      <c r="G77" s="7" t="str">
        <f t="shared" si="1"/>
        <v>1666797592</v>
      </c>
    </row>
    <row r="78" spans="1:7" x14ac:dyDescent="0.55000000000000004">
      <c r="A78" s="9">
        <v>216</v>
      </c>
      <c r="B78" t="s">
        <v>1606</v>
      </c>
      <c r="C78" t="s">
        <v>1692</v>
      </c>
      <c r="D78" t="s">
        <v>2278</v>
      </c>
      <c r="E78" t="s">
        <v>1657</v>
      </c>
      <c r="F78" t="s">
        <v>23</v>
      </c>
      <c r="G78" s="7" t="str">
        <f t="shared" si="1"/>
        <v>1666797592</v>
      </c>
    </row>
    <row r="79" spans="1:7" x14ac:dyDescent="0.55000000000000004">
      <c r="A79" s="9">
        <v>217</v>
      </c>
      <c r="B79" t="s">
        <v>2757</v>
      </c>
      <c r="C79" t="s">
        <v>1692</v>
      </c>
      <c r="D79" t="s">
        <v>2279</v>
      </c>
      <c r="E79" t="s">
        <v>1657</v>
      </c>
      <c r="F79" t="s">
        <v>23</v>
      </c>
      <c r="G79" s="7" t="str">
        <f t="shared" si="1"/>
        <v>1666797592</v>
      </c>
    </row>
    <row r="80" spans="1:7" x14ac:dyDescent="0.55000000000000004">
      <c r="A80" s="9">
        <v>218</v>
      </c>
      <c r="B80" t="s">
        <v>2758</v>
      </c>
      <c r="C80" t="s">
        <v>1692</v>
      </c>
      <c r="D80" t="s">
        <v>2280</v>
      </c>
      <c r="E80" t="s">
        <v>1657</v>
      </c>
      <c r="F80" t="s">
        <v>23</v>
      </c>
      <c r="G80" s="7" t="str">
        <f t="shared" si="1"/>
        <v>1666797592</v>
      </c>
    </row>
    <row r="81" spans="1:7" x14ac:dyDescent="0.55000000000000004">
      <c r="A81" s="9">
        <v>219</v>
      </c>
      <c r="B81" t="s">
        <v>2759</v>
      </c>
      <c r="C81" t="s">
        <v>1692</v>
      </c>
      <c r="D81" t="s">
        <v>2281</v>
      </c>
      <c r="E81" t="s">
        <v>1657</v>
      </c>
      <c r="F81" t="s">
        <v>23</v>
      </c>
      <c r="G81" s="7" t="str">
        <f t="shared" si="1"/>
        <v>1666797593</v>
      </c>
    </row>
    <row r="82" spans="1:7" x14ac:dyDescent="0.55000000000000004">
      <c r="A82" s="9">
        <v>220</v>
      </c>
      <c r="B82" t="s">
        <v>2760</v>
      </c>
      <c r="C82" t="s">
        <v>1692</v>
      </c>
      <c r="D82" t="s">
        <v>2282</v>
      </c>
      <c r="E82" t="s">
        <v>1657</v>
      </c>
      <c r="F82" t="s">
        <v>23</v>
      </c>
      <c r="G82" s="7" t="str">
        <f t="shared" si="1"/>
        <v>1666797593</v>
      </c>
    </row>
    <row r="83" spans="1:7" x14ac:dyDescent="0.55000000000000004">
      <c r="A83" s="9">
        <v>221</v>
      </c>
      <c r="B83" t="s">
        <v>702</v>
      </c>
      <c r="C83" t="s">
        <v>1663</v>
      </c>
      <c r="D83" t="s">
        <v>2283</v>
      </c>
      <c r="E83" t="s">
        <v>1657</v>
      </c>
      <c r="F83" t="s">
        <v>23</v>
      </c>
      <c r="G83" s="7" t="str">
        <f t="shared" si="1"/>
        <v>1666797593</v>
      </c>
    </row>
    <row r="84" spans="1:7" x14ac:dyDescent="0.55000000000000004">
      <c r="A84" s="9">
        <v>222</v>
      </c>
      <c r="B84" t="s">
        <v>736</v>
      </c>
      <c r="C84" t="s">
        <v>1692</v>
      </c>
      <c r="D84" t="s">
        <v>2285</v>
      </c>
      <c r="E84" t="s">
        <v>1657</v>
      </c>
      <c r="F84" t="s">
        <v>23</v>
      </c>
      <c r="G84" s="7" t="str">
        <f t="shared" si="1"/>
        <v>1666797596</v>
      </c>
    </row>
    <row r="85" spans="1:7" x14ac:dyDescent="0.55000000000000004">
      <c r="A85" s="9">
        <v>223</v>
      </c>
      <c r="B85" t="s">
        <v>740</v>
      </c>
      <c r="C85" t="s">
        <v>1692</v>
      </c>
      <c r="D85" t="s">
        <v>2286</v>
      </c>
      <c r="E85" t="s">
        <v>1657</v>
      </c>
      <c r="F85" t="s">
        <v>23</v>
      </c>
      <c r="G85" s="7" t="str">
        <f t="shared" si="1"/>
        <v>1666797596</v>
      </c>
    </row>
    <row r="86" spans="1:7" x14ac:dyDescent="0.55000000000000004">
      <c r="A86" s="9">
        <v>224</v>
      </c>
      <c r="B86" t="s">
        <v>2762</v>
      </c>
      <c r="C86" t="s">
        <v>1692</v>
      </c>
      <c r="D86" t="s">
        <v>2287</v>
      </c>
      <c r="E86" t="s">
        <v>1657</v>
      </c>
      <c r="F86" t="s">
        <v>23</v>
      </c>
      <c r="G86" s="7" t="str">
        <f t="shared" si="1"/>
        <v>1666797597</v>
      </c>
    </row>
    <row r="87" spans="1:7" x14ac:dyDescent="0.55000000000000004">
      <c r="A87" s="9">
        <v>225</v>
      </c>
      <c r="B87" t="s">
        <v>2763</v>
      </c>
      <c r="C87" t="s">
        <v>1692</v>
      </c>
      <c r="D87" t="s">
        <v>2288</v>
      </c>
      <c r="E87" t="s">
        <v>1657</v>
      </c>
      <c r="F87" t="s">
        <v>23</v>
      </c>
      <c r="G87" s="7" t="str">
        <f t="shared" si="1"/>
        <v>1666797597</v>
      </c>
    </row>
    <row r="88" spans="1:7" x14ac:dyDescent="0.55000000000000004">
      <c r="A88" s="9">
        <v>226</v>
      </c>
      <c r="B88" t="s">
        <v>749</v>
      </c>
      <c r="C88" t="s">
        <v>1692</v>
      </c>
      <c r="D88" t="s">
        <v>2289</v>
      </c>
      <c r="E88" t="s">
        <v>1657</v>
      </c>
      <c r="F88" t="s">
        <v>23</v>
      </c>
      <c r="G88" s="7" t="str">
        <f t="shared" si="1"/>
        <v>1666797597</v>
      </c>
    </row>
    <row r="89" spans="1:7" x14ac:dyDescent="0.55000000000000004">
      <c r="A89" s="9">
        <v>227</v>
      </c>
      <c r="B89" t="s">
        <v>751</v>
      </c>
      <c r="C89" t="s">
        <v>1692</v>
      </c>
      <c r="D89" t="s">
        <v>2290</v>
      </c>
      <c r="E89" t="s">
        <v>1657</v>
      </c>
      <c r="F89" t="s">
        <v>23</v>
      </c>
      <c r="G89" s="7" t="str">
        <f t="shared" si="1"/>
        <v>1666797597</v>
      </c>
    </row>
    <row r="90" spans="1:7" x14ac:dyDescent="0.55000000000000004">
      <c r="A90" s="9">
        <v>228</v>
      </c>
      <c r="B90" t="s">
        <v>787</v>
      </c>
      <c r="C90" t="s">
        <v>1692</v>
      </c>
      <c r="D90" t="s">
        <v>2291</v>
      </c>
      <c r="E90" t="s">
        <v>1657</v>
      </c>
      <c r="F90" t="s">
        <v>23</v>
      </c>
      <c r="G90" s="7" t="str">
        <f t="shared" si="1"/>
        <v>1666797599</v>
      </c>
    </row>
    <row r="91" spans="1:7" x14ac:dyDescent="0.55000000000000004">
      <c r="A91" s="9">
        <v>229</v>
      </c>
      <c r="B91" t="s">
        <v>2773</v>
      </c>
      <c r="C91" t="s">
        <v>1692</v>
      </c>
      <c r="D91" t="s">
        <v>2292</v>
      </c>
      <c r="E91" t="s">
        <v>1657</v>
      </c>
      <c r="F91" t="s">
        <v>23</v>
      </c>
      <c r="G91" s="7" t="str">
        <f t="shared" si="1"/>
        <v>1666797601</v>
      </c>
    </row>
    <row r="92" spans="1:7" x14ac:dyDescent="0.55000000000000004">
      <c r="A92" s="9">
        <v>230</v>
      </c>
      <c r="B92" t="s">
        <v>2774</v>
      </c>
      <c r="C92" t="s">
        <v>1692</v>
      </c>
      <c r="D92" t="s">
        <v>2293</v>
      </c>
      <c r="E92" t="s">
        <v>1657</v>
      </c>
      <c r="F92" t="s">
        <v>23</v>
      </c>
      <c r="G92" s="7" t="str">
        <f t="shared" si="1"/>
        <v>1666797601</v>
      </c>
    </row>
    <row r="93" spans="1:7" x14ac:dyDescent="0.55000000000000004">
      <c r="A93" s="9">
        <v>231</v>
      </c>
      <c r="B93" t="s">
        <v>809</v>
      </c>
      <c r="C93" t="s">
        <v>1692</v>
      </c>
      <c r="D93" t="s">
        <v>2294</v>
      </c>
      <c r="E93" t="s">
        <v>1657</v>
      </c>
      <c r="F93" t="s">
        <v>23</v>
      </c>
      <c r="G93" s="7" t="str">
        <f t="shared" si="1"/>
        <v>1666797601</v>
      </c>
    </row>
    <row r="94" spans="1:7" x14ac:dyDescent="0.55000000000000004">
      <c r="A94" s="9">
        <v>232</v>
      </c>
      <c r="B94" t="s">
        <v>811</v>
      </c>
      <c r="C94" t="s">
        <v>1692</v>
      </c>
      <c r="D94" t="s">
        <v>2295</v>
      </c>
      <c r="E94" t="s">
        <v>1657</v>
      </c>
      <c r="F94" t="s">
        <v>23</v>
      </c>
      <c r="G94" s="7" t="str">
        <f t="shared" si="1"/>
        <v>1666797601</v>
      </c>
    </row>
    <row r="95" spans="1:7" x14ac:dyDescent="0.55000000000000004">
      <c r="A95" s="9">
        <v>233</v>
      </c>
      <c r="B95" t="s">
        <v>813</v>
      </c>
      <c r="C95" t="s">
        <v>1692</v>
      </c>
      <c r="D95" t="s">
        <v>2296</v>
      </c>
      <c r="E95" t="s">
        <v>1657</v>
      </c>
      <c r="F95" t="s">
        <v>23</v>
      </c>
      <c r="G95" s="7" t="str">
        <f t="shared" si="1"/>
        <v>1666797601</v>
      </c>
    </row>
    <row r="96" spans="1:7" x14ac:dyDescent="0.55000000000000004">
      <c r="A96" s="9">
        <v>234</v>
      </c>
      <c r="B96" t="s">
        <v>821</v>
      </c>
      <c r="C96" t="s">
        <v>1692</v>
      </c>
      <c r="D96" t="s">
        <v>2298</v>
      </c>
      <c r="E96" t="s">
        <v>1657</v>
      </c>
      <c r="F96" t="s">
        <v>23</v>
      </c>
      <c r="G96" s="7" t="str">
        <f t="shared" si="1"/>
        <v>1666797602</v>
      </c>
    </row>
    <row r="97" spans="1:7" x14ac:dyDescent="0.55000000000000004">
      <c r="A97" s="9">
        <v>235</v>
      </c>
      <c r="B97" t="s">
        <v>825</v>
      </c>
      <c r="C97" t="s">
        <v>1692</v>
      </c>
      <c r="D97" t="s">
        <v>2299</v>
      </c>
      <c r="E97" t="s">
        <v>1657</v>
      </c>
      <c r="F97" t="s">
        <v>23</v>
      </c>
      <c r="G97" s="7" t="str">
        <f t="shared" si="1"/>
        <v>1666797602</v>
      </c>
    </row>
    <row r="98" spans="1:7" x14ac:dyDescent="0.55000000000000004">
      <c r="A98" s="9">
        <v>236</v>
      </c>
      <c r="B98" t="s">
        <v>827</v>
      </c>
      <c r="C98" t="s">
        <v>1692</v>
      </c>
      <c r="D98" t="s">
        <v>2300</v>
      </c>
      <c r="E98" t="s">
        <v>1657</v>
      </c>
      <c r="F98" t="s">
        <v>23</v>
      </c>
      <c r="G98" s="7" t="str">
        <f t="shared" si="1"/>
        <v>1666797602</v>
      </c>
    </row>
    <row r="99" spans="1:7" x14ac:dyDescent="0.55000000000000004">
      <c r="A99" s="9">
        <v>237</v>
      </c>
      <c r="B99" t="s">
        <v>829</v>
      </c>
      <c r="C99" t="s">
        <v>1692</v>
      </c>
      <c r="D99" t="s">
        <v>2301</v>
      </c>
      <c r="E99" t="s">
        <v>1657</v>
      </c>
      <c r="F99" t="s">
        <v>23</v>
      </c>
      <c r="G99" s="7" t="str">
        <f t="shared" si="1"/>
        <v>1666797602</v>
      </c>
    </row>
    <row r="100" spans="1:7" x14ac:dyDescent="0.55000000000000004">
      <c r="A100" s="9">
        <v>238</v>
      </c>
      <c r="B100" t="s">
        <v>923</v>
      </c>
      <c r="C100" t="s">
        <v>1692</v>
      </c>
      <c r="D100" t="s">
        <v>2305</v>
      </c>
      <c r="E100" t="s">
        <v>1657</v>
      </c>
      <c r="F100" t="s">
        <v>23</v>
      </c>
      <c r="G100" s="7" t="str">
        <f t="shared" si="1"/>
        <v>1666797610</v>
      </c>
    </row>
    <row r="101" spans="1:7" x14ac:dyDescent="0.55000000000000004">
      <c r="A101" s="9">
        <v>239</v>
      </c>
      <c r="B101" t="s">
        <v>925</v>
      </c>
      <c r="C101" t="s">
        <v>1692</v>
      </c>
      <c r="D101" t="s">
        <v>2306</v>
      </c>
      <c r="E101" t="s">
        <v>1657</v>
      </c>
      <c r="F101" t="s">
        <v>23</v>
      </c>
      <c r="G101" s="7" t="str">
        <f t="shared" si="1"/>
        <v>1666797610</v>
      </c>
    </row>
    <row r="102" spans="1:7" x14ac:dyDescent="0.55000000000000004">
      <c r="A102" s="9">
        <v>240</v>
      </c>
      <c r="B102" t="s">
        <v>2794</v>
      </c>
      <c r="C102" t="s">
        <v>1692</v>
      </c>
      <c r="D102" t="s">
        <v>2307</v>
      </c>
      <c r="E102" t="s">
        <v>1657</v>
      </c>
      <c r="F102" t="s">
        <v>23</v>
      </c>
      <c r="G102" s="7" t="str">
        <f t="shared" si="1"/>
        <v>1666797612</v>
      </c>
    </row>
    <row r="103" spans="1:7" x14ac:dyDescent="0.55000000000000004">
      <c r="A103" s="9">
        <v>241</v>
      </c>
      <c r="B103" t="s">
        <v>2795</v>
      </c>
      <c r="C103" t="s">
        <v>1692</v>
      </c>
      <c r="D103" t="s">
        <v>2308</v>
      </c>
      <c r="E103" t="s">
        <v>1657</v>
      </c>
      <c r="F103" t="s">
        <v>23</v>
      </c>
      <c r="G103" s="7" t="str">
        <f t="shared" si="1"/>
        <v>1666797612</v>
      </c>
    </row>
    <row r="104" spans="1:7" x14ac:dyDescent="0.55000000000000004">
      <c r="A104" s="9">
        <v>242</v>
      </c>
      <c r="B104" t="s">
        <v>950</v>
      </c>
      <c r="C104" t="s">
        <v>1692</v>
      </c>
      <c r="D104" t="s">
        <v>2309</v>
      </c>
      <c r="E104" t="s">
        <v>1657</v>
      </c>
      <c r="F104" t="s">
        <v>23</v>
      </c>
      <c r="G104" s="7" t="str">
        <f t="shared" si="1"/>
        <v>1666797612</v>
      </c>
    </row>
    <row r="105" spans="1:7" x14ac:dyDescent="0.55000000000000004">
      <c r="A105" s="9">
        <v>243</v>
      </c>
      <c r="B105" t="s">
        <v>976</v>
      </c>
      <c r="C105" t="s">
        <v>1692</v>
      </c>
      <c r="D105" t="s">
        <v>2311</v>
      </c>
      <c r="E105" t="s">
        <v>1657</v>
      </c>
      <c r="F105" t="s">
        <v>23</v>
      </c>
      <c r="G105" s="7" t="str">
        <f t="shared" si="1"/>
        <v>1666797616</v>
      </c>
    </row>
    <row r="106" spans="1:7" x14ac:dyDescent="0.55000000000000004">
      <c r="A106" s="9">
        <v>244</v>
      </c>
      <c r="B106" t="s">
        <v>1011</v>
      </c>
      <c r="C106" t="s">
        <v>1692</v>
      </c>
      <c r="D106" t="s">
        <v>2327</v>
      </c>
      <c r="E106" t="s">
        <v>1657</v>
      </c>
      <c r="F106" t="s">
        <v>23</v>
      </c>
      <c r="G106" s="7" t="str">
        <f t="shared" si="1"/>
        <v>1666797626</v>
      </c>
    </row>
    <row r="107" spans="1:7" x14ac:dyDescent="0.55000000000000004">
      <c r="A107" s="9">
        <v>245</v>
      </c>
      <c r="B107" t="s">
        <v>1023</v>
      </c>
      <c r="C107" t="s">
        <v>1692</v>
      </c>
      <c r="D107" t="s">
        <v>2328</v>
      </c>
      <c r="E107" t="s">
        <v>1657</v>
      </c>
      <c r="F107" t="s">
        <v>23</v>
      </c>
      <c r="G107" s="7" t="str">
        <f t="shared" si="1"/>
        <v>1666797627</v>
      </c>
    </row>
    <row r="108" spans="1:7" x14ac:dyDescent="0.55000000000000004">
      <c r="A108" s="9">
        <v>246</v>
      </c>
      <c r="B108" t="s">
        <v>1082</v>
      </c>
      <c r="C108" t="s">
        <v>1692</v>
      </c>
      <c r="D108" t="s">
        <v>2330</v>
      </c>
      <c r="E108" t="s">
        <v>1657</v>
      </c>
      <c r="F108" t="s">
        <v>23</v>
      </c>
      <c r="G108" s="7" t="str">
        <f t="shared" si="1"/>
        <v>1666797634</v>
      </c>
    </row>
    <row r="109" spans="1:7" x14ac:dyDescent="0.55000000000000004">
      <c r="A109" s="9">
        <v>247</v>
      </c>
      <c r="B109" t="s">
        <v>1104</v>
      </c>
      <c r="C109" t="s">
        <v>1692</v>
      </c>
      <c r="D109" t="s">
        <v>2331</v>
      </c>
      <c r="E109" t="s">
        <v>1657</v>
      </c>
      <c r="F109" t="s">
        <v>23</v>
      </c>
      <c r="G109" s="7" t="str">
        <f t="shared" si="1"/>
        <v>1666797636</v>
      </c>
    </row>
    <row r="110" spans="1:7" x14ac:dyDescent="0.55000000000000004">
      <c r="A110" s="9">
        <v>248</v>
      </c>
      <c r="B110" t="s">
        <v>1113</v>
      </c>
      <c r="C110" t="s">
        <v>1692</v>
      </c>
      <c r="D110" t="s">
        <v>2332</v>
      </c>
      <c r="E110" t="s">
        <v>1657</v>
      </c>
      <c r="F110" t="s">
        <v>23</v>
      </c>
      <c r="G110" s="7" t="str">
        <f t="shared" si="1"/>
        <v>1666797637</v>
      </c>
    </row>
    <row r="111" spans="1:7" x14ac:dyDescent="0.55000000000000004">
      <c r="A111" s="9">
        <v>249</v>
      </c>
      <c r="B111" t="s">
        <v>1245</v>
      </c>
      <c r="C111" t="s">
        <v>1692</v>
      </c>
      <c r="D111" t="s">
        <v>2339</v>
      </c>
      <c r="E111" t="s">
        <v>1657</v>
      </c>
      <c r="F111" t="s">
        <v>23</v>
      </c>
      <c r="G111" s="7" t="str">
        <f t="shared" si="1"/>
        <v>1666797644</v>
      </c>
    </row>
    <row r="112" spans="1:7" x14ac:dyDescent="0.55000000000000004">
      <c r="A112" s="9">
        <v>250</v>
      </c>
      <c r="B112" t="s">
        <v>1247</v>
      </c>
      <c r="C112" t="s">
        <v>1692</v>
      </c>
      <c r="D112" t="s">
        <v>2340</v>
      </c>
      <c r="E112" t="s">
        <v>1657</v>
      </c>
      <c r="F112" t="s">
        <v>23</v>
      </c>
      <c r="G112" s="7" t="str">
        <f t="shared" si="1"/>
        <v>1666797645</v>
      </c>
    </row>
    <row r="113" spans="1:7" x14ac:dyDescent="0.55000000000000004">
      <c r="A113" s="9">
        <v>251</v>
      </c>
      <c r="B113" t="s">
        <v>1251</v>
      </c>
      <c r="C113" t="s">
        <v>1692</v>
      </c>
      <c r="D113" t="s">
        <v>2341</v>
      </c>
      <c r="E113" t="s">
        <v>1657</v>
      </c>
      <c r="F113" t="s">
        <v>23</v>
      </c>
      <c r="G113" s="7" t="str">
        <f t="shared" si="1"/>
        <v>1666797645</v>
      </c>
    </row>
    <row r="114" spans="1:7" x14ac:dyDescent="0.55000000000000004">
      <c r="A114" s="9">
        <v>252</v>
      </c>
      <c r="B114" t="s">
        <v>1265</v>
      </c>
      <c r="C114" t="s">
        <v>1692</v>
      </c>
      <c r="D114" t="s">
        <v>2342</v>
      </c>
      <c r="E114" t="s">
        <v>1657</v>
      </c>
      <c r="F114" t="s">
        <v>23</v>
      </c>
      <c r="G114" s="7" t="str">
        <f t="shared" si="1"/>
        <v>1666797647</v>
      </c>
    </row>
    <row r="115" spans="1:7" x14ac:dyDescent="0.55000000000000004">
      <c r="A115" s="9">
        <v>253</v>
      </c>
      <c r="B115" t="s">
        <v>1303</v>
      </c>
      <c r="C115" t="s">
        <v>1692</v>
      </c>
      <c r="D115" t="s">
        <v>2347</v>
      </c>
      <c r="E115" t="s">
        <v>1657</v>
      </c>
      <c r="F115" t="s">
        <v>23</v>
      </c>
      <c r="G115" s="7" t="str">
        <f t="shared" si="1"/>
        <v>1666797650</v>
      </c>
    </row>
    <row r="116" spans="1:7" x14ac:dyDescent="0.55000000000000004">
      <c r="A116" s="9">
        <v>254</v>
      </c>
      <c r="B116" t="s">
        <v>1316</v>
      </c>
      <c r="C116" t="s">
        <v>1692</v>
      </c>
      <c r="D116" t="s">
        <v>2348</v>
      </c>
      <c r="E116" t="s">
        <v>1657</v>
      </c>
      <c r="F116" t="s">
        <v>23</v>
      </c>
      <c r="G116" s="7" t="str">
        <f t="shared" si="1"/>
        <v>1666797651</v>
      </c>
    </row>
    <row r="117" spans="1:7" x14ac:dyDescent="0.55000000000000004">
      <c r="A117" s="9">
        <v>255</v>
      </c>
      <c r="B117" t="s">
        <v>1320</v>
      </c>
      <c r="C117" t="s">
        <v>1692</v>
      </c>
      <c r="D117" t="s">
        <v>2350</v>
      </c>
      <c r="E117" t="s">
        <v>1657</v>
      </c>
      <c r="F117" t="s">
        <v>23</v>
      </c>
      <c r="G117" s="7" t="str">
        <f t="shared" si="1"/>
        <v>1666797651</v>
      </c>
    </row>
    <row r="118" spans="1:7" x14ac:dyDescent="0.55000000000000004">
      <c r="A118" s="9">
        <v>256</v>
      </c>
      <c r="B118" t="s">
        <v>2833</v>
      </c>
      <c r="C118" t="s">
        <v>1692</v>
      </c>
      <c r="D118" t="s">
        <v>2351</v>
      </c>
      <c r="E118" t="s">
        <v>1657</v>
      </c>
      <c r="F118" t="s">
        <v>23</v>
      </c>
      <c r="G118" s="7" t="str">
        <f t="shared" si="1"/>
        <v>1666797651</v>
      </c>
    </row>
    <row r="119" spans="1:7" x14ac:dyDescent="0.55000000000000004">
      <c r="A119" s="9">
        <v>257</v>
      </c>
      <c r="B119" t="s">
        <v>2834</v>
      </c>
      <c r="C119" t="s">
        <v>1692</v>
      </c>
      <c r="D119" t="s">
        <v>2352</v>
      </c>
      <c r="E119" t="s">
        <v>1657</v>
      </c>
      <c r="F119" t="s">
        <v>23</v>
      </c>
      <c r="G119" s="7" t="str">
        <f t="shared" si="1"/>
        <v>1666797652</v>
      </c>
    </row>
    <row r="120" spans="1:7" x14ac:dyDescent="0.55000000000000004">
      <c r="A120" s="9">
        <v>1</v>
      </c>
      <c r="B120" t="s">
        <v>34</v>
      </c>
      <c r="C120" t="s">
        <v>1662</v>
      </c>
      <c r="D120" t="s">
        <v>1701</v>
      </c>
      <c r="E120" t="s">
        <v>1657</v>
      </c>
      <c r="F120" t="s">
        <v>2609</v>
      </c>
      <c r="G120" s="7" t="str">
        <f t="shared" si="1"/>
        <v>1666797679</v>
      </c>
    </row>
    <row r="121" spans="1:7" x14ac:dyDescent="0.55000000000000004">
      <c r="A121" s="9">
        <v>2</v>
      </c>
      <c r="B121" t="s">
        <v>34</v>
      </c>
      <c r="C121" t="s">
        <v>1663</v>
      </c>
      <c r="D121" t="s">
        <v>1702</v>
      </c>
      <c r="E121" t="s">
        <v>1657</v>
      </c>
      <c r="F121" t="s">
        <v>2609</v>
      </c>
      <c r="G121" s="7" t="str">
        <f t="shared" si="1"/>
        <v>1666797679</v>
      </c>
    </row>
    <row r="122" spans="1:7" x14ac:dyDescent="0.55000000000000004">
      <c r="A122" s="9">
        <v>3</v>
      </c>
      <c r="B122" t="s">
        <v>38</v>
      </c>
      <c r="C122" t="s">
        <v>1662</v>
      </c>
      <c r="D122" t="s">
        <v>1703</v>
      </c>
      <c r="E122" t="s">
        <v>1657</v>
      </c>
      <c r="F122" t="s">
        <v>2609</v>
      </c>
      <c r="G122" s="7" t="str">
        <f t="shared" si="1"/>
        <v>1666797679</v>
      </c>
    </row>
    <row r="123" spans="1:7" x14ac:dyDescent="0.55000000000000004">
      <c r="A123" s="9">
        <v>4</v>
      </c>
      <c r="B123" t="s">
        <v>38</v>
      </c>
      <c r="C123" t="s">
        <v>1663</v>
      </c>
      <c r="D123" t="s">
        <v>1704</v>
      </c>
      <c r="E123" t="s">
        <v>1657</v>
      </c>
      <c r="F123" t="s">
        <v>2609</v>
      </c>
      <c r="G123" s="7" t="str">
        <f t="shared" si="1"/>
        <v>1666797679</v>
      </c>
    </row>
    <row r="124" spans="1:7" x14ac:dyDescent="0.55000000000000004">
      <c r="A124" s="9">
        <v>5</v>
      </c>
      <c r="B124" t="s">
        <v>40</v>
      </c>
      <c r="C124" t="s">
        <v>1662</v>
      </c>
      <c r="D124" t="s">
        <v>1705</v>
      </c>
      <c r="E124" t="s">
        <v>1657</v>
      </c>
      <c r="F124" t="s">
        <v>2609</v>
      </c>
      <c r="G124" s="7" t="str">
        <f t="shared" si="1"/>
        <v>1666797679</v>
      </c>
    </row>
    <row r="125" spans="1:7" x14ac:dyDescent="0.55000000000000004">
      <c r="A125" s="9">
        <v>6</v>
      </c>
      <c r="B125" t="s">
        <v>40</v>
      </c>
      <c r="C125" t="s">
        <v>1663</v>
      </c>
      <c r="D125" t="s">
        <v>1706</v>
      </c>
      <c r="E125" t="s">
        <v>1657</v>
      </c>
      <c r="F125" t="s">
        <v>2609</v>
      </c>
      <c r="G125" s="7" t="str">
        <f t="shared" si="1"/>
        <v>1666797679</v>
      </c>
    </row>
    <row r="126" spans="1:7" x14ac:dyDescent="0.55000000000000004">
      <c r="A126" s="9">
        <v>9</v>
      </c>
      <c r="B126" t="s">
        <v>44</v>
      </c>
      <c r="C126" t="s">
        <v>1662</v>
      </c>
      <c r="D126" t="s">
        <v>1709</v>
      </c>
      <c r="E126" t="s">
        <v>1657</v>
      </c>
      <c r="F126" t="s">
        <v>2609</v>
      </c>
      <c r="G126" s="7" t="str">
        <f t="shared" si="1"/>
        <v>1666797680</v>
      </c>
    </row>
    <row r="127" spans="1:7" x14ac:dyDescent="0.55000000000000004">
      <c r="A127" s="9">
        <v>10</v>
      </c>
      <c r="B127" t="s">
        <v>44</v>
      </c>
      <c r="C127" t="s">
        <v>1663</v>
      </c>
      <c r="D127" t="s">
        <v>1710</v>
      </c>
      <c r="E127" t="s">
        <v>1657</v>
      </c>
      <c r="F127" t="s">
        <v>2609</v>
      </c>
      <c r="G127" s="7" t="str">
        <f t="shared" si="1"/>
        <v>1666797680</v>
      </c>
    </row>
    <row r="128" spans="1:7" x14ac:dyDescent="0.55000000000000004">
      <c r="A128" s="9">
        <v>7</v>
      </c>
      <c r="B128" t="s">
        <v>42</v>
      </c>
      <c r="C128" t="s">
        <v>1662</v>
      </c>
      <c r="D128" t="s">
        <v>1707</v>
      </c>
      <c r="E128" t="s">
        <v>1657</v>
      </c>
      <c r="F128" t="s">
        <v>2609</v>
      </c>
      <c r="G128" s="7" t="str">
        <f t="shared" si="1"/>
        <v>1666797680</v>
      </c>
    </row>
    <row r="129" spans="1:7" x14ac:dyDescent="0.55000000000000004">
      <c r="A129" s="9">
        <v>8</v>
      </c>
      <c r="B129" t="s">
        <v>42</v>
      </c>
      <c r="C129" t="s">
        <v>1663</v>
      </c>
      <c r="D129" t="s">
        <v>1708</v>
      </c>
      <c r="E129" t="s">
        <v>1657</v>
      </c>
      <c r="F129" t="s">
        <v>2609</v>
      </c>
      <c r="G129" s="7" t="str">
        <f t="shared" si="1"/>
        <v>1666797680</v>
      </c>
    </row>
    <row r="130" spans="1:7" x14ac:dyDescent="0.55000000000000004">
      <c r="A130" s="9">
        <v>11</v>
      </c>
      <c r="B130" t="s">
        <v>46</v>
      </c>
      <c r="C130" t="s">
        <v>1662</v>
      </c>
      <c r="D130" t="s">
        <v>1711</v>
      </c>
      <c r="E130" t="s">
        <v>1657</v>
      </c>
      <c r="F130" t="s">
        <v>2609</v>
      </c>
      <c r="G130" s="7" t="str">
        <f t="shared" ref="G130:G193" si="2">MID(D130,
FIND("1st.skey=",D130,1)+9,10)</f>
        <v>1666797680</v>
      </c>
    </row>
    <row r="131" spans="1:7" x14ac:dyDescent="0.55000000000000004">
      <c r="A131" s="9">
        <v>13</v>
      </c>
      <c r="B131" t="s">
        <v>48</v>
      </c>
      <c r="C131" t="s">
        <v>1662</v>
      </c>
      <c r="D131" t="s">
        <v>1713</v>
      </c>
      <c r="E131" t="s">
        <v>1657</v>
      </c>
      <c r="F131" t="s">
        <v>2609</v>
      </c>
      <c r="G131" s="7" t="str">
        <f t="shared" si="2"/>
        <v>1666797681</v>
      </c>
    </row>
    <row r="132" spans="1:7" x14ac:dyDescent="0.55000000000000004">
      <c r="A132" s="9">
        <v>14</v>
      </c>
      <c r="B132" t="s">
        <v>48</v>
      </c>
      <c r="C132" t="s">
        <v>1663</v>
      </c>
      <c r="D132" t="s">
        <v>1714</v>
      </c>
      <c r="E132" t="s">
        <v>1657</v>
      </c>
      <c r="F132" t="s">
        <v>2609</v>
      </c>
      <c r="G132" s="7" t="str">
        <f t="shared" si="2"/>
        <v>1666797681</v>
      </c>
    </row>
    <row r="133" spans="1:7" x14ac:dyDescent="0.55000000000000004">
      <c r="A133" s="9">
        <v>15</v>
      </c>
      <c r="B133" t="s">
        <v>50</v>
      </c>
      <c r="C133" t="s">
        <v>1662</v>
      </c>
      <c r="D133" t="s">
        <v>1715</v>
      </c>
      <c r="E133" t="s">
        <v>1657</v>
      </c>
      <c r="F133" t="s">
        <v>2609</v>
      </c>
      <c r="G133" s="7" t="str">
        <f t="shared" si="2"/>
        <v>1666797681</v>
      </c>
    </row>
    <row r="134" spans="1:7" x14ac:dyDescent="0.55000000000000004">
      <c r="A134" s="9">
        <v>16</v>
      </c>
      <c r="B134" t="s">
        <v>50</v>
      </c>
      <c r="C134" t="s">
        <v>1663</v>
      </c>
      <c r="D134" t="s">
        <v>1716</v>
      </c>
      <c r="E134" t="s">
        <v>1657</v>
      </c>
      <c r="F134" t="s">
        <v>2609</v>
      </c>
      <c r="G134" s="7" t="str">
        <f t="shared" si="2"/>
        <v>1666797681</v>
      </c>
    </row>
    <row r="135" spans="1:7" x14ac:dyDescent="0.55000000000000004">
      <c r="A135" s="9">
        <v>17</v>
      </c>
      <c r="B135" t="s">
        <v>1545</v>
      </c>
      <c r="C135" t="s">
        <v>1662</v>
      </c>
      <c r="D135" t="s">
        <v>1717</v>
      </c>
      <c r="E135" t="s">
        <v>1657</v>
      </c>
      <c r="F135" t="s">
        <v>2609</v>
      </c>
      <c r="G135" s="7" t="str">
        <f t="shared" si="2"/>
        <v>1666797681</v>
      </c>
    </row>
    <row r="136" spans="1:7" x14ac:dyDescent="0.55000000000000004">
      <c r="A136" s="9">
        <v>12</v>
      </c>
      <c r="B136" t="s">
        <v>46</v>
      </c>
      <c r="C136" t="s">
        <v>1663</v>
      </c>
      <c r="D136" t="s">
        <v>1712</v>
      </c>
      <c r="E136" t="s">
        <v>1657</v>
      </c>
      <c r="F136" t="s">
        <v>2609</v>
      </c>
      <c r="G136" s="7" t="str">
        <f t="shared" si="2"/>
        <v>1666797681</v>
      </c>
    </row>
    <row r="137" spans="1:7" x14ac:dyDescent="0.55000000000000004">
      <c r="A137" s="9">
        <v>18</v>
      </c>
      <c r="B137" t="s">
        <v>1545</v>
      </c>
      <c r="C137" t="s">
        <v>1663</v>
      </c>
      <c r="D137" t="s">
        <v>1718</v>
      </c>
      <c r="E137" t="s">
        <v>1657</v>
      </c>
      <c r="F137" t="s">
        <v>2609</v>
      </c>
      <c r="G137" s="7" t="str">
        <f t="shared" si="2"/>
        <v>1666797682</v>
      </c>
    </row>
    <row r="138" spans="1:7" x14ac:dyDescent="0.55000000000000004">
      <c r="A138" s="9">
        <v>19</v>
      </c>
      <c r="B138" t="s">
        <v>52</v>
      </c>
      <c r="C138" t="s">
        <v>1662</v>
      </c>
      <c r="D138" t="s">
        <v>1719</v>
      </c>
      <c r="E138" t="s">
        <v>1657</v>
      </c>
      <c r="F138" t="s">
        <v>2609</v>
      </c>
      <c r="G138" s="7" t="str">
        <f t="shared" si="2"/>
        <v>1666797682</v>
      </c>
    </row>
    <row r="139" spans="1:7" x14ac:dyDescent="0.55000000000000004">
      <c r="A139" s="9">
        <v>20</v>
      </c>
      <c r="B139" t="s">
        <v>52</v>
      </c>
      <c r="C139" t="s">
        <v>1662</v>
      </c>
      <c r="D139" t="s">
        <v>1719</v>
      </c>
      <c r="E139" t="s">
        <v>1657</v>
      </c>
      <c r="F139" t="s">
        <v>2609</v>
      </c>
      <c r="G139" s="7" t="str">
        <f t="shared" si="2"/>
        <v>1666797682</v>
      </c>
    </row>
    <row r="140" spans="1:7" x14ac:dyDescent="0.55000000000000004">
      <c r="A140" s="9">
        <v>21</v>
      </c>
      <c r="B140" t="s">
        <v>2651</v>
      </c>
      <c r="C140" t="s">
        <v>1662</v>
      </c>
      <c r="D140" t="s">
        <v>1786</v>
      </c>
      <c r="E140" t="s">
        <v>1657</v>
      </c>
      <c r="F140" t="s">
        <v>2609</v>
      </c>
      <c r="G140" s="7" t="str">
        <f t="shared" si="2"/>
        <v>1666797689</v>
      </c>
    </row>
    <row r="141" spans="1:7" x14ac:dyDescent="0.55000000000000004">
      <c r="A141" s="9">
        <v>22</v>
      </c>
      <c r="B141" t="s">
        <v>347</v>
      </c>
      <c r="C141" t="s">
        <v>1662</v>
      </c>
      <c r="D141" t="s">
        <v>1792</v>
      </c>
      <c r="E141" t="s">
        <v>1657</v>
      </c>
      <c r="F141" t="s">
        <v>2609</v>
      </c>
      <c r="G141" s="7" t="str">
        <f t="shared" si="2"/>
        <v>1666797690</v>
      </c>
    </row>
    <row r="142" spans="1:7" x14ac:dyDescent="0.55000000000000004">
      <c r="A142" s="9">
        <v>23</v>
      </c>
      <c r="B142" t="s">
        <v>349</v>
      </c>
      <c r="C142" t="s">
        <v>1662</v>
      </c>
      <c r="D142" t="s">
        <v>1793</v>
      </c>
      <c r="E142" t="s">
        <v>1657</v>
      </c>
      <c r="F142" t="s">
        <v>2609</v>
      </c>
      <c r="G142" s="7" t="str">
        <f t="shared" si="2"/>
        <v>1666797690</v>
      </c>
    </row>
    <row r="143" spans="1:7" x14ac:dyDescent="0.55000000000000004">
      <c r="A143" s="9">
        <v>24</v>
      </c>
      <c r="B143" t="s">
        <v>355</v>
      </c>
      <c r="C143" t="s">
        <v>1662</v>
      </c>
      <c r="D143" t="s">
        <v>1794</v>
      </c>
      <c r="E143" t="s">
        <v>1657</v>
      </c>
      <c r="F143" t="s">
        <v>2609</v>
      </c>
      <c r="G143" s="7" t="str">
        <f t="shared" si="2"/>
        <v>1666797691</v>
      </c>
    </row>
    <row r="144" spans="1:7" x14ac:dyDescent="0.55000000000000004">
      <c r="A144" s="9">
        <v>25</v>
      </c>
      <c r="B144" t="s">
        <v>377</v>
      </c>
      <c r="C144" t="s">
        <v>1662</v>
      </c>
      <c r="D144" t="s">
        <v>1797</v>
      </c>
      <c r="E144" t="s">
        <v>1657</v>
      </c>
      <c r="F144" t="s">
        <v>2609</v>
      </c>
      <c r="G144" s="7" t="str">
        <f t="shared" si="2"/>
        <v>1666797691</v>
      </c>
    </row>
    <row r="145" spans="1:7" x14ac:dyDescent="0.55000000000000004">
      <c r="A145" s="9">
        <v>26</v>
      </c>
      <c r="B145" t="s">
        <v>379</v>
      </c>
      <c r="C145" t="s">
        <v>1662</v>
      </c>
      <c r="D145" t="s">
        <v>1798</v>
      </c>
      <c r="E145" t="s">
        <v>1657</v>
      </c>
      <c r="F145" t="s">
        <v>2609</v>
      </c>
      <c r="G145" s="7" t="str">
        <f t="shared" si="2"/>
        <v>1666797691</v>
      </c>
    </row>
    <row r="146" spans="1:7" x14ac:dyDescent="0.55000000000000004">
      <c r="A146" s="9">
        <v>27</v>
      </c>
      <c r="B146" t="s">
        <v>414</v>
      </c>
      <c r="C146" t="s">
        <v>1662</v>
      </c>
      <c r="D146" t="s">
        <v>1809</v>
      </c>
      <c r="E146" t="s">
        <v>1657</v>
      </c>
      <c r="F146" t="s">
        <v>2609</v>
      </c>
      <c r="G146" s="7" t="str">
        <f t="shared" si="2"/>
        <v>1666797693</v>
      </c>
    </row>
    <row r="147" spans="1:7" x14ac:dyDescent="0.55000000000000004">
      <c r="A147" s="9">
        <v>28</v>
      </c>
      <c r="B147" t="s">
        <v>416</v>
      </c>
      <c r="C147" t="s">
        <v>1662</v>
      </c>
      <c r="D147" t="s">
        <v>1810</v>
      </c>
      <c r="E147" t="s">
        <v>1657</v>
      </c>
      <c r="F147" t="s">
        <v>2609</v>
      </c>
      <c r="G147" s="7" t="str">
        <f t="shared" si="2"/>
        <v>1666797693</v>
      </c>
    </row>
    <row r="148" spans="1:7" x14ac:dyDescent="0.55000000000000004">
      <c r="A148" s="9">
        <v>29</v>
      </c>
      <c r="B148" t="s">
        <v>1576</v>
      </c>
      <c r="C148" t="s">
        <v>1662</v>
      </c>
      <c r="D148" t="s">
        <v>1813</v>
      </c>
      <c r="E148" t="s">
        <v>1657</v>
      </c>
      <c r="F148" t="s">
        <v>2609</v>
      </c>
      <c r="G148" s="7" t="str">
        <f t="shared" si="2"/>
        <v>1666797694</v>
      </c>
    </row>
    <row r="149" spans="1:7" x14ac:dyDescent="0.55000000000000004">
      <c r="A149" s="9">
        <v>30</v>
      </c>
      <c r="B149" t="s">
        <v>1577</v>
      </c>
      <c r="C149" t="s">
        <v>1662</v>
      </c>
      <c r="D149" t="s">
        <v>1814</v>
      </c>
      <c r="E149" t="s">
        <v>1657</v>
      </c>
      <c r="F149" t="s">
        <v>2609</v>
      </c>
      <c r="G149" s="7" t="str">
        <f t="shared" si="2"/>
        <v>1666797694</v>
      </c>
    </row>
    <row r="150" spans="1:7" x14ac:dyDescent="0.55000000000000004">
      <c r="A150" s="9">
        <v>31</v>
      </c>
      <c r="B150" t="s">
        <v>1578</v>
      </c>
      <c r="C150" t="s">
        <v>1662</v>
      </c>
      <c r="D150" t="s">
        <v>1815</v>
      </c>
      <c r="E150" t="s">
        <v>1657</v>
      </c>
      <c r="F150" t="s">
        <v>2609</v>
      </c>
      <c r="G150" s="7" t="str">
        <f t="shared" si="2"/>
        <v>1666797694</v>
      </c>
    </row>
    <row r="151" spans="1:7" x14ac:dyDescent="0.55000000000000004">
      <c r="A151" s="9">
        <v>32</v>
      </c>
      <c r="B151" t="s">
        <v>2661</v>
      </c>
      <c r="C151" t="s">
        <v>1662</v>
      </c>
      <c r="D151" t="s">
        <v>1816</v>
      </c>
      <c r="E151" t="s">
        <v>1657</v>
      </c>
      <c r="F151" t="s">
        <v>2609</v>
      </c>
      <c r="G151" s="7" t="str">
        <f t="shared" si="2"/>
        <v>1666797694</v>
      </c>
    </row>
    <row r="152" spans="1:7" x14ac:dyDescent="0.55000000000000004">
      <c r="A152" s="9">
        <v>33</v>
      </c>
      <c r="B152" t="s">
        <v>1580</v>
      </c>
      <c r="C152" t="s">
        <v>1662</v>
      </c>
      <c r="D152" t="s">
        <v>1817</v>
      </c>
      <c r="E152" t="s">
        <v>1657</v>
      </c>
      <c r="F152" t="s">
        <v>2609</v>
      </c>
      <c r="G152" s="7" t="str">
        <f t="shared" si="2"/>
        <v>1666797694</v>
      </c>
    </row>
    <row r="153" spans="1:7" x14ac:dyDescent="0.55000000000000004">
      <c r="A153" s="9">
        <v>34</v>
      </c>
      <c r="B153" t="s">
        <v>451</v>
      </c>
      <c r="C153" t="s">
        <v>1662</v>
      </c>
      <c r="D153" t="s">
        <v>1828</v>
      </c>
      <c r="E153" t="s">
        <v>1657</v>
      </c>
      <c r="F153" t="s">
        <v>2609</v>
      </c>
      <c r="G153" s="7" t="str">
        <f t="shared" si="2"/>
        <v>1666797698</v>
      </c>
    </row>
    <row r="154" spans="1:7" x14ac:dyDescent="0.55000000000000004">
      <c r="A154" s="9">
        <v>35</v>
      </c>
      <c r="B154" t="s">
        <v>2666</v>
      </c>
      <c r="C154" t="s">
        <v>1662</v>
      </c>
      <c r="D154" t="s">
        <v>1834</v>
      </c>
      <c r="E154" t="s">
        <v>1657</v>
      </c>
      <c r="F154" t="s">
        <v>2609</v>
      </c>
      <c r="G154" s="7" t="str">
        <f t="shared" si="2"/>
        <v>1666797698</v>
      </c>
    </row>
    <row r="155" spans="1:7" x14ac:dyDescent="0.55000000000000004">
      <c r="A155" s="9">
        <v>36</v>
      </c>
      <c r="B155" t="s">
        <v>2667</v>
      </c>
      <c r="C155" t="s">
        <v>1662</v>
      </c>
      <c r="D155" t="s">
        <v>1835</v>
      </c>
      <c r="E155" t="s">
        <v>1657</v>
      </c>
      <c r="F155" t="s">
        <v>2609</v>
      </c>
      <c r="G155" s="7" t="str">
        <f t="shared" si="2"/>
        <v>1666797699</v>
      </c>
    </row>
    <row r="156" spans="1:7" x14ac:dyDescent="0.55000000000000004">
      <c r="A156" s="9">
        <v>37</v>
      </c>
      <c r="B156" t="s">
        <v>2668</v>
      </c>
      <c r="C156" t="s">
        <v>1662</v>
      </c>
      <c r="D156" t="s">
        <v>1836</v>
      </c>
      <c r="E156" t="s">
        <v>1657</v>
      </c>
      <c r="F156" t="s">
        <v>2609</v>
      </c>
      <c r="G156" s="7" t="str">
        <f t="shared" si="2"/>
        <v>1666797699</v>
      </c>
    </row>
    <row r="157" spans="1:7" x14ac:dyDescent="0.55000000000000004">
      <c r="A157" s="9">
        <v>38</v>
      </c>
      <c r="B157" t="s">
        <v>2669</v>
      </c>
      <c r="C157" t="s">
        <v>1662</v>
      </c>
      <c r="D157" t="s">
        <v>1837</v>
      </c>
      <c r="E157" t="s">
        <v>1657</v>
      </c>
      <c r="F157" t="s">
        <v>2609</v>
      </c>
      <c r="G157" s="7" t="str">
        <f t="shared" si="2"/>
        <v>1666797699</v>
      </c>
    </row>
    <row r="158" spans="1:7" x14ac:dyDescent="0.55000000000000004">
      <c r="A158" s="9">
        <v>39</v>
      </c>
      <c r="B158" t="s">
        <v>1590</v>
      </c>
      <c r="C158" t="s">
        <v>1662</v>
      </c>
      <c r="D158" t="s">
        <v>1838</v>
      </c>
      <c r="E158" t="s">
        <v>1657</v>
      </c>
      <c r="F158" t="s">
        <v>2609</v>
      </c>
      <c r="G158" s="7" t="str">
        <f t="shared" si="2"/>
        <v>1666797699</v>
      </c>
    </row>
    <row r="159" spans="1:7" x14ac:dyDescent="0.55000000000000004">
      <c r="A159" s="9">
        <v>40</v>
      </c>
      <c r="B159" t="s">
        <v>2670</v>
      </c>
      <c r="C159" t="s">
        <v>1662</v>
      </c>
      <c r="D159" t="s">
        <v>1839</v>
      </c>
      <c r="E159" t="s">
        <v>1657</v>
      </c>
      <c r="F159" t="s">
        <v>2609</v>
      </c>
      <c r="G159" s="7" t="str">
        <f t="shared" si="2"/>
        <v>1666797700</v>
      </c>
    </row>
    <row r="160" spans="1:7" x14ac:dyDescent="0.55000000000000004">
      <c r="A160" s="9">
        <v>41</v>
      </c>
      <c r="B160" t="s">
        <v>2671</v>
      </c>
      <c r="C160" t="s">
        <v>1662</v>
      </c>
      <c r="D160" t="s">
        <v>1840</v>
      </c>
      <c r="E160" t="s">
        <v>1657</v>
      </c>
      <c r="F160" t="s">
        <v>2609</v>
      </c>
      <c r="G160" s="7" t="str">
        <f t="shared" si="2"/>
        <v>1666797700</v>
      </c>
    </row>
    <row r="161" spans="1:7" x14ac:dyDescent="0.55000000000000004">
      <c r="A161" s="9">
        <v>42</v>
      </c>
      <c r="B161" t="s">
        <v>2672</v>
      </c>
      <c r="C161" t="s">
        <v>1662</v>
      </c>
      <c r="D161" t="s">
        <v>1841</v>
      </c>
      <c r="E161" t="s">
        <v>1657</v>
      </c>
      <c r="F161" t="s">
        <v>2609</v>
      </c>
      <c r="G161" s="7" t="str">
        <f t="shared" si="2"/>
        <v>1666797700</v>
      </c>
    </row>
    <row r="162" spans="1:7" x14ac:dyDescent="0.55000000000000004">
      <c r="A162" s="9">
        <v>43</v>
      </c>
      <c r="B162" t="s">
        <v>2673</v>
      </c>
      <c r="C162" t="s">
        <v>1662</v>
      </c>
      <c r="D162" t="s">
        <v>1842</v>
      </c>
      <c r="E162" t="s">
        <v>1657</v>
      </c>
      <c r="F162" t="s">
        <v>2609</v>
      </c>
      <c r="G162" s="7" t="str">
        <f t="shared" si="2"/>
        <v>1666797700</v>
      </c>
    </row>
    <row r="163" spans="1:7" x14ac:dyDescent="0.55000000000000004">
      <c r="A163" s="9">
        <v>44</v>
      </c>
      <c r="B163" t="s">
        <v>2674</v>
      </c>
      <c r="C163" t="s">
        <v>1662</v>
      </c>
      <c r="D163" t="s">
        <v>1843</v>
      </c>
      <c r="E163" t="s">
        <v>1657</v>
      </c>
      <c r="F163" t="s">
        <v>2609</v>
      </c>
      <c r="G163" s="7" t="str">
        <f t="shared" si="2"/>
        <v>1666797701</v>
      </c>
    </row>
    <row r="164" spans="1:7" x14ac:dyDescent="0.55000000000000004">
      <c r="A164" s="9">
        <v>45</v>
      </c>
      <c r="B164" t="s">
        <v>2675</v>
      </c>
      <c r="C164" t="s">
        <v>1662</v>
      </c>
      <c r="D164" t="s">
        <v>1844</v>
      </c>
      <c r="E164" t="s">
        <v>1657</v>
      </c>
      <c r="F164" t="s">
        <v>2609</v>
      </c>
      <c r="G164" s="7" t="str">
        <f t="shared" si="2"/>
        <v>1666797701</v>
      </c>
    </row>
    <row r="165" spans="1:7" x14ac:dyDescent="0.55000000000000004">
      <c r="A165" s="9">
        <v>46</v>
      </c>
      <c r="B165" t="s">
        <v>2676</v>
      </c>
      <c r="C165" t="s">
        <v>1662</v>
      </c>
      <c r="D165" t="s">
        <v>1845</v>
      </c>
      <c r="E165" t="s">
        <v>1657</v>
      </c>
      <c r="F165" t="s">
        <v>2609</v>
      </c>
      <c r="G165" s="7" t="str">
        <f t="shared" si="2"/>
        <v>1666797701</v>
      </c>
    </row>
    <row r="166" spans="1:7" x14ac:dyDescent="0.55000000000000004">
      <c r="A166" s="9">
        <v>47</v>
      </c>
      <c r="B166" t="s">
        <v>2677</v>
      </c>
      <c r="C166" t="s">
        <v>1662</v>
      </c>
      <c r="D166" t="s">
        <v>1846</v>
      </c>
      <c r="E166" t="s">
        <v>1657</v>
      </c>
      <c r="F166" t="s">
        <v>2609</v>
      </c>
      <c r="G166" s="7" t="str">
        <f t="shared" si="2"/>
        <v>1666797701</v>
      </c>
    </row>
    <row r="167" spans="1:7" x14ac:dyDescent="0.55000000000000004">
      <c r="A167" s="9">
        <v>48</v>
      </c>
      <c r="B167" t="s">
        <v>2678</v>
      </c>
      <c r="C167" t="s">
        <v>1662</v>
      </c>
      <c r="D167" t="s">
        <v>1847</v>
      </c>
      <c r="E167" t="s">
        <v>1657</v>
      </c>
      <c r="F167" t="s">
        <v>2609</v>
      </c>
      <c r="G167" s="7" t="str">
        <f t="shared" si="2"/>
        <v>1666797701</v>
      </c>
    </row>
    <row r="168" spans="1:7" x14ac:dyDescent="0.55000000000000004">
      <c r="A168" s="9">
        <v>49</v>
      </c>
      <c r="B168" t="s">
        <v>2679</v>
      </c>
      <c r="C168" t="s">
        <v>1662</v>
      </c>
      <c r="D168" t="s">
        <v>1848</v>
      </c>
      <c r="E168" t="s">
        <v>1657</v>
      </c>
      <c r="F168" t="s">
        <v>2609</v>
      </c>
      <c r="G168" s="7" t="str">
        <f t="shared" si="2"/>
        <v>1666797702</v>
      </c>
    </row>
    <row r="169" spans="1:7" x14ac:dyDescent="0.55000000000000004">
      <c r="A169" s="9">
        <v>50</v>
      </c>
      <c r="B169" t="s">
        <v>2680</v>
      </c>
      <c r="C169" t="s">
        <v>1662</v>
      </c>
      <c r="D169" t="s">
        <v>1849</v>
      </c>
      <c r="E169" t="s">
        <v>1657</v>
      </c>
      <c r="F169" t="s">
        <v>2609</v>
      </c>
      <c r="G169" s="7" t="str">
        <f t="shared" si="2"/>
        <v>1666797702</v>
      </c>
    </row>
    <row r="170" spans="1:7" x14ac:dyDescent="0.55000000000000004">
      <c r="A170" s="9">
        <v>51</v>
      </c>
      <c r="B170" t="s">
        <v>2681</v>
      </c>
      <c r="C170" t="s">
        <v>1662</v>
      </c>
      <c r="D170" t="s">
        <v>1850</v>
      </c>
      <c r="E170" t="s">
        <v>1657</v>
      </c>
      <c r="F170" t="s">
        <v>2609</v>
      </c>
      <c r="G170" s="7" t="str">
        <f t="shared" si="2"/>
        <v>1666797702</v>
      </c>
    </row>
    <row r="171" spans="1:7" x14ac:dyDescent="0.55000000000000004">
      <c r="A171" s="9">
        <v>52</v>
      </c>
      <c r="B171" t="s">
        <v>2682</v>
      </c>
      <c r="C171" t="s">
        <v>1662</v>
      </c>
      <c r="D171" t="s">
        <v>1851</v>
      </c>
      <c r="E171" t="s">
        <v>1657</v>
      </c>
      <c r="F171" t="s">
        <v>2609</v>
      </c>
      <c r="G171" s="7" t="str">
        <f t="shared" si="2"/>
        <v>1666797702</v>
      </c>
    </row>
    <row r="172" spans="1:7" x14ac:dyDescent="0.55000000000000004">
      <c r="A172" s="9">
        <v>53</v>
      </c>
      <c r="B172" t="s">
        <v>2683</v>
      </c>
      <c r="C172" t="s">
        <v>1662</v>
      </c>
      <c r="D172" t="s">
        <v>1852</v>
      </c>
      <c r="E172" t="s">
        <v>1657</v>
      </c>
      <c r="F172" t="s">
        <v>2609</v>
      </c>
      <c r="G172" s="7" t="str">
        <f t="shared" si="2"/>
        <v>1666797702</v>
      </c>
    </row>
    <row r="173" spans="1:7" x14ac:dyDescent="0.55000000000000004">
      <c r="A173" s="9">
        <v>54</v>
      </c>
      <c r="B173" t="s">
        <v>2684</v>
      </c>
      <c r="C173" t="s">
        <v>1662</v>
      </c>
      <c r="D173" t="s">
        <v>1853</v>
      </c>
      <c r="E173" t="s">
        <v>1657</v>
      </c>
      <c r="F173" t="s">
        <v>2609</v>
      </c>
      <c r="G173" s="7" t="str">
        <f t="shared" si="2"/>
        <v>1666797703</v>
      </c>
    </row>
    <row r="174" spans="1:7" x14ac:dyDescent="0.55000000000000004">
      <c r="A174" s="9">
        <v>55</v>
      </c>
      <c r="B174" t="s">
        <v>2685</v>
      </c>
      <c r="C174" t="s">
        <v>1662</v>
      </c>
      <c r="D174" t="s">
        <v>1854</v>
      </c>
      <c r="E174" t="s">
        <v>1657</v>
      </c>
      <c r="F174" t="s">
        <v>2609</v>
      </c>
      <c r="G174" s="7" t="str">
        <f t="shared" si="2"/>
        <v>1666797703</v>
      </c>
    </row>
    <row r="175" spans="1:7" x14ac:dyDescent="0.55000000000000004">
      <c r="A175" s="9">
        <v>56</v>
      </c>
      <c r="B175" t="s">
        <v>2686</v>
      </c>
      <c r="C175" t="s">
        <v>1662</v>
      </c>
      <c r="D175" t="s">
        <v>1855</v>
      </c>
      <c r="E175" t="s">
        <v>1657</v>
      </c>
      <c r="F175" t="s">
        <v>2609</v>
      </c>
      <c r="G175" s="7" t="str">
        <f t="shared" si="2"/>
        <v>1666797703</v>
      </c>
    </row>
    <row r="176" spans="1:7" x14ac:dyDescent="0.55000000000000004">
      <c r="A176" s="9">
        <v>57</v>
      </c>
      <c r="B176" t="s">
        <v>2687</v>
      </c>
      <c r="C176" t="s">
        <v>1662</v>
      </c>
      <c r="D176" t="s">
        <v>1856</v>
      </c>
      <c r="E176" t="s">
        <v>1657</v>
      </c>
      <c r="F176" t="s">
        <v>2609</v>
      </c>
      <c r="G176" s="7" t="str">
        <f t="shared" si="2"/>
        <v>1666797703</v>
      </c>
    </row>
    <row r="177" spans="1:7" x14ac:dyDescent="0.55000000000000004">
      <c r="A177" s="9">
        <v>58</v>
      </c>
      <c r="B177" t="s">
        <v>2688</v>
      </c>
      <c r="C177" t="s">
        <v>1662</v>
      </c>
      <c r="D177" t="s">
        <v>1857</v>
      </c>
      <c r="E177" t="s">
        <v>1657</v>
      </c>
      <c r="F177" t="s">
        <v>2609</v>
      </c>
      <c r="G177" s="7" t="str">
        <f t="shared" si="2"/>
        <v>1666797703</v>
      </c>
    </row>
    <row r="178" spans="1:7" x14ac:dyDescent="0.55000000000000004">
      <c r="A178" s="9">
        <v>59</v>
      </c>
      <c r="B178" t="s">
        <v>2689</v>
      </c>
      <c r="C178" t="s">
        <v>1662</v>
      </c>
      <c r="D178" t="s">
        <v>1858</v>
      </c>
      <c r="E178" t="s">
        <v>1657</v>
      </c>
      <c r="F178" t="s">
        <v>2609</v>
      </c>
      <c r="G178" s="7" t="str">
        <f t="shared" si="2"/>
        <v>1666797703</v>
      </c>
    </row>
    <row r="179" spans="1:7" x14ac:dyDescent="0.55000000000000004">
      <c r="A179" s="9">
        <v>64</v>
      </c>
      <c r="B179" t="s">
        <v>1592</v>
      </c>
      <c r="C179" t="s">
        <v>1662</v>
      </c>
      <c r="D179" t="s">
        <v>1863</v>
      </c>
      <c r="E179" t="s">
        <v>1657</v>
      </c>
      <c r="F179" t="s">
        <v>2609</v>
      </c>
      <c r="G179" s="7" t="str">
        <f t="shared" si="2"/>
        <v>1666797704</v>
      </c>
    </row>
    <row r="180" spans="1:7" x14ac:dyDescent="0.55000000000000004">
      <c r="A180" s="9">
        <v>65</v>
      </c>
      <c r="B180" t="s">
        <v>2694</v>
      </c>
      <c r="C180" t="s">
        <v>1662</v>
      </c>
      <c r="D180" t="s">
        <v>1864</v>
      </c>
      <c r="E180" t="s">
        <v>1657</v>
      </c>
      <c r="F180" t="s">
        <v>2609</v>
      </c>
      <c r="G180" s="7" t="str">
        <f t="shared" si="2"/>
        <v>1666797704</v>
      </c>
    </row>
    <row r="181" spans="1:7" x14ac:dyDescent="0.55000000000000004">
      <c r="A181" s="9">
        <v>60</v>
      </c>
      <c r="B181" t="s">
        <v>2690</v>
      </c>
      <c r="C181" t="s">
        <v>1662</v>
      </c>
      <c r="D181" t="s">
        <v>1859</v>
      </c>
      <c r="E181" t="s">
        <v>1657</v>
      </c>
      <c r="F181" t="s">
        <v>2609</v>
      </c>
      <c r="G181" s="7" t="str">
        <f t="shared" si="2"/>
        <v>1666797704</v>
      </c>
    </row>
    <row r="182" spans="1:7" x14ac:dyDescent="0.55000000000000004">
      <c r="A182" s="9">
        <v>61</v>
      </c>
      <c r="B182" t="s">
        <v>2691</v>
      </c>
      <c r="C182" t="s">
        <v>1662</v>
      </c>
      <c r="D182" t="s">
        <v>1860</v>
      </c>
      <c r="E182" t="s">
        <v>1657</v>
      </c>
      <c r="F182" t="s">
        <v>2609</v>
      </c>
      <c r="G182" s="7" t="str">
        <f t="shared" si="2"/>
        <v>1666797704</v>
      </c>
    </row>
    <row r="183" spans="1:7" x14ac:dyDescent="0.55000000000000004">
      <c r="A183" s="9">
        <v>62</v>
      </c>
      <c r="B183" t="s">
        <v>2692</v>
      </c>
      <c r="C183" t="s">
        <v>1662</v>
      </c>
      <c r="D183" t="s">
        <v>1861</v>
      </c>
      <c r="E183" t="s">
        <v>1657</v>
      </c>
      <c r="F183" t="s">
        <v>2609</v>
      </c>
      <c r="G183" s="7" t="str">
        <f t="shared" si="2"/>
        <v>1666797704</v>
      </c>
    </row>
    <row r="184" spans="1:7" x14ac:dyDescent="0.55000000000000004">
      <c r="A184" s="9">
        <v>63</v>
      </c>
      <c r="B184" t="s">
        <v>2693</v>
      </c>
      <c r="C184" t="s">
        <v>1662</v>
      </c>
      <c r="D184" t="s">
        <v>1862</v>
      </c>
      <c r="E184" t="s">
        <v>1657</v>
      </c>
      <c r="F184" t="s">
        <v>2609</v>
      </c>
      <c r="G184" s="7" t="str">
        <f t="shared" si="2"/>
        <v>1666797704</v>
      </c>
    </row>
    <row r="185" spans="1:7" x14ac:dyDescent="0.55000000000000004">
      <c r="A185" s="9">
        <v>66</v>
      </c>
      <c r="B185" t="s">
        <v>2695</v>
      </c>
      <c r="C185" t="s">
        <v>1662</v>
      </c>
      <c r="D185" t="s">
        <v>1865</v>
      </c>
      <c r="E185" t="s">
        <v>1657</v>
      </c>
      <c r="F185" t="s">
        <v>2609</v>
      </c>
      <c r="G185" s="7" t="str">
        <f t="shared" si="2"/>
        <v>1666797705</v>
      </c>
    </row>
    <row r="186" spans="1:7" x14ac:dyDescent="0.55000000000000004">
      <c r="A186" s="9">
        <v>67</v>
      </c>
      <c r="B186" t="s">
        <v>2696</v>
      </c>
      <c r="C186" t="s">
        <v>1662</v>
      </c>
      <c r="D186" t="s">
        <v>1866</v>
      </c>
      <c r="E186" t="s">
        <v>1657</v>
      </c>
      <c r="F186" t="s">
        <v>2609</v>
      </c>
      <c r="G186" s="7" t="str">
        <f t="shared" si="2"/>
        <v>1666797705</v>
      </c>
    </row>
    <row r="187" spans="1:7" x14ac:dyDescent="0.55000000000000004">
      <c r="A187" s="9">
        <v>68</v>
      </c>
      <c r="B187" t="s">
        <v>2697</v>
      </c>
      <c r="C187" t="s">
        <v>1662</v>
      </c>
      <c r="D187" t="s">
        <v>1867</v>
      </c>
      <c r="E187" t="s">
        <v>1657</v>
      </c>
      <c r="F187" t="s">
        <v>2609</v>
      </c>
      <c r="G187" s="7" t="str">
        <f t="shared" si="2"/>
        <v>1666797705</v>
      </c>
    </row>
    <row r="188" spans="1:7" x14ac:dyDescent="0.55000000000000004">
      <c r="A188" s="9">
        <v>69</v>
      </c>
      <c r="B188" t="s">
        <v>2698</v>
      </c>
      <c r="C188" t="s">
        <v>1662</v>
      </c>
      <c r="D188" t="s">
        <v>1868</v>
      </c>
      <c r="E188" t="s">
        <v>1657</v>
      </c>
      <c r="F188" t="s">
        <v>2609</v>
      </c>
      <c r="G188" s="7" t="str">
        <f t="shared" si="2"/>
        <v>1666797705</v>
      </c>
    </row>
    <row r="189" spans="1:7" x14ac:dyDescent="0.55000000000000004">
      <c r="A189" s="9">
        <v>70</v>
      </c>
      <c r="B189" t="s">
        <v>2699</v>
      </c>
      <c r="C189" t="s">
        <v>1662</v>
      </c>
      <c r="D189" t="s">
        <v>1869</v>
      </c>
      <c r="E189" t="s">
        <v>1657</v>
      </c>
      <c r="F189" t="s">
        <v>2609</v>
      </c>
      <c r="G189" s="7" t="str">
        <f t="shared" si="2"/>
        <v>1666797705</v>
      </c>
    </row>
    <row r="190" spans="1:7" x14ac:dyDescent="0.55000000000000004">
      <c r="A190" s="9">
        <v>71</v>
      </c>
      <c r="B190" t="s">
        <v>2700</v>
      </c>
      <c r="C190" t="s">
        <v>1662</v>
      </c>
      <c r="D190" t="s">
        <v>1870</v>
      </c>
      <c r="E190" t="s">
        <v>1657</v>
      </c>
      <c r="F190" t="s">
        <v>2609</v>
      </c>
      <c r="G190" s="7" t="str">
        <f t="shared" si="2"/>
        <v>1666797705</v>
      </c>
    </row>
    <row r="191" spans="1:7" x14ac:dyDescent="0.55000000000000004">
      <c r="A191" s="9">
        <v>72</v>
      </c>
      <c r="B191" t="s">
        <v>2701</v>
      </c>
      <c r="C191" t="s">
        <v>1662</v>
      </c>
      <c r="D191" t="s">
        <v>1871</v>
      </c>
      <c r="E191" t="s">
        <v>1657</v>
      </c>
      <c r="F191" t="s">
        <v>2609</v>
      </c>
      <c r="G191" s="7" t="str">
        <f t="shared" si="2"/>
        <v>1666797706</v>
      </c>
    </row>
    <row r="192" spans="1:7" x14ac:dyDescent="0.55000000000000004">
      <c r="A192" s="9">
        <v>73</v>
      </c>
      <c r="B192" t="s">
        <v>2702</v>
      </c>
      <c r="C192" t="s">
        <v>1662</v>
      </c>
      <c r="D192" t="s">
        <v>1872</v>
      </c>
      <c r="E192" t="s">
        <v>1657</v>
      </c>
      <c r="F192" t="s">
        <v>2609</v>
      </c>
      <c r="G192" s="7" t="str">
        <f t="shared" si="2"/>
        <v>1666797706</v>
      </c>
    </row>
    <row r="193" spans="1:7" x14ac:dyDescent="0.55000000000000004">
      <c r="A193" s="9">
        <v>74</v>
      </c>
      <c r="B193" t="s">
        <v>2703</v>
      </c>
      <c r="C193" t="s">
        <v>1662</v>
      </c>
      <c r="D193" t="s">
        <v>1873</v>
      </c>
      <c r="E193" t="s">
        <v>1657</v>
      </c>
      <c r="F193" t="s">
        <v>2609</v>
      </c>
      <c r="G193" s="7" t="str">
        <f t="shared" si="2"/>
        <v>1666797706</v>
      </c>
    </row>
    <row r="194" spans="1:7" x14ac:dyDescent="0.55000000000000004">
      <c r="A194" s="9">
        <v>75</v>
      </c>
      <c r="B194" t="s">
        <v>2704</v>
      </c>
      <c r="C194" t="s">
        <v>1662</v>
      </c>
      <c r="D194" t="s">
        <v>1874</v>
      </c>
      <c r="E194" t="s">
        <v>1657</v>
      </c>
      <c r="F194" t="s">
        <v>2609</v>
      </c>
      <c r="G194" s="7" t="str">
        <f t="shared" ref="G194:G258" si="3">MID(D194,
FIND("1st.skey=",D194,1)+9,10)</f>
        <v>1666797706</v>
      </c>
    </row>
    <row r="195" spans="1:7" x14ac:dyDescent="0.55000000000000004">
      <c r="A195" s="9">
        <v>76</v>
      </c>
      <c r="B195" t="s">
        <v>2705</v>
      </c>
      <c r="C195" t="s">
        <v>1662</v>
      </c>
      <c r="D195" t="s">
        <v>1875</v>
      </c>
      <c r="E195" t="s">
        <v>1657</v>
      </c>
      <c r="F195" t="s">
        <v>2609</v>
      </c>
      <c r="G195" s="7" t="str">
        <f t="shared" si="3"/>
        <v>1666797706</v>
      </c>
    </row>
    <row r="196" spans="1:7" x14ac:dyDescent="0.55000000000000004">
      <c r="A196" s="9">
        <v>77</v>
      </c>
      <c r="B196" t="s">
        <v>2706</v>
      </c>
      <c r="C196" t="s">
        <v>1662</v>
      </c>
      <c r="D196" t="s">
        <v>1876</v>
      </c>
      <c r="E196" t="s">
        <v>1657</v>
      </c>
      <c r="F196" t="s">
        <v>2609</v>
      </c>
      <c r="G196" s="7" t="str">
        <f t="shared" si="3"/>
        <v>1666797707</v>
      </c>
    </row>
    <row r="197" spans="1:7" x14ac:dyDescent="0.55000000000000004">
      <c r="A197" s="9">
        <v>78</v>
      </c>
      <c r="B197" t="s">
        <v>2707</v>
      </c>
      <c r="C197" t="s">
        <v>1662</v>
      </c>
      <c r="D197" t="s">
        <v>1877</v>
      </c>
      <c r="E197" t="s">
        <v>1657</v>
      </c>
      <c r="F197" t="s">
        <v>2609</v>
      </c>
      <c r="G197" s="7" t="str">
        <f t="shared" si="3"/>
        <v>1666797707</v>
      </c>
    </row>
    <row r="198" spans="1:7" x14ac:dyDescent="0.55000000000000004">
      <c r="A198" s="9">
        <v>79</v>
      </c>
      <c r="B198" t="s">
        <v>2708</v>
      </c>
      <c r="C198" t="s">
        <v>1662</v>
      </c>
      <c r="D198" t="s">
        <v>1878</v>
      </c>
      <c r="E198" t="s">
        <v>1657</v>
      </c>
      <c r="F198" t="s">
        <v>2609</v>
      </c>
      <c r="G198" s="7" t="str">
        <f t="shared" si="3"/>
        <v>1666797707</v>
      </c>
    </row>
    <row r="199" spans="1:7" x14ac:dyDescent="0.55000000000000004">
      <c r="A199" s="9">
        <v>80</v>
      </c>
      <c r="B199" t="s">
        <v>2709</v>
      </c>
      <c r="C199" t="s">
        <v>1662</v>
      </c>
      <c r="D199" t="s">
        <v>1879</v>
      </c>
      <c r="E199" t="s">
        <v>1657</v>
      </c>
      <c r="F199" t="s">
        <v>2609</v>
      </c>
      <c r="G199" s="7" t="str">
        <f t="shared" si="3"/>
        <v>1666797707</v>
      </c>
    </row>
    <row r="200" spans="1:7" x14ac:dyDescent="0.55000000000000004">
      <c r="A200" s="9">
        <v>81</v>
      </c>
      <c r="B200" t="s">
        <v>2710</v>
      </c>
      <c r="C200" t="s">
        <v>1662</v>
      </c>
      <c r="D200" t="s">
        <v>1880</v>
      </c>
      <c r="E200" t="s">
        <v>1657</v>
      </c>
      <c r="F200" t="s">
        <v>2609</v>
      </c>
      <c r="G200" s="7" t="str">
        <f t="shared" si="3"/>
        <v>1666797707</v>
      </c>
    </row>
    <row r="201" spans="1:7" x14ac:dyDescent="0.55000000000000004">
      <c r="A201" s="9">
        <v>82</v>
      </c>
      <c r="B201" t="s">
        <v>2711</v>
      </c>
      <c r="C201" t="s">
        <v>1662</v>
      </c>
      <c r="D201" t="s">
        <v>1881</v>
      </c>
      <c r="E201" t="s">
        <v>1657</v>
      </c>
      <c r="F201" t="s">
        <v>2609</v>
      </c>
      <c r="G201" s="7" t="str">
        <f t="shared" si="3"/>
        <v>1666797707</v>
      </c>
    </row>
    <row r="202" spans="1:7" x14ac:dyDescent="0.55000000000000004">
      <c r="A202" s="9">
        <v>83</v>
      </c>
      <c r="B202" t="s">
        <v>566</v>
      </c>
      <c r="C202" t="s">
        <v>1662</v>
      </c>
      <c r="D202" t="s">
        <v>1882</v>
      </c>
      <c r="E202" t="s">
        <v>1657</v>
      </c>
      <c r="F202" t="s">
        <v>2609</v>
      </c>
      <c r="G202" s="7" t="str">
        <f t="shared" si="3"/>
        <v>1666797708</v>
      </c>
    </row>
    <row r="203" spans="1:7" x14ac:dyDescent="0.55000000000000004">
      <c r="A203" s="9">
        <v>84</v>
      </c>
      <c r="B203" t="s">
        <v>681</v>
      </c>
      <c r="C203" t="s">
        <v>1662</v>
      </c>
      <c r="D203" t="s">
        <v>1935</v>
      </c>
      <c r="E203" t="s">
        <v>1657</v>
      </c>
      <c r="F203" t="s">
        <v>2609</v>
      </c>
      <c r="G203" s="7" t="str">
        <f t="shared" si="3"/>
        <v>1666797711</v>
      </c>
    </row>
    <row r="204" spans="1:7" x14ac:dyDescent="0.55000000000000004">
      <c r="A204" s="9">
        <v>85</v>
      </c>
      <c r="B204" t="s">
        <v>2756</v>
      </c>
      <c r="C204" t="s">
        <v>1662</v>
      </c>
      <c r="D204" t="s">
        <v>1937</v>
      </c>
      <c r="E204" t="s">
        <v>1657</v>
      </c>
      <c r="F204" t="s">
        <v>2609</v>
      </c>
      <c r="G204" s="7" t="str">
        <f t="shared" si="3"/>
        <v>1666797712</v>
      </c>
    </row>
    <row r="205" spans="1:7" x14ac:dyDescent="0.55000000000000004">
      <c r="A205" s="9">
        <v>86</v>
      </c>
      <c r="B205" t="s">
        <v>1604</v>
      </c>
      <c r="C205" t="s">
        <v>1662</v>
      </c>
      <c r="D205" t="s">
        <v>1938</v>
      </c>
      <c r="E205" t="s">
        <v>1657</v>
      </c>
      <c r="F205" t="s">
        <v>2609</v>
      </c>
      <c r="G205" s="7" t="str">
        <f t="shared" si="3"/>
        <v>1666797712</v>
      </c>
    </row>
    <row r="206" spans="1:7" x14ac:dyDescent="0.55000000000000004">
      <c r="A206" s="9">
        <v>87</v>
      </c>
      <c r="B206" t="s">
        <v>1605</v>
      </c>
      <c r="C206" t="s">
        <v>1662</v>
      </c>
      <c r="D206" t="s">
        <v>1939</v>
      </c>
      <c r="E206" t="s">
        <v>1657</v>
      </c>
      <c r="F206" t="s">
        <v>2609</v>
      </c>
      <c r="G206" s="7" t="str">
        <f t="shared" si="3"/>
        <v>1666797712</v>
      </c>
    </row>
    <row r="207" spans="1:7" x14ac:dyDescent="0.55000000000000004">
      <c r="A207" s="9">
        <v>88</v>
      </c>
      <c r="B207" t="s">
        <v>1606</v>
      </c>
      <c r="C207" t="s">
        <v>1662</v>
      </c>
      <c r="D207" t="s">
        <v>1940</v>
      </c>
      <c r="E207" t="s">
        <v>1657</v>
      </c>
      <c r="F207" t="s">
        <v>2609</v>
      </c>
      <c r="G207" s="7" t="str">
        <f t="shared" si="3"/>
        <v>1666797712</v>
      </c>
    </row>
    <row r="208" spans="1:7" x14ac:dyDescent="0.55000000000000004">
      <c r="A208" s="9">
        <v>89</v>
      </c>
      <c r="B208" t="s">
        <v>2757</v>
      </c>
      <c r="C208" t="s">
        <v>1662</v>
      </c>
      <c r="D208" t="s">
        <v>1941</v>
      </c>
      <c r="E208" t="s">
        <v>1657</v>
      </c>
      <c r="F208" t="s">
        <v>2609</v>
      </c>
      <c r="G208" s="7" t="str">
        <f t="shared" si="3"/>
        <v>1666797712</v>
      </c>
    </row>
    <row r="209" spans="1:7" x14ac:dyDescent="0.55000000000000004">
      <c r="A209" s="9">
        <v>90</v>
      </c>
      <c r="B209" t="s">
        <v>2758</v>
      </c>
      <c r="C209" t="s">
        <v>1662</v>
      </c>
      <c r="D209" t="s">
        <v>1942</v>
      </c>
      <c r="E209" t="s">
        <v>1657</v>
      </c>
      <c r="F209" t="s">
        <v>2609</v>
      </c>
      <c r="G209" s="7" t="str">
        <f t="shared" si="3"/>
        <v>1666797712</v>
      </c>
    </row>
    <row r="210" spans="1:7" x14ac:dyDescent="0.55000000000000004">
      <c r="A210" s="9">
        <v>91</v>
      </c>
      <c r="B210" t="s">
        <v>2759</v>
      </c>
      <c r="C210" t="s">
        <v>1662</v>
      </c>
      <c r="D210" t="s">
        <v>1943</v>
      </c>
      <c r="E210" t="s">
        <v>1657</v>
      </c>
      <c r="F210" t="s">
        <v>2609</v>
      </c>
      <c r="G210" s="7" t="str">
        <f t="shared" si="3"/>
        <v>1666797712</v>
      </c>
    </row>
    <row r="211" spans="1:7" x14ac:dyDescent="0.55000000000000004">
      <c r="A211" s="9">
        <v>92</v>
      </c>
      <c r="B211" t="s">
        <v>2760</v>
      </c>
      <c r="C211" t="s">
        <v>1662</v>
      </c>
      <c r="D211" t="s">
        <v>1944</v>
      </c>
      <c r="E211" t="s">
        <v>1657</v>
      </c>
      <c r="F211" t="s">
        <v>2609</v>
      </c>
      <c r="G211" s="7" t="str">
        <f t="shared" si="3"/>
        <v>1666797713</v>
      </c>
    </row>
    <row r="212" spans="1:7" x14ac:dyDescent="0.55000000000000004">
      <c r="A212" s="9">
        <v>93</v>
      </c>
      <c r="B212" t="s">
        <v>702</v>
      </c>
      <c r="C212" t="s">
        <v>1662</v>
      </c>
      <c r="D212" t="s">
        <v>1945</v>
      </c>
      <c r="E212" t="s">
        <v>1657</v>
      </c>
      <c r="F212" t="s">
        <v>2609</v>
      </c>
      <c r="G212" s="7" t="str">
        <f t="shared" si="3"/>
        <v>1666797713</v>
      </c>
    </row>
    <row r="213" spans="1:7" x14ac:dyDescent="0.55000000000000004">
      <c r="A213" s="9">
        <v>94</v>
      </c>
      <c r="B213" t="s">
        <v>736</v>
      </c>
      <c r="C213" t="s">
        <v>1662</v>
      </c>
      <c r="D213" t="s">
        <v>1956</v>
      </c>
      <c r="E213" t="s">
        <v>1657</v>
      </c>
      <c r="F213" t="s">
        <v>2609</v>
      </c>
      <c r="G213" s="7" t="str">
        <f t="shared" si="3"/>
        <v>1666797714</v>
      </c>
    </row>
    <row r="214" spans="1:7" x14ac:dyDescent="0.55000000000000004">
      <c r="A214" s="9">
        <v>95</v>
      </c>
      <c r="B214" t="s">
        <v>736</v>
      </c>
      <c r="C214" t="s">
        <v>1663</v>
      </c>
      <c r="D214" t="s">
        <v>1957</v>
      </c>
      <c r="E214" t="s">
        <v>1657</v>
      </c>
      <c r="F214" t="s">
        <v>2609</v>
      </c>
      <c r="G214" s="7" t="str">
        <f t="shared" si="3"/>
        <v>1666797715</v>
      </c>
    </row>
    <row r="215" spans="1:7" x14ac:dyDescent="0.55000000000000004">
      <c r="A215" s="9">
        <v>96</v>
      </c>
      <c r="B215" t="s">
        <v>740</v>
      </c>
      <c r="C215" t="s">
        <v>1662</v>
      </c>
      <c r="D215" t="s">
        <v>1958</v>
      </c>
      <c r="E215" t="s">
        <v>1657</v>
      </c>
      <c r="F215" t="s">
        <v>2609</v>
      </c>
      <c r="G215" s="7" t="str">
        <f t="shared" si="3"/>
        <v>1666797715</v>
      </c>
    </row>
    <row r="216" spans="1:7" x14ac:dyDescent="0.55000000000000004">
      <c r="A216" s="9">
        <v>97</v>
      </c>
      <c r="B216" t="s">
        <v>2762</v>
      </c>
      <c r="C216" t="s">
        <v>1662</v>
      </c>
      <c r="D216" t="s">
        <v>1960</v>
      </c>
      <c r="E216" t="s">
        <v>1657</v>
      </c>
      <c r="F216" t="s">
        <v>2609</v>
      </c>
      <c r="G216" s="7" t="str">
        <f t="shared" si="3"/>
        <v>1666797715</v>
      </c>
    </row>
    <row r="217" spans="1:7" x14ac:dyDescent="0.55000000000000004">
      <c r="A217" s="9">
        <v>98</v>
      </c>
      <c r="B217" t="s">
        <v>2763</v>
      </c>
      <c r="C217" t="s">
        <v>1662</v>
      </c>
      <c r="D217" t="s">
        <v>1961</v>
      </c>
      <c r="E217" t="s">
        <v>1657</v>
      </c>
      <c r="F217" t="s">
        <v>2609</v>
      </c>
      <c r="G217" s="7" t="str">
        <f t="shared" si="3"/>
        <v>1666797715</v>
      </c>
    </row>
    <row r="218" spans="1:7" x14ac:dyDescent="0.55000000000000004">
      <c r="A218" s="9">
        <v>99</v>
      </c>
      <c r="B218" t="s">
        <v>1613</v>
      </c>
      <c r="C218" t="s">
        <v>1662</v>
      </c>
      <c r="D218" t="s">
        <v>1962</v>
      </c>
      <c r="E218" t="s">
        <v>1657</v>
      </c>
      <c r="F218" t="s">
        <v>2609</v>
      </c>
      <c r="G218" s="7" t="str">
        <f t="shared" si="3"/>
        <v>1666797715</v>
      </c>
    </row>
    <row r="219" spans="1:7" x14ac:dyDescent="0.55000000000000004">
      <c r="A219" s="9">
        <v>100</v>
      </c>
      <c r="B219" t="s">
        <v>1613</v>
      </c>
      <c r="C219" t="s">
        <v>1663</v>
      </c>
      <c r="D219" t="s">
        <v>1963</v>
      </c>
      <c r="E219" t="s">
        <v>1657</v>
      </c>
      <c r="F219" t="s">
        <v>2609</v>
      </c>
      <c r="G219" s="7" t="str">
        <f t="shared" si="3"/>
        <v>1666797715</v>
      </c>
    </row>
    <row r="220" spans="1:7" x14ac:dyDescent="0.55000000000000004">
      <c r="A220" s="9">
        <v>101</v>
      </c>
      <c r="B220" t="s">
        <v>1614</v>
      </c>
      <c r="C220" t="s">
        <v>1662</v>
      </c>
      <c r="D220" t="s">
        <v>1964</v>
      </c>
      <c r="E220" t="s">
        <v>1657</v>
      </c>
      <c r="F220" t="s">
        <v>2609</v>
      </c>
      <c r="G220" s="7" t="str">
        <f t="shared" si="3"/>
        <v>1666797715</v>
      </c>
    </row>
    <row r="221" spans="1:7" x14ac:dyDescent="0.55000000000000004">
      <c r="A221" s="9">
        <v>102</v>
      </c>
      <c r="B221" t="s">
        <v>1614</v>
      </c>
      <c r="C221" t="s">
        <v>1663</v>
      </c>
      <c r="D221" t="s">
        <v>1965</v>
      </c>
      <c r="E221" t="s">
        <v>1657</v>
      </c>
      <c r="F221" t="s">
        <v>2609</v>
      </c>
      <c r="G221" s="7" t="str">
        <f t="shared" si="3"/>
        <v>1666797716</v>
      </c>
    </row>
    <row r="222" spans="1:7" x14ac:dyDescent="0.55000000000000004">
      <c r="A222" s="9">
        <v>103</v>
      </c>
      <c r="B222" t="s">
        <v>749</v>
      </c>
      <c r="C222" t="s">
        <v>1662</v>
      </c>
      <c r="D222" t="s">
        <v>1966</v>
      </c>
      <c r="E222" t="s">
        <v>1657</v>
      </c>
      <c r="F222" t="s">
        <v>2609</v>
      </c>
      <c r="G222" s="7" t="str">
        <f t="shared" si="3"/>
        <v>1666797716</v>
      </c>
    </row>
    <row r="223" spans="1:7" x14ac:dyDescent="0.55000000000000004">
      <c r="A223" s="9">
        <v>104</v>
      </c>
      <c r="B223" t="s">
        <v>1615</v>
      </c>
      <c r="C223" t="s">
        <v>1662</v>
      </c>
      <c r="D223" t="s">
        <v>1967</v>
      </c>
      <c r="E223" t="s">
        <v>1657</v>
      </c>
      <c r="F223" t="s">
        <v>2609</v>
      </c>
      <c r="G223" s="7" t="str">
        <f t="shared" si="3"/>
        <v>1666797716</v>
      </c>
    </row>
    <row r="224" spans="1:7" x14ac:dyDescent="0.55000000000000004">
      <c r="A224" s="9">
        <v>105</v>
      </c>
      <c r="B224" t="s">
        <v>1615</v>
      </c>
      <c r="C224" t="s">
        <v>1663</v>
      </c>
      <c r="D224" t="s">
        <v>1968</v>
      </c>
      <c r="E224" t="s">
        <v>1657</v>
      </c>
      <c r="F224" t="s">
        <v>2609</v>
      </c>
      <c r="G224" s="7" t="str">
        <f t="shared" si="3"/>
        <v>1666797716</v>
      </c>
    </row>
    <row r="225" spans="1:7" x14ac:dyDescent="0.55000000000000004">
      <c r="A225" s="9">
        <v>106</v>
      </c>
      <c r="B225" t="s">
        <v>751</v>
      </c>
      <c r="C225" t="s">
        <v>1662</v>
      </c>
      <c r="D225" t="s">
        <v>1969</v>
      </c>
      <c r="E225" t="s">
        <v>1657</v>
      </c>
      <c r="F225" t="s">
        <v>2609</v>
      </c>
      <c r="G225" s="7" t="str">
        <f t="shared" si="3"/>
        <v>1666797716</v>
      </c>
    </row>
    <row r="226" spans="1:7" x14ac:dyDescent="0.55000000000000004">
      <c r="A226" s="9">
        <v>107</v>
      </c>
      <c r="B226" t="s">
        <v>787</v>
      </c>
      <c r="C226" t="s">
        <v>1662</v>
      </c>
      <c r="D226" t="s">
        <v>1979</v>
      </c>
      <c r="E226" t="s">
        <v>1657</v>
      </c>
      <c r="F226" t="s">
        <v>2609</v>
      </c>
      <c r="G226" s="7" t="str">
        <f t="shared" si="3"/>
        <v>1666797718</v>
      </c>
    </row>
    <row r="227" spans="1:7" x14ac:dyDescent="0.55000000000000004">
      <c r="A227" s="9">
        <v>108</v>
      </c>
      <c r="B227" t="s">
        <v>2773</v>
      </c>
      <c r="C227" t="s">
        <v>1662</v>
      </c>
      <c r="D227" t="s">
        <v>1984</v>
      </c>
      <c r="E227" t="s">
        <v>1657</v>
      </c>
      <c r="F227" t="s">
        <v>2609</v>
      </c>
      <c r="G227" s="7" t="str">
        <f t="shared" si="3"/>
        <v>1666797718</v>
      </c>
    </row>
    <row r="228" spans="1:7" x14ac:dyDescent="0.55000000000000004">
      <c r="A228" s="9">
        <v>109</v>
      </c>
      <c r="B228" t="s">
        <v>2774</v>
      </c>
      <c r="C228" t="s">
        <v>1662</v>
      </c>
      <c r="D228" t="s">
        <v>1985</v>
      </c>
      <c r="E228" t="s">
        <v>1657</v>
      </c>
      <c r="F228" t="s">
        <v>2609</v>
      </c>
      <c r="G228" s="7" t="str">
        <f t="shared" si="3"/>
        <v>1666797718</v>
      </c>
    </row>
    <row r="229" spans="1:7" x14ac:dyDescent="0.55000000000000004">
      <c r="A229" s="9">
        <v>112</v>
      </c>
      <c r="B229" t="s">
        <v>809</v>
      </c>
      <c r="C229" t="s">
        <v>1663</v>
      </c>
      <c r="D229" t="s">
        <v>1988</v>
      </c>
      <c r="E229" t="s">
        <v>1657</v>
      </c>
      <c r="F229" t="s">
        <v>2609</v>
      </c>
      <c r="G229" s="7" t="str">
        <f t="shared" si="3"/>
        <v>1666797719</v>
      </c>
    </row>
    <row r="230" spans="1:7" x14ac:dyDescent="0.55000000000000004">
      <c r="A230" s="9">
        <v>113</v>
      </c>
      <c r="B230" t="s">
        <v>811</v>
      </c>
      <c r="C230" t="s">
        <v>1662</v>
      </c>
      <c r="D230" t="s">
        <v>1989</v>
      </c>
      <c r="E230" t="s">
        <v>1657</v>
      </c>
      <c r="F230" t="s">
        <v>2609</v>
      </c>
      <c r="G230" s="7" t="str">
        <f t="shared" si="3"/>
        <v>1666797719</v>
      </c>
    </row>
    <row r="231" spans="1:7" x14ac:dyDescent="0.55000000000000004">
      <c r="A231" s="9">
        <v>110</v>
      </c>
      <c r="B231" t="s">
        <v>1681</v>
      </c>
      <c r="C231" t="s">
        <v>1662</v>
      </c>
      <c r="D231" t="s">
        <v>1986</v>
      </c>
      <c r="E231" t="s">
        <v>1657</v>
      </c>
      <c r="F231" t="s">
        <v>2609</v>
      </c>
      <c r="G231" s="7" t="str">
        <f t="shared" si="3"/>
        <v>1666797719</v>
      </c>
    </row>
    <row r="232" spans="1:7" x14ac:dyDescent="0.55000000000000004">
      <c r="A232" s="9">
        <v>111</v>
      </c>
      <c r="B232" t="s">
        <v>1681</v>
      </c>
      <c r="C232" t="s">
        <v>1663</v>
      </c>
      <c r="D232" t="s">
        <v>1987</v>
      </c>
      <c r="E232" t="s">
        <v>1657</v>
      </c>
      <c r="F232" t="s">
        <v>2609</v>
      </c>
      <c r="G232" s="7" t="str">
        <f t="shared" si="3"/>
        <v>1666797719</v>
      </c>
    </row>
    <row r="233" spans="1:7" x14ac:dyDescent="0.55000000000000004">
      <c r="A233" s="9">
        <v>114</v>
      </c>
      <c r="B233" t="s">
        <v>813</v>
      </c>
      <c r="C233" t="s">
        <v>1662</v>
      </c>
      <c r="D233" t="s">
        <v>1990</v>
      </c>
      <c r="E233" t="s">
        <v>1657</v>
      </c>
      <c r="F233" t="s">
        <v>2609</v>
      </c>
      <c r="G233" s="7" t="str">
        <f t="shared" si="3"/>
        <v>1666797719</v>
      </c>
    </row>
    <row r="234" spans="1:7" x14ac:dyDescent="0.55000000000000004">
      <c r="A234" s="9">
        <v>115</v>
      </c>
      <c r="B234" t="s">
        <v>821</v>
      </c>
      <c r="C234" t="s">
        <v>1662</v>
      </c>
      <c r="D234" t="s">
        <v>1995</v>
      </c>
      <c r="E234" t="s">
        <v>1657</v>
      </c>
      <c r="F234" t="s">
        <v>2609</v>
      </c>
      <c r="G234" s="7" t="str">
        <f t="shared" si="3"/>
        <v>1666797720</v>
      </c>
    </row>
    <row r="235" spans="1:7" x14ac:dyDescent="0.55000000000000004">
      <c r="A235" s="9">
        <v>116</v>
      </c>
      <c r="B235" t="s">
        <v>825</v>
      </c>
      <c r="C235" t="s">
        <v>1662</v>
      </c>
      <c r="D235" t="s">
        <v>1996</v>
      </c>
      <c r="E235" t="s">
        <v>1657</v>
      </c>
      <c r="F235" t="s">
        <v>2609</v>
      </c>
      <c r="G235" s="7" t="str">
        <f t="shared" si="3"/>
        <v>1666797741</v>
      </c>
    </row>
    <row r="236" spans="1:7" x14ac:dyDescent="0.55000000000000004">
      <c r="A236" s="9">
        <v>117</v>
      </c>
      <c r="B236" t="s">
        <v>827</v>
      </c>
      <c r="C236" t="s">
        <v>1662</v>
      </c>
      <c r="D236" t="s">
        <v>1997</v>
      </c>
      <c r="E236" t="s">
        <v>1657</v>
      </c>
      <c r="F236" t="s">
        <v>2609</v>
      </c>
      <c r="G236" s="7" t="str">
        <f t="shared" si="3"/>
        <v>1666797742</v>
      </c>
    </row>
    <row r="237" spans="1:7" x14ac:dyDescent="0.55000000000000004">
      <c r="A237" s="9">
        <v>118</v>
      </c>
      <c r="B237" t="s">
        <v>829</v>
      </c>
      <c r="C237" t="s">
        <v>1662</v>
      </c>
      <c r="D237" t="s">
        <v>1998</v>
      </c>
      <c r="E237" t="s">
        <v>1657</v>
      </c>
      <c r="F237" t="s">
        <v>2609</v>
      </c>
      <c r="G237" s="7" t="str">
        <f t="shared" si="3"/>
        <v>1666797742</v>
      </c>
    </row>
    <row r="238" spans="1:7" x14ac:dyDescent="0.55000000000000004">
      <c r="A238" s="9">
        <v>119</v>
      </c>
      <c r="B238" t="s">
        <v>923</v>
      </c>
      <c r="C238" t="s">
        <v>1662</v>
      </c>
      <c r="D238" t="s">
        <v>2031</v>
      </c>
      <c r="E238" t="s">
        <v>1657</v>
      </c>
      <c r="F238" t="s">
        <v>2609</v>
      </c>
      <c r="G238" s="7" t="str">
        <f t="shared" si="3"/>
        <v>1666797746</v>
      </c>
    </row>
    <row r="239" spans="1:7" x14ac:dyDescent="0.55000000000000004">
      <c r="A239" s="9">
        <v>120</v>
      </c>
      <c r="B239" t="s">
        <v>925</v>
      </c>
      <c r="C239" t="s">
        <v>1662</v>
      </c>
      <c r="D239" t="s">
        <v>2032</v>
      </c>
      <c r="E239" t="s">
        <v>1657</v>
      </c>
      <c r="F239" t="s">
        <v>2609</v>
      </c>
      <c r="G239" s="7" t="str">
        <f t="shared" si="3"/>
        <v>1666797746</v>
      </c>
    </row>
    <row r="240" spans="1:7" x14ac:dyDescent="0.55000000000000004">
      <c r="A240" s="9">
        <v>121</v>
      </c>
      <c r="B240" t="s">
        <v>2794</v>
      </c>
      <c r="C240" t="s">
        <v>1662</v>
      </c>
      <c r="D240" t="s">
        <v>2040</v>
      </c>
      <c r="E240" t="s">
        <v>1657</v>
      </c>
      <c r="F240" t="s">
        <v>2609</v>
      </c>
      <c r="G240" s="7" t="str">
        <f t="shared" si="3"/>
        <v>1666797747</v>
      </c>
    </row>
    <row r="241" spans="1:7" x14ac:dyDescent="0.55000000000000004">
      <c r="A241" s="9">
        <v>122</v>
      </c>
      <c r="B241" t="s">
        <v>2795</v>
      </c>
      <c r="C241" t="s">
        <v>1662</v>
      </c>
      <c r="D241" t="s">
        <v>2041</v>
      </c>
      <c r="E241" t="s">
        <v>1657</v>
      </c>
      <c r="F241" t="s">
        <v>2609</v>
      </c>
      <c r="G241" s="7" t="str">
        <f t="shared" si="3"/>
        <v>1666797748</v>
      </c>
    </row>
    <row r="242" spans="1:7" x14ac:dyDescent="0.55000000000000004">
      <c r="A242" s="9">
        <v>123</v>
      </c>
      <c r="B242" t="s">
        <v>950</v>
      </c>
      <c r="C242" t="s">
        <v>1662</v>
      </c>
      <c r="D242" t="s">
        <v>2042</v>
      </c>
      <c r="E242" t="s">
        <v>1657</v>
      </c>
      <c r="F242" t="s">
        <v>2609</v>
      </c>
      <c r="G242" s="7" t="str">
        <f t="shared" si="3"/>
        <v>1666797748</v>
      </c>
    </row>
    <row r="243" spans="1:7" x14ac:dyDescent="0.55000000000000004">
      <c r="A243" s="9">
        <v>124</v>
      </c>
      <c r="B243" t="s">
        <v>976</v>
      </c>
      <c r="C243" t="s">
        <v>1662</v>
      </c>
      <c r="D243" t="s">
        <v>2051</v>
      </c>
      <c r="E243" t="s">
        <v>1657</v>
      </c>
      <c r="F243" t="s">
        <v>2609</v>
      </c>
      <c r="G243" s="7" t="str">
        <f t="shared" si="3"/>
        <v>1666797749</v>
      </c>
    </row>
    <row r="244" spans="1:7" x14ac:dyDescent="0.55000000000000004">
      <c r="A244" s="9">
        <v>125</v>
      </c>
      <c r="B244" t="s">
        <v>1011</v>
      </c>
      <c r="C244" t="s">
        <v>1662</v>
      </c>
      <c r="D244" t="s">
        <v>2054</v>
      </c>
      <c r="E244" t="s">
        <v>1657</v>
      </c>
      <c r="F244" t="s">
        <v>2609</v>
      </c>
      <c r="G244" s="7" t="str">
        <f t="shared" si="3"/>
        <v>1666797749</v>
      </c>
    </row>
    <row r="245" spans="1:7" x14ac:dyDescent="0.55000000000000004">
      <c r="A245" s="9">
        <v>126</v>
      </c>
      <c r="B245" t="s">
        <v>1023</v>
      </c>
      <c r="C245" t="s">
        <v>1662</v>
      </c>
      <c r="D245" t="s">
        <v>2056</v>
      </c>
      <c r="E245" t="s">
        <v>1657</v>
      </c>
      <c r="F245" t="s">
        <v>2609</v>
      </c>
      <c r="G245" s="7" t="str">
        <f t="shared" si="3"/>
        <v>1666797750</v>
      </c>
    </row>
    <row r="246" spans="1:7" x14ac:dyDescent="0.55000000000000004">
      <c r="A246" s="9">
        <v>127</v>
      </c>
      <c r="B246" t="s">
        <v>1082</v>
      </c>
      <c r="C246" t="s">
        <v>1662</v>
      </c>
      <c r="D246" t="s">
        <v>2073</v>
      </c>
      <c r="E246" t="s">
        <v>1657</v>
      </c>
      <c r="F246" t="s">
        <v>2609</v>
      </c>
      <c r="G246" s="7" t="str">
        <f t="shared" si="3"/>
        <v>1666797752</v>
      </c>
    </row>
    <row r="247" spans="1:7" x14ac:dyDescent="0.55000000000000004">
      <c r="A247" s="9">
        <v>128</v>
      </c>
      <c r="B247" t="s">
        <v>1104</v>
      </c>
      <c r="C247" t="s">
        <v>1662</v>
      </c>
      <c r="D247" t="s">
        <v>2077</v>
      </c>
      <c r="E247" t="s">
        <v>1657</v>
      </c>
      <c r="F247" t="s">
        <v>2609</v>
      </c>
      <c r="G247" s="7" t="str">
        <f t="shared" si="3"/>
        <v>1666797753</v>
      </c>
    </row>
    <row r="248" spans="1:7" x14ac:dyDescent="0.55000000000000004">
      <c r="A248" s="9">
        <v>129</v>
      </c>
      <c r="B248" t="s">
        <v>1104</v>
      </c>
      <c r="C248" t="s">
        <v>1663</v>
      </c>
      <c r="D248" t="s">
        <v>2078</v>
      </c>
      <c r="E248" t="s">
        <v>1657</v>
      </c>
      <c r="F248" t="s">
        <v>2609</v>
      </c>
      <c r="G248" s="7" t="str">
        <f t="shared" si="3"/>
        <v>1666797753</v>
      </c>
    </row>
    <row r="249" spans="1:7" x14ac:dyDescent="0.55000000000000004">
      <c r="A249" s="9">
        <v>130</v>
      </c>
      <c r="B249" t="s">
        <v>1113</v>
      </c>
      <c r="C249" t="s">
        <v>1662</v>
      </c>
      <c r="D249" t="s">
        <v>2083</v>
      </c>
      <c r="E249" t="s">
        <v>1657</v>
      </c>
      <c r="F249" t="s">
        <v>2609</v>
      </c>
      <c r="G249" s="7" t="str">
        <f t="shared" si="3"/>
        <v>1666797754</v>
      </c>
    </row>
    <row r="250" spans="1:7" x14ac:dyDescent="0.55000000000000004">
      <c r="A250" s="9">
        <v>132</v>
      </c>
      <c r="B250" t="s">
        <v>1247</v>
      </c>
      <c r="C250" t="s">
        <v>1662</v>
      </c>
      <c r="D250" t="s">
        <v>2127</v>
      </c>
      <c r="E250" t="s">
        <v>1657</v>
      </c>
      <c r="F250" t="s">
        <v>2609</v>
      </c>
      <c r="G250" s="7" t="str">
        <f t="shared" si="3"/>
        <v>1666797758</v>
      </c>
    </row>
    <row r="251" spans="1:7" x14ac:dyDescent="0.55000000000000004">
      <c r="A251" s="9">
        <v>131</v>
      </c>
      <c r="B251" t="s">
        <v>1245</v>
      </c>
      <c r="C251" t="s">
        <v>1662</v>
      </c>
      <c r="D251" t="s">
        <v>2126</v>
      </c>
      <c r="E251" t="s">
        <v>1657</v>
      </c>
      <c r="F251" t="s">
        <v>2609</v>
      </c>
      <c r="G251" s="7" t="str">
        <f t="shared" si="3"/>
        <v>1666797758</v>
      </c>
    </row>
    <row r="252" spans="1:7" x14ac:dyDescent="0.55000000000000004">
      <c r="A252" s="9">
        <v>133</v>
      </c>
      <c r="B252" t="s">
        <v>1251</v>
      </c>
      <c r="C252" t="s">
        <v>1662</v>
      </c>
      <c r="D252" t="s">
        <v>2128</v>
      </c>
      <c r="E252" t="s">
        <v>1657</v>
      </c>
      <c r="F252" t="s">
        <v>2609</v>
      </c>
      <c r="G252" s="7" t="str">
        <f t="shared" si="3"/>
        <v>1666797758</v>
      </c>
    </row>
    <row r="253" spans="1:7" x14ac:dyDescent="0.55000000000000004">
      <c r="A253" s="9">
        <v>134</v>
      </c>
      <c r="B253" t="s">
        <v>1265</v>
      </c>
      <c r="C253" t="s">
        <v>1662</v>
      </c>
      <c r="D253" t="s">
        <v>2131</v>
      </c>
      <c r="E253" t="s">
        <v>1657</v>
      </c>
      <c r="F253" t="s">
        <v>2609</v>
      </c>
      <c r="G253" s="7" t="str">
        <f t="shared" si="3"/>
        <v>1666797759</v>
      </c>
    </row>
    <row r="254" spans="1:7" x14ac:dyDescent="0.55000000000000004">
      <c r="A254" s="9">
        <v>135</v>
      </c>
      <c r="B254" t="s">
        <v>1303</v>
      </c>
      <c r="C254" t="s">
        <v>1662</v>
      </c>
      <c r="D254" t="s">
        <v>2142</v>
      </c>
      <c r="E254" t="s">
        <v>1657</v>
      </c>
      <c r="F254" t="s">
        <v>2609</v>
      </c>
      <c r="G254" s="7" t="str">
        <f t="shared" si="3"/>
        <v>1666797760</v>
      </c>
    </row>
    <row r="255" spans="1:7" x14ac:dyDescent="0.55000000000000004">
      <c r="A255" s="9">
        <v>136</v>
      </c>
      <c r="B255" t="s">
        <v>1316</v>
      </c>
      <c r="C255" t="s">
        <v>1662</v>
      </c>
      <c r="D255" t="s">
        <v>2147</v>
      </c>
      <c r="E255" t="s">
        <v>1657</v>
      </c>
      <c r="F255" t="s">
        <v>2609</v>
      </c>
      <c r="G255" s="7" t="str">
        <f t="shared" si="3"/>
        <v>1666797761</v>
      </c>
    </row>
    <row r="256" spans="1:7" x14ac:dyDescent="0.55000000000000004">
      <c r="A256" s="9">
        <v>137</v>
      </c>
      <c r="B256" t="s">
        <v>1320</v>
      </c>
      <c r="C256" t="s">
        <v>1662</v>
      </c>
      <c r="D256" t="s">
        <v>2149</v>
      </c>
      <c r="E256" t="s">
        <v>1657</v>
      </c>
      <c r="F256" t="s">
        <v>2609</v>
      </c>
      <c r="G256" s="7" t="str">
        <f t="shared" si="3"/>
        <v>1666797762</v>
      </c>
    </row>
    <row r="257" spans="1:7" x14ac:dyDescent="0.55000000000000004">
      <c r="A257" s="9">
        <v>138</v>
      </c>
      <c r="B257" t="s">
        <v>2833</v>
      </c>
      <c r="C257" t="s">
        <v>1662</v>
      </c>
      <c r="D257" t="s">
        <v>2150</v>
      </c>
      <c r="E257" t="s">
        <v>1657</v>
      </c>
      <c r="F257" t="s">
        <v>2609</v>
      </c>
      <c r="G257" s="7" t="str">
        <f t="shared" si="3"/>
        <v>1666797762</v>
      </c>
    </row>
    <row r="258" spans="1:7" x14ac:dyDescent="0.55000000000000004">
      <c r="A258" s="9">
        <v>139</v>
      </c>
      <c r="B258" t="s">
        <v>2834</v>
      </c>
      <c r="C258" t="s">
        <v>1662</v>
      </c>
      <c r="D258" t="s">
        <v>2151</v>
      </c>
      <c r="E258" t="s">
        <v>1657</v>
      </c>
      <c r="F258" t="s">
        <v>2609</v>
      </c>
      <c r="G258" s="7" t="str">
        <f t="shared" si="3"/>
        <v>1666797762</v>
      </c>
    </row>
  </sheetData>
  <autoFilter ref="A1:G258" xr:uid="{0EE7727C-B130-420C-82E7-A84E82B23BED}">
    <sortState xmlns:xlrd2="http://schemas.microsoft.com/office/spreadsheetml/2017/richdata2" ref="A2:G258">
      <sortCondition ref="G2:G258"/>
      <sortCondition ref="B2:B258"/>
      <sortCondition ref="A2:A258"/>
    </sortState>
  </autoFilter>
  <hyperlinks>
    <hyperlink ref="I2" r:id="rId1" xr:uid="{8B48C6D0-6603-4773-8263-8A081486CD6F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15C02-65AE-4EE9-9823-C05B77E99718}">
  <sheetPr filterMode="1"/>
  <dimension ref="A1:I604"/>
  <sheetViews>
    <sheetView workbookViewId="0">
      <selection activeCell="B608" sqref="B608"/>
    </sheetView>
  </sheetViews>
  <sheetFormatPr defaultRowHeight="14.4" x14ac:dyDescent="0.55000000000000004"/>
  <cols>
    <col min="2" max="2" width="21.734375" customWidth="1"/>
    <col min="4" max="4" width="49.5234375" customWidth="1"/>
    <col min="6" max="6" width="10.3671875" customWidth="1"/>
    <col min="7" max="7" width="10.68359375" bestFit="1" customWidth="1"/>
  </cols>
  <sheetData>
    <row r="1" spans="1:9" x14ac:dyDescent="0.55000000000000004">
      <c r="A1" t="s">
        <v>3086</v>
      </c>
      <c r="B1" t="s">
        <v>3087</v>
      </c>
      <c r="C1" t="s">
        <v>3088</v>
      </c>
      <c r="D1" t="s">
        <v>3089</v>
      </c>
      <c r="E1" t="s">
        <v>3090</v>
      </c>
      <c r="F1" t="s">
        <v>3091</v>
      </c>
      <c r="G1" t="s">
        <v>3001</v>
      </c>
      <c r="I1" t="s">
        <v>4760</v>
      </c>
    </row>
    <row r="2" spans="1:9" hidden="1" x14ac:dyDescent="0.55000000000000004">
      <c r="A2">
        <v>1075</v>
      </c>
      <c r="B2" t="s">
        <v>3092</v>
      </c>
      <c r="C2" t="s">
        <v>3093</v>
      </c>
      <c r="D2" t="s">
        <v>3094</v>
      </c>
      <c r="E2" t="s">
        <v>3095</v>
      </c>
      <c r="F2" t="s">
        <v>3096</v>
      </c>
      <c r="G2" t="e">
        <f>MID(D2,
FIND("1st.skey=",D2,1)+9,10)</f>
        <v>#VALUE!</v>
      </c>
      <c r="H2" t="str">
        <f t="shared" ref="H2" si="0">LEFT(D2,
FIND("?",D2,1))</f>
        <v>https://stream.rcs.revma.com/0kv9v43t87zuv?</v>
      </c>
      <c r="I2" t="e">
        <f t="shared" ref="I2" si="1">H2&amp;"aw_0_1st.skey="&amp;G2&amp;"&amp;aw_0_1st.playerid=BMUK_ukrp"</f>
        <v>#VALUE!</v>
      </c>
    </row>
    <row r="3" spans="1:9" hidden="1" x14ac:dyDescent="0.55000000000000004">
      <c r="A3">
        <v>1436</v>
      </c>
      <c r="B3" t="s">
        <v>27</v>
      </c>
      <c r="C3" t="s">
        <v>3093</v>
      </c>
      <c r="D3" t="s">
        <v>3097</v>
      </c>
      <c r="E3" t="s">
        <v>3098</v>
      </c>
      <c r="F3" t="s">
        <v>3099</v>
      </c>
      <c r="G3" t="e">
        <f t="shared" ref="G3:G66" si="2">MID(D3,
FIND("1st.skey=",D3,1)+9,10)</f>
        <v>#VALUE!</v>
      </c>
      <c r="H3" t="str">
        <f t="shared" ref="H3:H66" si="3">LEFT(D3,
FIND("?",D3,1))</f>
        <v>http://92.27.32.159:8400/45Radio?</v>
      </c>
      <c r="I3" t="e">
        <f t="shared" ref="I3:I66" si="4">H3&amp;"aw_0_1st.skey="&amp;G3&amp;"&amp;aw_0_1st.playerid=BMUK_ukrp"</f>
        <v>#VALUE!</v>
      </c>
    </row>
    <row r="4" spans="1:9" hidden="1" x14ac:dyDescent="0.55000000000000004">
      <c r="A4">
        <v>1469</v>
      </c>
      <c r="B4" t="s">
        <v>30</v>
      </c>
      <c r="C4" t="s">
        <v>3093</v>
      </c>
      <c r="D4" t="s">
        <v>3100</v>
      </c>
      <c r="E4" t="s">
        <v>3101</v>
      </c>
      <c r="F4" t="s">
        <v>3102</v>
      </c>
      <c r="G4" t="e">
        <f t="shared" si="2"/>
        <v>#VALUE!</v>
      </c>
      <c r="H4" t="str">
        <f t="shared" si="3"/>
        <v>https://stream.mybroadbandradio.com/80srhythm/?</v>
      </c>
      <c r="I4" t="e">
        <f t="shared" si="4"/>
        <v>#VALUE!</v>
      </c>
    </row>
    <row r="5" spans="1:9" hidden="1" x14ac:dyDescent="0.55000000000000004">
      <c r="A5">
        <v>1549</v>
      </c>
      <c r="B5" t="s">
        <v>3103</v>
      </c>
      <c r="C5" t="s">
        <v>3093</v>
      </c>
      <c r="D5" t="s">
        <v>3104</v>
      </c>
      <c r="E5" t="s">
        <v>3105</v>
      </c>
      <c r="F5" t="s">
        <v>3106</v>
      </c>
      <c r="G5" t="e">
        <f t="shared" si="2"/>
        <v>#VALUE!</v>
      </c>
      <c r="H5" t="str">
        <f t="shared" si="3"/>
        <v>http://stream3.hippynet.co.uk:8008/stream?</v>
      </c>
      <c r="I5" t="e">
        <f t="shared" si="4"/>
        <v>#VALUE!</v>
      </c>
    </row>
    <row r="6" spans="1:9" hidden="1" x14ac:dyDescent="0.55000000000000004">
      <c r="A6">
        <v>1549</v>
      </c>
      <c r="B6" t="s">
        <v>3103</v>
      </c>
      <c r="C6" t="s">
        <v>3093</v>
      </c>
      <c r="D6" t="s">
        <v>3107</v>
      </c>
      <c r="E6" t="s">
        <v>3105</v>
      </c>
      <c r="F6" t="s">
        <v>3106</v>
      </c>
      <c r="G6" t="e">
        <f t="shared" si="2"/>
        <v>#VALUE!</v>
      </c>
      <c r="H6" t="str">
        <f t="shared" si="3"/>
        <v>http://185.80.221.113:8610/stream?</v>
      </c>
      <c r="I6" t="e">
        <f t="shared" si="4"/>
        <v>#VALUE!</v>
      </c>
    </row>
    <row r="7" spans="1:9" hidden="1" x14ac:dyDescent="0.55000000000000004">
      <c r="A7">
        <v>1549</v>
      </c>
      <c r="B7" t="s">
        <v>3103</v>
      </c>
      <c r="C7" t="s">
        <v>3093</v>
      </c>
      <c r="D7" t="s">
        <v>3108</v>
      </c>
      <c r="E7" t="s">
        <v>3105</v>
      </c>
      <c r="F7" t="s">
        <v>3106</v>
      </c>
      <c r="G7" t="e">
        <f t="shared" si="2"/>
        <v>#VALUE!</v>
      </c>
      <c r="H7" t="str">
        <f t="shared" si="3"/>
        <v>http://stream3.hippynet.co.uk:8008/stream?</v>
      </c>
      <c r="I7" t="e">
        <f t="shared" si="4"/>
        <v>#VALUE!</v>
      </c>
    </row>
    <row r="8" spans="1:9" hidden="1" x14ac:dyDescent="0.55000000000000004">
      <c r="A8">
        <v>105</v>
      </c>
      <c r="B8" t="s">
        <v>50</v>
      </c>
      <c r="C8" t="s">
        <v>3093</v>
      </c>
      <c r="D8" t="s">
        <v>3109</v>
      </c>
      <c r="E8" t="s">
        <v>3110</v>
      </c>
      <c r="F8" t="s">
        <v>3111</v>
      </c>
      <c r="G8" t="str">
        <f t="shared" si="2"/>
        <v>1667145883</v>
      </c>
      <c r="H8" t="str">
        <f t="shared" si="3"/>
        <v>https://stream-ar.planetradio.co.uk/absolute10shigh.aac?</v>
      </c>
      <c r="I8" t="str">
        <f t="shared" si="4"/>
        <v>https://stream-ar.planetradio.co.uk/absolute10shigh.aac?aw_0_1st.skey=1667145883&amp;aw_0_1st.playerid=BMUK_ukrp</v>
      </c>
    </row>
    <row r="9" spans="1:9" hidden="1" x14ac:dyDescent="0.55000000000000004">
      <c r="A9">
        <v>104</v>
      </c>
      <c r="B9" t="s">
        <v>34</v>
      </c>
      <c r="C9" t="s">
        <v>3093</v>
      </c>
      <c r="D9" t="s">
        <v>3112</v>
      </c>
      <c r="E9" t="s">
        <v>3113</v>
      </c>
      <c r="F9" t="s">
        <v>3114</v>
      </c>
      <c r="G9" t="str">
        <f t="shared" si="2"/>
        <v>1667145885</v>
      </c>
      <c r="H9" t="str">
        <f t="shared" si="3"/>
        <v>https://stream-ar.planetradio.co.uk/absoluteclassicrockhigh.aac?</v>
      </c>
      <c r="I9" t="str">
        <f t="shared" si="4"/>
        <v>https://stream-ar.planetradio.co.uk/absoluteclassicrockhigh.aac?aw_0_1st.skey=1667145885&amp;aw_0_1st.playerid=BMUK_ukrp</v>
      </c>
    </row>
    <row r="10" spans="1:9" hidden="1" x14ac:dyDescent="0.55000000000000004">
      <c r="A10">
        <v>107</v>
      </c>
      <c r="B10" t="s">
        <v>52</v>
      </c>
      <c r="C10" t="s">
        <v>3093</v>
      </c>
      <c r="D10" t="s">
        <v>3115</v>
      </c>
      <c r="E10" t="s">
        <v>3116</v>
      </c>
      <c r="F10" t="s">
        <v>3117</v>
      </c>
      <c r="G10" t="str">
        <f t="shared" si="2"/>
        <v>1667145887</v>
      </c>
      <c r="H10" t="str">
        <f t="shared" si="3"/>
        <v>https://stream-ar.planetradio.co.uk/absolutecountryhigh.aac?</v>
      </c>
      <c r="I10" t="str">
        <f t="shared" si="4"/>
        <v>https://stream-ar.planetradio.co.uk/absolutecountryhigh.aac?aw_0_1st.skey=1667145887&amp;aw_0_1st.playerid=BMUK_ukrp</v>
      </c>
    </row>
    <row r="11" spans="1:9" hidden="1" x14ac:dyDescent="0.55000000000000004">
      <c r="A11">
        <v>101</v>
      </c>
      <c r="B11" t="s">
        <v>44</v>
      </c>
      <c r="C11" t="s">
        <v>3093</v>
      </c>
      <c r="D11" t="s">
        <v>3118</v>
      </c>
      <c r="E11" t="s">
        <v>3119</v>
      </c>
      <c r="F11" t="s">
        <v>3120</v>
      </c>
      <c r="G11" t="str">
        <f t="shared" si="2"/>
        <v>1667145889</v>
      </c>
      <c r="H11" t="str">
        <f t="shared" si="3"/>
        <v>https://stream-ar.planetradio.co.uk/absolute80shigh.aac?</v>
      </c>
      <c r="I11" t="str">
        <f t="shared" si="4"/>
        <v>https://stream-ar.planetradio.co.uk/absolute80shigh.aac?aw_0_1st.skey=1667145889&amp;aw_0_1st.playerid=BMUK_ukrp</v>
      </c>
    </row>
    <row r="12" spans="1:9" hidden="1" x14ac:dyDescent="0.55000000000000004">
      <c r="A12">
        <v>100</v>
      </c>
      <c r="B12" t="s">
        <v>38</v>
      </c>
      <c r="C12" t="s">
        <v>3093</v>
      </c>
      <c r="D12" t="s">
        <v>3121</v>
      </c>
      <c r="E12" t="s">
        <v>3122</v>
      </c>
      <c r="F12" t="s">
        <v>3123</v>
      </c>
      <c r="G12" t="str">
        <f t="shared" si="2"/>
        <v>1667145893</v>
      </c>
      <c r="H12" t="str">
        <f t="shared" si="3"/>
        <v>https://stream-ar.planetradio.co.uk/absoluteradiohigh.aac?</v>
      </c>
      <c r="I12" t="str">
        <f t="shared" si="4"/>
        <v>https://stream-ar.planetradio.co.uk/absoluteradiohigh.aac?aw_0_1st.skey=1667145893&amp;aw_0_1st.playerid=BMUK_ukrp</v>
      </c>
    </row>
    <row r="13" spans="1:9" hidden="1" x14ac:dyDescent="0.55000000000000004">
      <c r="A13">
        <v>1187</v>
      </c>
      <c r="B13" t="s">
        <v>40</v>
      </c>
      <c r="C13" t="s">
        <v>3093</v>
      </c>
      <c r="D13" t="s">
        <v>3124</v>
      </c>
      <c r="E13" t="s">
        <v>3125</v>
      </c>
      <c r="F13" t="s">
        <v>3126</v>
      </c>
      <c r="G13" t="str">
        <f t="shared" si="2"/>
        <v>1667145895</v>
      </c>
      <c r="H13" t="str">
        <f t="shared" si="3"/>
        <v>https://stream-ar.planetradio.co.uk/absolute60shigh.aac?</v>
      </c>
      <c r="I13" t="str">
        <f t="shared" si="4"/>
        <v>https://stream-ar.planetradio.co.uk/absolute60shigh.aac?aw_0_1st.skey=1667145895&amp;aw_0_1st.playerid=BMUK_ukrp</v>
      </c>
    </row>
    <row r="14" spans="1:9" hidden="1" x14ac:dyDescent="0.55000000000000004">
      <c r="A14">
        <v>106</v>
      </c>
      <c r="B14" t="s">
        <v>1545</v>
      </c>
      <c r="C14" t="s">
        <v>3093</v>
      </c>
      <c r="D14" t="s">
        <v>3127</v>
      </c>
      <c r="E14" t="s">
        <v>3128</v>
      </c>
      <c r="F14" t="s">
        <v>3129</v>
      </c>
      <c r="G14" t="str">
        <f t="shared" si="2"/>
        <v>1667145897</v>
      </c>
      <c r="H14" t="str">
        <f t="shared" si="3"/>
        <v>https://stream-mz.planetradio.co.uk/webcast3high.aac?</v>
      </c>
      <c r="I14" t="str">
        <f t="shared" si="4"/>
        <v>https://stream-mz.planetradio.co.uk/webcast3high.aac?aw_0_1st.skey=1667145897&amp;aw_0_1st.playerid=BMUK_ukrp</v>
      </c>
    </row>
    <row r="15" spans="1:9" hidden="1" x14ac:dyDescent="0.55000000000000004">
      <c r="A15">
        <v>1188</v>
      </c>
      <c r="B15" t="s">
        <v>42</v>
      </c>
      <c r="C15" t="s">
        <v>3093</v>
      </c>
      <c r="D15" t="s">
        <v>3130</v>
      </c>
      <c r="E15" t="s">
        <v>3131</v>
      </c>
      <c r="F15" t="s">
        <v>3132</v>
      </c>
      <c r="G15" t="str">
        <f t="shared" si="2"/>
        <v>1667145900</v>
      </c>
      <c r="H15" t="str">
        <f t="shared" si="3"/>
        <v>https://stream-ar.planetradio.co.uk/absolute70shigh.aac?</v>
      </c>
      <c r="I15" t="str">
        <f t="shared" si="4"/>
        <v>https://stream-ar.planetradio.co.uk/absolute70shigh.aac?aw_0_1st.skey=1667145900&amp;aw_0_1st.playerid=BMUK_ukrp</v>
      </c>
    </row>
    <row r="16" spans="1:9" hidden="1" x14ac:dyDescent="0.55000000000000004">
      <c r="A16">
        <v>103</v>
      </c>
      <c r="B16" t="s">
        <v>48</v>
      </c>
      <c r="C16" t="s">
        <v>3093</v>
      </c>
      <c r="D16" t="s">
        <v>3133</v>
      </c>
      <c r="E16" t="s">
        <v>3134</v>
      </c>
      <c r="F16" t="s">
        <v>3135</v>
      </c>
      <c r="G16" t="str">
        <f t="shared" si="2"/>
        <v>1667145902</v>
      </c>
      <c r="H16" t="str">
        <f t="shared" si="3"/>
        <v>https://stream-ar.planetradio.co.uk/absolute00shigh.aac?</v>
      </c>
      <c r="I16" t="str">
        <f t="shared" si="4"/>
        <v>https://stream-ar.planetradio.co.uk/absolute00shigh.aac?aw_0_1st.skey=1667145902&amp;aw_0_1st.playerid=BMUK_ukrp</v>
      </c>
    </row>
    <row r="17" spans="1:9" hidden="1" x14ac:dyDescent="0.55000000000000004">
      <c r="A17">
        <v>1505</v>
      </c>
      <c r="B17" t="s">
        <v>54</v>
      </c>
      <c r="C17" t="s">
        <v>3093</v>
      </c>
      <c r="D17" t="s">
        <v>3136</v>
      </c>
      <c r="E17" t="s">
        <v>3137</v>
      </c>
      <c r="F17" t="s">
        <v>3138</v>
      </c>
      <c r="G17" t="e">
        <f t="shared" si="2"/>
        <v>#VALUE!</v>
      </c>
      <c r="H17" t="str">
        <f t="shared" si="3"/>
        <v>https://securestreams.autopo.st:1174/stream?</v>
      </c>
      <c r="I17" t="e">
        <f t="shared" si="4"/>
        <v>#VALUE!</v>
      </c>
    </row>
    <row r="18" spans="1:9" hidden="1" x14ac:dyDescent="0.55000000000000004">
      <c r="A18">
        <v>1290</v>
      </c>
      <c r="B18" t="s">
        <v>3139</v>
      </c>
      <c r="C18" t="s">
        <v>3093</v>
      </c>
      <c r="D18" t="s">
        <v>3140</v>
      </c>
      <c r="E18" t="s">
        <v>3141</v>
      </c>
      <c r="F18" t="s">
        <v>3142</v>
      </c>
      <c r="G18" t="e">
        <f t="shared" si="2"/>
        <v>#VALUE!</v>
      </c>
      <c r="H18" t="str">
        <f t="shared" si="3"/>
        <v>https://stream.air1072.com/web?</v>
      </c>
      <c r="I18" t="e">
        <f t="shared" si="4"/>
        <v>#VALUE!</v>
      </c>
    </row>
    <row r="19" spans="1:9" hidden="1" x14ac:dyDescent="0.55000000000000004">
      <c r="A19">
        <v>1290</v>
      </c>
      <c r="B19" t="s">
        <v>3139</v>
      </c>
      <c r="C19" t="s">
        <v>3093</v>
      </c>
      <c r="D19" t="s">
        <v>3143</v>
      </c>
      <c r="E19" t="s">
        <v>3141</v>
      </c>
      <c r="F19" t="s">
        <v>3142</v>
      </c>
      <c r="G19" t="e">
        <f t="shared" si="2"/>
        <v>#VALUE!</v>
      </c>
      <c r="H19" t="str">
        <f t="shared" si="3"/>
        <v>https://stream.air1072.com/mobile?</v>
      </c>
      <c r="I19" t="e">
        <f t="shared" si="4"/>
        <v>#VALUE!</v>
      </c>
    </row>
    <row r="20" spans="1:9" hidden="1" x14ac:dyDescent="0.55000000000000004">
      <c r="A20">
        <v>1290</v>
      </c>
      <c r="B20" t="s">
        <v>3139</v>
      </c>
      <c r="C20" t="s">
        <v>3093</v>
      </c>
      <c r="D20" t="s">
        <v>3144</v>
      </c>
      <c r="E20" t="s">
        <v>3141</v>
      </c>
      <c r="F20" t="s">
        <v>3142</v>
      </c>
      <c r="G20" t="e">
        <f t="shared" si="2"/>
        <v>#VALUE!</v>
      </c>
      <c r="H20" t="str">
        <f t="shared" si="3"/>
        <v>https://stream.air1072.com/high?</v>
      </c>
      <c r="I20" t="e">
        <f t="shared" si="4"/>
        <v>#VALUE!</v>
      </c>
    </row>
    <row r="21" spans="1:9" hidden="1" x14ac:dyDescent="0.55000000000000004">
      <c r="A21">
        <v>1290</v>
      </c>
      <c r="B21" t="s">
        <v>3139</v>
      </c>
      <c r="C21" t="s">
        <v>3093</v>
      </c>
      <c r="D21" t="s">
        <v>3145</v>
      </c>
      <c r="E21" t="s">
        <v>3141</v>
      </c>
      <c r="F21" t="s">
        <v>3142</v>
      </c>
      <c r="G21" t="e">
        <f t="shared" si="2"/>
        <v>#VALUE!</v>
      </c>
      <c r="H21" t="str">
        <f t="shared" si="3"/>
        <v>https://stream.air1072.com/web?</v>
      </c>
      <c r="I21" t="e">
        <f t="shared" si="4"/>
        <v>#VALUE!</v>
      </c>
    </row>
    <row r="22" spans="1:9" hidden="1" x14ac:dyDescent="0.55000000000000004">
      <c r="A22">
        <v>1552</v>
      </c>
      <c r="B22" t="s">
        <v>3146</v>
      </c>
      <c r="C22" t="s">
        <v>3093</v>
      </c>
      <c r="D22" t="s">
        <v>3147</v>
      </c>
      <c r="E22" t="s">
        <v>3148</v>
      </c>
      <c r="F22" t="s">
        <v>3149</v>
      </c>
      <c r="G22" t="e">
        <f t="shared" si="2"/>
        <v>#VALUE!</v>
      </c>
      <c r="H22" t="str">
        <f t="shared" si="3"/>
        <v>https://stream2.hippynet.co.uk/stream/8204?</v>
      </c>
      <c r="I22" t="e">
        <f t="shared" si="4"/>
        <v>#VALUE!</v>
      </c>
    </row>
    <row r="23" spans="1:9" hidden="1" x14ac:dyDescent="0.55000000000000004">
      <c r="A23">
        <v>1552</v>
      </c>
      <c r="B23" t="s">
        <v>3146</v>
      </c>
      <c r="C23" t="s">
        <v>3093</v>
      </c>
      <c r="D23" t="s">
        <v>3150</v>
      </c>
      <c r="E23" t="s">
        <v>3148</v>
      </c>
      <c r="F23" t="s">
        <v>3149</v>
      </c>
      <c r="G23" t="e">
        <f t="shared" si="2"/>
        <v>#VALUE!</v>
      </c>
      <c r="H23" t="str">
        <f t="shared" si="3"/>
        <v>https://stream2.hippynet.co.uk/stream/8204?</v>
      </c>
      <c r="I23" t="e">
        <f t="shared" si="4"/>
        <v>#VALUE!</v>
      </c>
    </row>
    <row r="24" spans="1:9" hidden="1" x14ac:dyDescent="0.55000000000000004">
      <c r="A24">
        <v>1095</v>
      </c>
      <c r="B24" t="s">
        <v>3151</v>
      </c>
      <c r="C24" t="s">
        <v>3093</v>
      </c>
      <c r="D24" t="s">
        <v>3152</v>
      </c>
      <c r="E24" t="s">
        <v>3153</v>
      </c>
      <c r="F24" t="s">
        <v>3154</v>
      </c>
      <c r="G24" t="e">
        <f t="shared" si="2"/>
        <v>#VALUE!</v>
      </c>
      <c r="H24" t="str">
        <f t="shared" si="3"/>
        <v>http://92.27.32.159:8400/live?</v>
      </c>
      <c r="I24" t="e">
        <f t="shared" si="4"/>
        <v>#VALUE!</v>
      </c>
    </row>
    <row r="25" spans="1:9" hidden="1" x14ac:dyDescent="0.55000000000000004">
      <c r="A25">
        <v>1437</v>
      </c>
      <c r="B25" t="s">
        <v>3155</v>
      </c>
      <c r="C25" t="s">
        <v>3093</v>
      </c>
      <c r="D25" t="s">
        <v>3156</v>
      </c>
      <c r="E25" t="s">
        <v>3157</v>
      </c>
      <c r="F25" t="s">
        <v>3158</v>
      </c>
      <c r="G25" t="e">
        <f t="shared" si="2"/>
        <v>#VALUE!</v>
      </c>
      <c r="H25" t="str">
        <f t="shared" si="3"/>
        <v>https://securestreams5.autopo.st:1965?</v>
      </c>
      <c r="I25" t="e">
        <f t="shared" si="4"/>
        <v>#VALUE!</v>
      </c>
    </row>
    <row r="26" spans="1:9" hidden="1" x14ac:dyDescent="0.55000000000000004">
      <c r="A26">
        <v>1307</v>
      </c>
      <c r="B26" t="s">
        <v>61</v>
      </c>
      <c r="C26" t="s">
        <v>3093</v>
      </c>
      <c r="D26" t="s">
        <v>3159</v>
      </c>
      <c r="E26" t="s">
        <v>3160</v>
      </c>
      <c r="F26" t="s">
        <v>3161</v>
      </c>
      <c r="G26" t="e">
        <f t="shared" si="2"/>
        <v>#VALUE!</v>
      </c>
      <c r="H26" t="str">
        <f t="shared" si="3"/>
        <v>https://edge.clrmedia.co.uk/angel_hb?</v>
      </c>
      <c r="I26" t="e">
        <f t="shared" si="4"/>
        <v>#VALUE!</v>
      </c>
    </row>
    <row r="27" spans="1:9" hidden="1" x14ac:dyDescent="0.55000000000000004">
      <c r="A27">
        <v>1307</v>
      </c>
      <c r="B27" t="s">
        <v>61</v>
      </c>
      <c r="C27" t="s">
        <v>3093</v>
      </c>
      <c r="D27" t="s">
        <v>3162</v>
      </c>
      <c r="E27" t="s">
        <v>3160</v>
      </c>
      <c r="F27" t="s">
        <v>3161</v>
      </c>
      <c r="G27" t="e">
        <f t="shared" si="2"/>
        <v>#VALUE!</v>
      </c>
      <c r="H27" t="str">
        <f t="shared" si="3"/>
        <v>https://edge.clrmedia.co.uk/angel_lb?</v>
      </c>
      <c r="I27" t="e">
        <f t="shared" si="4"/>
        <v>#VALUE!</v>
      </c>
    </row>
    <row r="28" spans="1:9" hidden="1" x14ac:dyDescent="0.55000000000000004">
      <c r="A28">
        <v>1307</v>
      </c>
      <c r="B28" t="s">
        <v>61</v>
      </c>
      <c r="C28" t="s">
        <v>3093</v>
      </c>
      <c r="D28" t="s">
        <v>3163</v>
      </c>
      <c r="E28" t="s">
        <v>3160</v>
      </c>
      <c r="F28" t="s">
        <v>3161</v>
      </c>
      <c r="G28" t="e">
        <f t="shared" si="2"/>
        <v>#VALUE!</v>
      </c>
      <c r="H28" t="str">
        <f t="shared" si="3"/>
        <v>https://edge.clrmedia.co.uk/angel_lb?</v>
      </c>
      <c r="I28" t="e">
        <f t="shared" si="4"/>
        <v>#VALUE!</v>
      </c>
    </row>
    <row r="29" spans="1:9" hidden="1" x14ac:dyDescent="0.55000000000000004">
      <c r="A29">
        <v>1546</v>
      </c>
      <c r="B29" t="s">
        <v>66</v>
      </c>
      <c r="C29" t="s">
        <v>3093</v>
      </c>
      <c r="D29" t="s">
        <v>3164</v>
      </c>
      <c r="E29" t="s">
        <v>3165</v>
      </c>
      <c r="F29" t="s">
        <v>3166</v>
      </c>
      <c r="G29" t="e">
        <f t="shared" si="2"/>
        <v>#VALUE!</v>
      </c>
      <c r="H29" t="str">
        <f t="shared" si="3"/>
        <v>https://arenaradio.radioca.st/stream?</v>
      </c>
      <c r="I29" t="e">
        <f t="shared" si="4"/>
        <v>#VALUE!</v>
      </c>
    </row>
    <row r="30" spans="1:9" hidden="1" x14ac:dyDescent="0.55000000000000004">
      <c r="A30">
        <v>1283</v>
      </c>
      <c r="B30" t="s">
        <v>3167</v>
      </c>
      <c r="C30" t="s">
        <v>3093</v>
      </c>
      <c r="D30" t="s">
        <v>3168</v>
      </c>
      <c r="E30" t="s">
        <v>3169</v>
      </c>
      <c r="F30" t="s">
        <v>3170</v>
      </c>
      <c r="G30" t="e">
        <f t="shared" si="2"/>
        <v>#VALUE!</v>
      </c>
      <c r="H30" t="str">
        <f t="shared" si="3"/>
        <v>https://radio.canstream.co.uk:9067/live.mp3?</v>
      </c>
      <c r="I30" t="e">
        <f t="shared" si="4"/>
        <v>#VALUE!</v>
      </c>
    </row>
    <row r="31" spans="1:9" hidden="1" x14ac:dyDescent="0.55000000000000004">
      <c r="A31">
        <v>1283</v>
      </c>
      <c r="B31" t="s">
        <v>3167</v>
      </c>
      <c r="C31" t="s">
        <v>3093</v>
      </c>
      <c r="D31" t="s">
        <v>3171</v>
      </c>
      <c r="E31" t="s">
        <v>3169</v>
      </c>
      <c r="F31" t="s">
        <v>3170</v>
      </c>
      <c r="G31" t="e">
        <f t="shared" si="2"/>
        <v>#VALUE!</v>
      </c>
      <c r="H31" t="str">
        <f t="shared" si="3"/>
        <v>https://radio.canstream.co.uk:8067/live.mp3?</v>
      </c>
      <c r="I31" t="e">
        <f t="shared" si="4"/>
        <v>#VALUE!</v>
      </c>
    </row>
    <row r="32" spans="1:9" hidden="1" x14ac:dyDescent="0.55000000000000004">
      <c r="A32">
        <v>1493</v>
      </c>
      <c r="B32" t="s">
        <v>73</v>
      </c>
      <c r="C32" t="s">
        <v>3093</v>
      </c>
      <c r="D32" t="s">
        <v>3172</v>
      </c>
      <c r="E32" t="s">
        <v>3173</v>
      </c>
      <c r="F32" t="s">
        <v>3174</v>
      </c>
      <c r="G32" t="e">
        <f t="shared" si="2"/>
        <v>#VALUE!</v>
      </c>
      <c r="H32" t="str">
        <f t="shared" si="3"/>
        <v>https://listen-awaite.sharp-stream.com/aspenwaiteprem.aac?</v>
      </c>
      <c r="I32" t="e">
        <f t="shared" si="4"/>
        <v>#VALUE!</v>
      </c>
    </row>
    <row r="33" spans="1:9" hidden="1" x14ac:dyDescent="0.55000000000000004">
      <c r="A33">
        <v>1493</v>
      </c>
      <c r="B33" t="s">
        <v>73</v>
      </c>
      <c r="C33" t="s">
        <v>3093</v>
      </c>
      <c r="D33" t="s">
        <v>3175</v>
      </c>
      <c r="E33" t="s">
        <v>3173</v>
      </c>
      <c r="F33" t="s">
        <v>3174</v>
      </c>
      <c r="G33" t="e">
        <f t="shared" si="2"/>
        <v>#VALUE!</v>
      </c>
      <c r="H33" t="str">
        <f t="shared" si="3"/>
        <v>https://listen-awaite.sharp-stream.com/aspenwaiteprem.mp3?</v>
      </c>
      <c r="I33" t="e">
        <f t="shared" si="4"/>
        <v>#VALUE!</v>
      </c>
    </row>
    <row r="34" spans="1:9" hidden="1" x14ac:dyDescent="0.55000000000000004">
      <c r="A34">
        <v>1493</v>
      </c>
      <c r="B34" t="s">
        <v>73</v>
      </c>
      <c r="C34" t="s">
        <v>3093</v>
      </c>
      <c r="D34" t="s">
        <v>3176</v>
      </c>
      <c r="E34" t="s">
        <v>3173</v>
      </c>
      <c r="F34" t="s">
        <v>3174</v>
      </c>
      <c r="G34" t="e">
        <f t="shared" si="2"/>
        <v>#VALUE!</v>
      </c>
      <c r="H34" t="str">
        <f t="shared" si="3"/>
        <v>https://listen-awaite.sharp-stream.com/aspenwaiteprem.mp3?</v>
      </c>
      <c r="I34" t="e">
        <f t="shared" si="4"/>
        <v>#VALUE!</v>
      </c>
    </row>
    <row r="35" spans="1:9" hidden="1" x14ac:dyDescent="0.55000000000000004">
      <c r="A35">
        <v>1319</v>
      </c>
      <c r="B35" t="s">
        <v>3177</v>
      </c>
      <c r="C35" t="s">
        <v>3093</v>
      </c>
      <c r="D35" t="s">
        <v>3178</v>
      </c>
      <c r="E35" t="s">
        <v>3179</v>
      </c>
      <c r="F35" t="s">
        <v>3180</v>
      </c>
      <c r="G35" t="e">
        <f t="shared" si="2"/>
        <v>#VALUE!</v>
      </c>
      <c r="H35" t="str">
        <f t="shared" si="3"/>
        <v>https://tx.sharp-stream.com/http_live.php?</v>
      </c>
      <c r="I35" t="e">
        <f t="shared" si="4"/>
        <v>#VALUE!</v>
      </c>
    </row>
    <row r="36" spans="1:9" hidden="1" x14ac:dyDescent="0.55000000000000004">
      <c r="A36">
        <v>1319</v>
      </c>
      <c r="B36" t="s">
        <v>3177</v>
      </c>
      <c r="C36" t="s">
        <v>3093</v>
      </c>
      <c r="D36" t="s">
        <v>3181</v>
      </c>
      <c r="E36" t="s">
        <v>3179</v>
      </c>
      <c r="F36" t="s">
        <v>3180</v>
      </c>
      <c r="G36" t="e">
        <f t="shared" si="2"/>
        <v>#VALUE!</v>
      </c>
      <c r="H36" t="str">
        <f t="shared" si="3"/>
        <v>https://tx.sharp-stream.com/http_live.php?</v>
      </c>
      <c r="I36" t="e">
        <f t="shared" si="4"/>
        <v>#VALUE!</v>
      </c>
    </row>
    <row r="37" spans="1:9" hidden="1" x14ac:dyDescent="0.55000000000000004">
      <c r="A37">
        <v>1319</v>
      </c>
      <c r="B37" t="s">
        <v>3177</v>
      </c>
      <c r="C37" t="s">
        <v>3093</v>
      </c>
      <c r="D37" t="s">
        <v>3182</v>
      </c>
      <c r="E37" t="s">
        <v>3179</v>
      </c>
      <c r="F37" t="s">
        <v>3180</v>
      </c>
      <c r="G37" t="e">
        <f t="shared" si="2"/>
        <v>#VALUE!</v>
      </c>
      <c r="H37" t="str">
        <f t="shared" si="3"/>
        <v>https://tx.sharp-stream.com/http_live.php?</v>
      </c>
      <c r="I37" t="e">
        <f t="shared" si="4"/>
        <v>#VALUE!</v>
      </c>
    </row>
    <row r="38" spans="1:9" hidden="1" x14ac:dyDescent="0.55000000000000004">
      <c r="A38">
        <v>1527</v>
      </c>
      <c r="B38" t="s">
        <v>3183</v>
      </c>
      <c r="C38" t="s">
        <v>3093</v>
      </c>
      <c r="D38" t="s">
        <v>3184</v>
      </c>
      <c r="E38" t="s">
        <v>3185</v>
      </c>
      <c r="F38" t="s">
        <v>3186</v>
      </c>
      <c r="G38" t="e">
        <f t="shared" si="2"/>
        <v>#VALUE!</v>
      </c>
      <c r="H38" t="str">
        <f t="shared" si="3"/>
        <v>https://stream.radiojar.com/v9srurnvty8uv?</v>
      </c>
      <c r="I38" t="e">
        <f t="shared" si="4"/>
        <v>#VALUE!</v>
      </c>
    </row>
    <row r="39" spans="1:9" hidden="1" x14ac:dyDescent="0.55000000000000004">
      <c r="A39">
        <v>1491</v>
      </c>
      <c r="B39" t="s">
        <v>3187</v>
      </c>
      <c r="C39" t="s">
        <v>3093</v>
      </c>
      <c r="D39" t="s">
        <v>3188</v>
      </c>
      <c r="E39" t="s">
        <v>3189</v>
      </c>
      <c r="F39" t="s">
        <v>3190</v>
      </c>
      <c r="G39" t="e">
        <f t="shared" si="2"/>
        <v>#VALUE!</v>
      </c>
      <c r="H39" t="str">
        <f t="shared" si="3"/>
        <v>https://stream.radiojar.com/a3z70zaqua0uv?</v>
      </c>
      <c r="I39" t="e">
        <f t="shared" si="4"/>
        <v>#VALUE!</v>
      </c>
    </row>
    <row r="40" spans="1:9" hidden="1" x14ac:dyDescent="0.55000000000000004">
      <c r="A40">
        <v>1227</v>
      </c>
      <c r="B40" t="s">
        <v>3191</v>
      </c>
      <c r="C40" t="s">
        <v>3093</v>
      </c>
      <c r="D40" t="s">
        <v>3192</v>
      </c>
      <c r="E40" t="s">
        <v>3193</v>
      </c>
      <c r="F40" t="s">
        <v>3194</v>
      </c>
      <c r="G40" t="e">
        <f t="shared" si="2"/>
        <v>#VALUE!</v>
      </c>
      <c r="H40" t="str">
        <f t="shared" si="3"/>
        <v>https://bfm-stream.lancs.ac.uk/320.mp3?</v>
      </c>
      <c r="I40" t="e">
        <f t="shared" si="4"/>
        <v>#VALUE!</v>
      </c>
    </row>
    <row r="41" spans="1:9" hidden="1" x14ac:dyDescent="0.55000000000000004">
      <c r="A41">
        <v>1227</v>
      </c>
      <c r="B41" t="s">
        <v>3191</v>
      </c>
      <c r="C41" t="s">
        <v>3093</v>
      </c>
      <c r="D41" t="s">
        <v>3195</v>
      </c>
      <c r="E41" t="s">
        <v>3193</v>
      </c>
      <c r="F41" t="s">
        <v>3194</v>
      </c>
      <c r="G41" t="e">
        <f t="shared" si="2"/>
        <v>#VALUE!</v>
      </c>
      <c r="H41" t="str">
        <f t="shared" si="3"/>
        <v>https://bfm-stream.lancs.ac.uk/128.mp3?</v>
      </c>
      <c r="I41" t="e">
        <f t="shared" si="4"/>
        <v>#VALUE!</v>
      </c>
    </row>
    <row r="42" spans="1:9" hidden="1" x14ac:dyDescent="0.55000000000000004">
      <c r="A42">
        <v>1227</v>
      </c>
      <c r="B42" t="s">
        <v>3191</v>
      </c>
      <c r="C42" t="s">
        <v>3093</v>
      </c>
      <c r="D42" t="s">
        <v>3196</v>
      </c>
      <c r="E42" t="s">
        <v>3193</v>
      </c>
      <c r="F42" t="s">
        <v>3194</v>
      </c>
      <c r="G42" t="e">
        <f t="shared" si="2"/>
        <v>#VALUE!</v>
      </c>
      <c r="H42" t="str">
        <f t="shared" si="3"/>
        <v>https://bfm-stream.lancs.ac.uk/256.mp3?</v>
      </c>
      <c r="I42" t="e">
        <f t="shared" si="4"/>
        <v>#VALUE!</v>
      </c>
    </row>
    <row r="43" spans="1:9" hidden="1" x14ac:dyDescent="0.55000000000000004">
      <c r="A43">
        <v>1227</v>
      </c>
      <c r="B43" t="s">
        <v>3191</v>
      </c>
      <c r="C43" t="s">
        <v>3093</v>
      </c>
      <c r="D43" t="s">
        <v>3197</v>
      </c>
      <c r="E43" t="s">
        <v>3193</v>
      </c>
      <c r="F43" t="s">
        <v>3194</v>
      </c>
      <c r="G43" t="e">
        <f t="shared" si="2"/>
        <v>#VALUE!</v>
      </c>
      <c r="H43" t="str">
        <f t="shared" si="3"/>
        <v>http://bfm-stream.lancs.ac.uk/mobile.mp3?</v>
      </c>
      <c r="I43" t="e">
        <f t="shared" si="4"/>
        <v>#VALUE!</v>
      </c>
    </row>
    <row r="44" spans="1:9" hidden="1" x14ac:dyDescent="0.55000000000000004">
      <c r="A44">
        <v>1563</v>
      </c>
      <c r="B44" t="s">
        <v>86</v>
      </c>
      <c r="C44" t="s">
        <v>3093</v>
      </c>
      <c r="D44" t="s">
        <v>85</v>
      </c>
      <c r="E44" t="s">
        <v>3198</v>
      </c>
      <c r="F44" t="s">
        <v>3199</v>
      </c>
      <c r="G44" t="e">
        <f t="shared" si="2"/>
        <v>#VALUE!</v>
      </c>
      <c r="H44" t="e">
        <f t="shared" si="3"/>
        <v>#VALUE!</v>
      </c>
      <c r="I44" t="e">
        <f t="shared" si="4"/>
        <v>#VALUE!</v>
      </c>
    </row>
    <row r="45" spans="1:9" hidden="1" x14ac:dyDescent="0.55000000000000004">
      <c r="A45">
        <v>1563</v>
      </c>
      <c r="B45" t="s">
        <v>86</v>
      </c>
      <c r="C45" t="s">
        <v>3093</v>
      </c>
      <c r="D45" t="s">
        <v>3200</v>
      </c>
      <c r="E45" t="s">
        <v>3198</v>
      </c>
      <c r="F45" t="s">
        <v>3199</v>
      </c>
      <c r="G45" t="e">
        <f t="shared" si="2"/>
        <v>#VALUE!</v>
      </c>
      <c r="H45" t="str">
        <f t="shared" si="3"/>
        <v>https://baytrustradio.radioca.st/stream?</v>
      </c>
      <c r="I45" t="e">
        <f t="shared" si="4"/>
        <v>#VALUE!</v>
      </c>
    </row>
    <row r="46" spans="1:9" hidden="1" x14ac:dyDescent="0.55000000000000004">
      <c r="A46">
        <v>1563</v>
      </c>
      <c r="B46" t="s">
        <v>86</v>
      </c>
      <c r="C46" t="s">
        <v>3093</v>
      </c>
      <c r="D46" t="s">
        <v>3201</v>
      </c>
      <c r="E46" t="s">
        <v>3198</v>
      </c>
      <c r="F46" t="s">
        <v>3199</v>
      </c>
      <c r="G46" t="e">
        <f t="shared" si="2"/>
        <v>#VALUE!</v>
      </c>
      <c r="H46" t="str">
        <f t="shared" si="3"/>
        <v>https://baytrustradio.radioca.st/stream2?</v>
      </c>
      <c r="I46" t="e">
        <f t="shared" si="4"/>
        <v>#VALUE!</v>
      </c>
    </row>
    <row r="47" spans="1:9" hidden="1" x14ac:dyDescent="0.55000000000000004">
      <c r="A47">
        <v>1163</v>
      </c>
      <c r="B47" t="s">
        <v>3202</v>
      </c>
      <c r="C47" t="s">
        <v>3093</v>
      </c>
      <c r="D47" t="s">
        <v>3203</v>
      </c>
      <c r="E47" t="s">
        <v>3204</v>
      </c>
      <c r="F47" t="s">
        <v>3205</v>
      </c>
      <c r="G47" t="e">
        <f t="shared" si="2"/>
        <v>#VALUE!</v>
      </c>
      <c r="H47" t="str">
        <f t="shared" si="3"/>
        <v>https://radio.canstream.co.uk:9071/live.mp3?</v>
      </c>
      <c r="I47" t="e">
        <f t="shared" si="4"/>
        <v>#VALUE!</v>
      </c>
    </row>
    <row r="48" spans="1:9" hidden="1" x14ac:dyDescent="0.55000000000000004">
      <c r="A48">
        <v>1163</v>
      </c>
      <c r="B48" t="s">
        <v>3202</v>
      </c>
      <c r="C48" t="s">
        <v>3093</v>
      </c>
      <c r="D48" t="s">
        <v>3206</v>
      </c>
      <c r="E48" t="s">
        <v>3204</v>
      </c>
      <c r="F48" t="s">
        <v>3205</v>
      </c>
      <c r="G48" t="e">
        <f t="shared" si="2"/>
        <v>#VALUE!</v>
      </c>
      <c r="H48" t="str">
        <f t="shared" si="3"/>
        <v>https://radio.canstream.co.uk:9071/live.aac?</v>
      </c>
      <c r="I48" t="e">
        <f t="shared" si="4"/>
        <v>#VALUE!</v>
      </c>
    </row>
    <row r="49" spans="1:9" hidden="1" x14ac:dyDescent="0.55000000000000004">
      <c r="A49">
        <v>1163</v>
      </c>
      <c r="B49" t="s">
        <v>3202</v>
      </c>
      <c r="C49" t="s">
        <v>3093</v>
      </c>
      <c r="D49" t="s">
        <v>3207</v>
      </c>
      <c r="E49" t="s">
        <v>3204</v>
      </c>
      <c r="F49" t="s">
        <v>3205</v>
      </c>
      <c r="G49" t="e">
        <f t="shared" si="2"/>
        <v>#VALUE!</v>
      </c>
      <c r="H49" t="str">
        <f t="shared" si="3"/>
        <v>https://radio.canstream.co.uk:9071/live.mp3?</v>
      </c>
      <c r="I49" t="e">
        <f t="shared" si="4"/>
        <v>#VALUE!</v>
      </c>
    </row>
    <row r="50" spans="1:9" hidden="1" x14ac:dyDescent="0.55000000000000004">
      <c r="A50">
        <v>1566</v>
      </c>
      <c r="B50" t="s">
        <v>219</v>
      </c>
      <c r="C50" t="s">
        <v>3093</v>
      </c>
      <c r="D50" t="s">
        <v>3208</v>
      </c>
      <c r="E50" t="s">
        <v>3209</v>
      </c>
      <c r="F50" t="s">
        <v>3210</v>
      </c>
      <c r="G50" t="e">
        <f t="shared" si="2"/>
        <v>#VALUE!</v>
      </c>
      <c r="H50" t="str">
        <f t="shared" si="3"/>
        <v>https://stream6.hippynet.co.uk/proxy/bedford/stream?</v>
      </c>
      <c r="I50" t="e">
        <f t="shared" si="4"/>
        <v>#VALUE!</v>
      </c>
    </row>
    <row r="51" spans="1:9" hidden="1" x14ac:dyDescent="0.55000000000000004">
      <c r="A51">
        <v>1543</v>
      </c>
      <c r="B51" t="s">
        <v>226</v>
      </c>
      <c r="C51" t="s">
        <v>3093</v>
      </c>
      <c r="D51" t="s">
        <v>3211</v>
      </c>
      <c r="E51" t="s">
        <v>3212</v>
      </c>
      <c r="F51" t="s">
        <v>3213</v>
      </c>
      <c r="G51" t="e">
        <f t="shared" si="2"/>
        <v>#VALUE!</v>
      </c>
      <c r="H51" t="str">
        <f t="shared" si="3"/>
        <v>https://stream.beyondradio.co.uk/radio/8000/med?</v>
      </c>
      <c r="I51" t="e">
        <f t="shared" si="4"/>
        <v>#VALUE!</v>
      </c>
    </row>
    <row r="52" spans="1:9" hidden="1" x14ac:dyDescent="0.55000000000000004">
      <c r="A52">
        <v>1151</v>
      </c>
      <c r="B52" t="s">
        <v>239</v>
      </c>
      <c r="C52" t="s">
        <v>3093</v>
      </c>
      <c r="D52" t="s">
        <v>3214</v>
      </c>
      <c r="E52" t="s">
        <v>3215</v>
      </c>
      <c r="F52" t="s">
        <v>3216</v>
      </c>
      <c r="G52" t="e">
        <f t="shared" si="2"/>
        <v>#VALUE!</v>
      </c>
      <c r="H52" t="str">
        <f t="shared" si="3"/>
        <v>https://listen-ssvcbfbs.sharp-stream.com/ssvcbfbs3.aac?</v>
      </c>
      <c r="I52" t="e">
        <f t="shared" si="4"/>
        <v>#VALUE!</v>
      </c>
    </row>
    <row r="53" spans="1:9" hidden="1" x14ac:dyDescent="0.55000000000000004">
      <c r="A53">
        <v>1151</v>
      </c>
      <c r="B53" t="s">
        <v>239</v>
      </c>
      <c r="C53" t="s">
        <v>3093</v>
      </c>
      <c r="D53" t="s">
        <v>3217</v>
      </c>
      <c r="E53" t="s">
        <v>3215</v>
      </c>
      <c r="F53" t="s">
        <v>3216</v>
      </c>
      <c r="G53" t="e">
        <f t="shared" si="2"/>
        <v>#VALUE!</v>
      </c>
      <c r="H53" t="str">
        <f t="shared" si="3"/>
        <v>http://listen-ssvcbfbs.sharp-stream.com/ssvcbfbs3.mp3?</v>
      </c>
      <c r="I53" t="e">
        <f t="shared" si="4"/>
        <v>#VALUE!</v>
      </c>
    </row>
    <row r="54" spans="1:9" hidden="1" x14ac:dyDescent="0.55000000000000004">
      <c r="A54">
        <v>1152</v>
      </c>
      <c r="B54" t="s">
        <v>3218</v>
      </c>
      <c r="C54" t="s">
        <v>3093</v>
      </c>
      <c r="D54" t="s">
        <v>3219</v>
      </c>
      <c r="E54" t="s">
        <v>3220</v>
      </c>
      <c r="F54" t="s">
        <v>3221</v>
      </c>
      <c r="G54" t="e">
        <f t="shared" si="2"/>
        <v>#VALUE!</v>
      </c>
      <c r="H54" t="str">
        <f t="shared" si="3"/>
        <v>https://listen-ssvcbfbs.sharp-stream.com/ssvcbfbs4.aac?</v>
      </c>
      <c r="I54" t="e">
        <f t="shared" si="4"/>
        <v>#VALUE!</v>
      </c>
    </row>
    <row r="55" spans="1:9" hidden="1" x14ac:dyDescent="0.55000000000000004">
      <c r="A55">
        <v>1152</v>
      </c>
      <c r="B55" t="s">
        <v>3218</v>
      </c>
      <c r="C55" t="s">
        <v>3093</v>
      </c>
      <c r="D55" t="s">
        <v>3222</v>
      </c>
      <c r="E55" t="s">
        <v>3220</v>
      </c>
      <c r="F55" t="s">
        <v>3221</v>
      </c>
      <c r="G55" t="e">
        <f t="shared" si="2"/>
        <v>#VALUE!</v>
      </c>
      <c r="H55" t="str">
        <f t="shared" si="3"/>
        <v>https://listen-ssvcbfbs.sharp-stream.com/ssvcbfbs4.mp3?</v>
      </c>
      <c r="I55" t="e">
        <f t="shared" si="4"/>
        <v>#VALUE!</v>
      </c>
    </row>
    <row r="56" spans="1:9" hidden="1" x14ac:dyDescent="0.55000000000000004">
      <c r="A56">
        <v>1091</v>
      </c>
      <c r="B56" t="s">
        <v>3223</v>
      </c>
      <c r="C56" t="s">
        <v>3093</v>
      </c>
      <c r="D56" t="s">
        <v>3224</v>
      </c>
      <c r="E56" t="s">
        <v>3225</v>
      </c>
      <c r="F56" t="s">
        <v>3226</v>
      </c>
      <c r="G56" t="e">
        <f t="shared" si="2"/>
        <v>#VALUE!</v>
      </c>
      <c r="H56" t="str">
        <f t="shared" si="3"/>
        <v>https://listen-ssvcbfbs.sharp-stream.com/ssvcbfbs1.mp3?</v>
      </c>
      <c r="I56" t="e">
        <f t="shared" si="4"/>
        <v>#VALUE!</v>
      </c>
    </row>
    <row r="57" spans="1:9" hidden="1" x14ac:dyDescent="0.55000000000000004">
      <c r="A57">
        <v>1246</v>
      </c>
      <c r="B57" t="s">
        <v>3227</v>
      </c>
      <c r="C57" t="s">
        <v>3093</v>
      </c>
      <c r="D57" t="s">
        <v>3228</v>
      </c>
      <c r="E57" t="s">
        <v>3229</v>
      </c>
      <c r="F57" t="s">
        <v>3230</v>
      </c>
      <c r="G57" t="e">
        <f t="shared" si="2"/>
        <v>#VALUE!</v>
      </c>
      <c r="H57" t="str">
        <f t="shared" si="3"/>
        <v>https://playoutonestreaming.com/proxy/bishopfm?</v>
      </c>
      <c r="I57" t="e">
        <f t="shared" si="4"/>
        <v>#VALUE!</v>
      </c>
    </row>
    <row r="58" spans="1:9" hidden="1" x14ac:dyDescent="0.55000000000000004">
      <c r="A58">
        <v>1246</v>
      </c>
      <c r="B58" t="s">
        <v>3227</v>
      </c>
      <c r="C58" t="s">
        <v>3093</v>
      </c>
      <c r="D58" t="s">
        <v>3231</v>
      </c>
      <c r="E58" t="s">
        <v>3229</v>
      </c>
      <c r="F58" t="s">
        <v>3230</v>
      </c>
      <c r="G58" t="e">
        <f t="shared" si="2"/>
        <v>#VALUE!</v>
      </c>
      <c r="H58" t="str">
        <f t="shared" si="3"/>
        <v>https://bishop.radioca.st/?</v>
      </c>
      <c r="I58" t="e">
        <f t="shared" si="4"/>
        <v>#VALUE!</v>
      </c>
    </row>
    <row r="59" spans="1:9" hidden="1" x14ac:dyDescent="0.55000000000000004">
      <c r="A59">
        <v>1246</v>
      </c>
      <c r="B59" t="s">
        <v>3227</v>
      </c>
      <c r="C59" t="s">
        <v>3093</v>
      </c>
      <c r="D59" t="s">
        <v>3232</v>
      </c>
      <c r="E59" t="s">
        <v>3229</v>
      </c>
      <c r="F59" t="s">
        <v>3230</v>
      </c>
      <c r="G59" t="e">
        <f t="shared" si="2"/>
        <v>#VALUE!</v>
      </c>
      <c r="H59" t="str">
        <f t="shared" si="3"/>
        <v>http://tachyon.shoutca.st:8792/stream?</v>
      </c>
      <c r="I59" t="e">
        <f t="shared" si="4"/>
        <v>#VALUE!</v>
      </c>
    </row>
    <row r="60" spans="1:9" hidden="1" x14ac:dyDescent="0.55000000000000004">
      <c r="A60">
        <v>1142</v>
      </c>
      <c r="B60" t="s">
        <v>1568</v>
      </c>
      <c r="C60" t="s">
        <v>3093</v>
      </c>
      <c r="D60" t="s">
        <v>3233</v>
      </c>
      <c r="E60" t="s">
        <v>3234</v>
      </c>
      <c r="F60" t="s">
        <v>3235</v>
      </c>
      <c r="G60" t="e">
        <f t="shared" si="2"/>
        <v>#VALUE!</v>
      </c>
      <c r="H60" t="str">
        <f t="shared" si="3"/>
        <v>https://listen-blackcountryradio.sharp-stream.com/blackcountryradio.mp3?</v>
      </c>
      <c r="I60" t="e">
        <f t="shared" si="4"/>
        <v>#VALUE!</v>
      </c>
    </row>
    <row r="61" spans="1:9" hidden="1" x14ac:dyDescent="0.55000000000000004">
      <c r="A61">
        <v>1179</v>
      </c>
      <c r="B61" t="s">
        <v>3236</v>
      </c>
      <c r="C61" t="s">
        <v>3093</v>
      </c>
      <c r="D61" t="s">
        <v>3237</v>
      </c>
      <c r="E61" t="s">
        <v>3238</v>
      </c>
      <c r="F61" t="s">
        <v>3239</v>
      </c>
      <c r="G61" t="e">
        <f t="shared" si="2"/>
        <v>#VALUE!</v>
      </c>
      <c r="H61" t="str">
        <f t="shared" si="3"/>
        <v>https://radio.canstream.co.uk:8083/live.mp3?</v>
      </c>
      <c r="I61" t="e">
        <f t="shared" si="4"/>
        <v>#VALUE!</v>
      </c>
    </row>
    <row r="62" spans="1:9" hidden="1" x14ac:dyDescent="0.55000000000000004">
      <c r="A62">
        <v>1179</v>
      </c>
      <c r="B62" t="s">
        <v>3236</v>
      </c>
      <c r="C62" t="s">
        <v>3093</v>
      </c>
      <c r="D62" t="s">
        <v>3240</v>
      </c>
      <c r="E62" t="s">
        <v>3238</v>
      </c>
      <c r="F62" t="s">
        <v>3239</v>
      </c>
      <c r="G62" t="e">
        <f t="shared" si="2"/>
        <v>#VALUE!</v>
      </c>
      <c r="H62" t="str">
        <f t="shared" si="3"/>
        <v>https://radio.canstream.co.uk:8083/live.mp3?</v>
      </c>
      <c r="I62" t="e">
        <f t="shared" si="4"/>
        <v>#VALUE!</v>
      </c>
    </row>
    <row r="63" spans="1:9" hidden="1" x14ac:dyDescent="0.55000000000000004">
      <c r="A63">
        <v>1562</v>
      </c>
      <c r="B63" t="s">
        <v>3241</v>
      </c>
      <c r="C63" t="s">
        <v>3093</v>
      </c>
      <c r="D63" t="s">
        <v>3242</v>
      </c>
      <c r="E63" t="s">
        <v>3243</v>
      </c>
      <c r="F63" t="s">
        <v>3244</v>
      </c>
      <c r="G63" t="e">
        <f t="shared" si="2"/>
        <v>#VALUE!</v>
      </c>
      <c r="H63" t="str">
        <f t="shared" si="3"/>
        <v>https://listen-boomradio.sharp-stream.com/65_boom_light_128_mp3?</v>
      </c>
      <c r="I63" t="e">
        <f t="shared" si="4"/>
        <v>#VALUE!</v>
      </c>
    </row>
    <row r="64" spans="1:9" hidden="1" x14ac:dyDescent="0.55000000000000004">
      <c r="A64">
        <v>1562</v>
      </c>
      <c r="B64" t="s">
        <v>3241</v>
      </c>
      <c r="C64" t="s">
        <v>3093</v>
      </c>
      <c r="D64" t="s">
        <v>3245</v>
      </c>
      <c r="E64" t="s">
        <v>3243</v>
      </c>
      <c r="F64" t="s">
        <v>3244</v>
      </c>
      <c r="G64" t="e">
        <f t="shared" si="2"/>
        <v>#VALUE!</v>
      </c>
      <c r="H64" t="str">
        <f t="shared" si="3"/>
        <v>https://listen-boomradio.sharp-stream.com/65_boom_light_256_aac?</v>
      </c>
      <c r="I64" t="e">
        <f t="shared" si="4"/>
        <v>#VALUE!</v>
      </c>
    </row>
    <row r="65" spans="1:9" hidden="1" x14ac:dyDescent="0.55000000000000004">
      <c r="A65">
        <v>1562</v>
      </c>
      <c r="B65" t="s">
        <v>3241</v>
      </c>
      <c r="C65" t="s">
        <v>3093</v>
      </c>
      <c r="D65" t="s">
        <v>3246</v>
      </c>
      <c r="E65" t="s">
        <v>3243</v>
      </c>
      <c r="F65" t="s">
        <v>3244</v>
      </c>
      <c r="G65" t="e">
        <f t="shared" si="2"/>
        <v>#VALUE!</v>
      </c>
      <c r="H65" t="str">
        <f t="shared" si="3"/>
        <v>https://listen-boomradio.sharp-stream.com/65_boom_light_128_aac?</v>
      </c>
      <c r="I65" t="e">
        <f t="shared" si="4"/>
        <v>#VALUE!</v>
      </c>
    </row>
    <row r="66" spans="1:9" hidden="1" x14ac:dyDescent="0.55000000000000004">
      <c r="A66">
        <v>1562</v>
      </c>
      <c r="B66" t="s">
        <v>3241</v>
      </c>
      <c r="C66" t="s">
        <v>3093</v>
      </c>
      <c r="D66" t="s">
        <v>3247</v>
      </c>
      <c r="E66" t="s">
        <v>3243</v>
      </c>
      <c r="F66" t="s">
        <v>3244</v>
      </c>
      <c r="G66" t="e">
        <f t="shared" si="2"/>
        <v>#VALUE!</v>
      </c>
      <c r="H66" t="str">
        <f t="shared" si="3"/>
        <v>https://listen-boomradio.sharp-stream.com/65_boom_light_64_aac?</v>
      </c>
      <c r="I66" t="e">
        <f t="shared" si="4"/>
        <v>#VALUE!</v>
      </c>
    </row>
    <row r="67" spans="1:9" hidden="1" x14ac:dyDescent="0.55000000000000004">
      <c r="A67">
        <v>1509</v>
      </c>
      <c r="B67" t="s">
        <v>1569</v>
      </c>
      <c r="C67" t="s">
        <v>3093</v>
      </c>
      <c r="D67" t="s">
        <v>3248</v>
      </c>
      <c r="E67" t="s">
        <v>3249</v>
      </c>
      <c r="F67" t="s">
        <v>3250</v>
      </c>
      <c r="G67" t="e">
        <f t="shared" ref="G67:G130" si="5">MID(D67,
FIND("1st.skey=",D67,1)+9,10)</f>
        <v>#VALUE!</v>
      </c>
      <c r="H67" t="str">
        <f t="shared" ref="H67:H130" si="6">LEFT(D67,
FIND("?",D67,1))</f>
        <v>https://listen-boomradio.sharp-stream.com/65_boom_radio_live_64?</v>
      </c>
      <c r="I67" t="e">
        <f t="shared" ref="I67:I130" si="7">H67&amp;"aw_0_1st.skey="&amp;G67&amp;"&amp;aw_0_1st.playerid=BMUK_ukrp"</f>
        <v>#VALUE!</v>
      </c>
    </row>
    <row r="68" spans="1:9" hidden="1" x14ac:dyDescent="0.55000000000000004">
      <c r="A68">
        <v>1509</v>
      </c>
      <c r="B68" t="s">
        <v>1569</v>
      </c>
      <c r="C68" t="s">
        <v>3093</v>
      </c>
      <c r="D68" t="s">
        <v>3251</v>
      </c>
      <c r="E68" t="s">
        <v>3249</v>
      </c>
      <c r="F68" t="s">
        <v>3250</v>
      </c>
      <c r="G68" t="e">
        <f t="shared" si="5"/>
        <v>#VALUE!</v>
      </c>
      <c r="H68" t="str">
        <f t="shared" si="6"/>
        <v>https://listen-boomradio.sharp-stream.com/65_boom_radio_live_128_aac?</v>
      </c>
      <c r="I68" t="e">
        <f t="shared" si="7"/>
        <v>#VALUE!</v>
      </c>
    </row>
    <row r="69" spans="1:9" hidden="1" x14ac:dyDescent="0.55000000000000004">
      <c r="A69">
        <v>1509</v>
      </c>
      <c r="B69" t="s">
        <v>1569</v>
      </c>
      <c r="C69" t="s">
        <v>3093</v>
      </c>
      <c r="D69" t="s">
        <v>3252</v>
      </c>
      <c r="E69" t="s">
        <v>3249</v>
      </c>
      <c r="F69" t="s">
        <v>3250</v>
      </c>
      <c r="G69" t="e">
        <f t="shared" si="5"/>
        <v>#VALUE!</v>
      </c>
      <c r="H69" t="str">
        <f t="shared" si="6"/>
        <v>https://listen-boomradio.sharp-stream.com/65_boom_radio_live_128?</v>
      </c>
      <c r="I69" t="e">
        <f t="shared" si="7"/>
        <v>#VALUE!</v>
      </c>
    </row>
    <row r="70" spans="1:9" hidden="1" x14ac:dyDescent="0.55000000000000004">
      <c r="A70">
        <v>1315</v>
      </c>
      <c r="B70" t="s">
        <v>3253</v>
      </c>
      <c r="C70" t="s">
        <v>3093</v>
      </c>
      <c r="D70" t="s">
        <v>3254</v>
      </c>
      <c r="E70" t="s">
        <v>3255</v>
      </c>
      <c r="F70" t="s">
        <v>3256</v>
      </c>
      <c r="G70" t="e">
        <f t="shared" si="5"/>
        <v>#VALUE!</v>
      </c>
      <c r="H70" t="str">
        <f t="shared" si="6"/>
        <v>https://443-1.reliastream.com/39/;stream.mp3?</v>
      </c>
      <c r="I70" t="e">
        <f t="shared" si="7"/>
        <v>#VALUE!</v>
      </c>
    </row>
    <row r="71" spans="1:9" hidden="1" x14ac:dyDescent="0.55000000000000004">
      <c r="A71">
        <v>1145</v>
      </c>
      <c r="B71" t="s">
        <v>3257</v>
      </c>
      <c r="C71" t="s">
        <v>3093</v>
      </c>
      <c r="D71" t="s">
        <v>3258</v>
      </c>
      <c r="E71" t="s">
        <v>3259</v>
      </c>
      <c r="F71" t="s">
        <v>3260</v>
      </c>
      <c r="G71" t="str">
        <f t="shared" si="5"/>
        <v>1667146069</v>
      </c>
      <c r="H71" t="str">
        <f t="shared" si="6"/>
        <v>https://listen-nation.sharp-stream.com/tcbay.mp3?</v>
      </c>
      <c r="I71" t="str">
        <f t="shared" si="7"/>
        <v>https://listen-nation.sharp-stream.com/tcbay.mp3?aw_0_1st.skey=1667146069&amp;aw_0_1st.playerid=BMUK_ukrp</v>
      </c>
    </row>
    <row r="72" spans="1:9" hidden="1" x14ac:dyDescent="0.55000000000000004">
      <c r="A72">
        <v>1145</v>
      </c>
      <c r="B72" t="s">
        <v>3257</v>
      </c>
      <c r="C72" t="s">
        <v>3093</v>
      </c>
      <c r="D72" t="s">
        <v>3261</v>
      </c>
      <c r="E72" t="s">
        <v>3259</v>
      </c>
      <c r="F72" t="s">
        <v>3260</v>
      </c>
      <c r="G72" t="str">
        <f t="shared" si="5"/>
        <v>1667146069</v>
      </c>
      <c r="H72" t="str">
        <f t="shared" si="6"/>
        <v>https://listen-nation.sharp-stream.com/tcbay.aac?</v>
      </c>
      <c r="I72" t="str">
        <f t="shared" si="7"/>
        <v>https://listen-nation.sharp-stream.com/tcbay.aac?aw_0_1st.skey=1667146069&amp;aw_0_1st.playerid=BMUK_ukrp</v>
      </c>
    </row>
    <row r="73" spans="1:9" hidden="1" x14ac:dyDescent="0.55000000000000004">
      <c r="A73">
        <v>1145</v>
      </c>
      <c r="B73" t="s">
        <v>3257</v>
      </c>
      <c r="C73" t="s">
        <v>3093</v>
      </c>
      <c r="D73" t="s">
        <v>3262</v>
      </c>
      <c r="E73" t="s">
        <v>3259</v>
      </c>
      <c r="F73" t="s">
        <v>3260</v>
      </c>
      <c r="G73" t="str">
        <f t="shared" si="5"/>
        <v>1667146069</v>
      </c>
      <c r="H73" t="str">
        <f t="shared" si="6"/>
        <v>https://listen-nation.sharp-stream.com/tcbay.mp3?</v>
      </c>
      <c r="I73" t="str">
        <f t="shared" si="7"/>
        <v>https://listen-nation.sharp-stream.com/tcbay.mp3?aw_0_1st.skey=1667146069&amp;aw_0_1st.playerid=BMUK_ukrp</v>
      </c>
    </row>
    <row r="74" spans="1:9" hidden="1" x14ac:dyDescent="0.55000000000000004">
      <c r="A74">
        <v>1060</v>
      </c>
      <c r="B74" t="s">
        <v>3263</v>
      </c>
      <c r="C74" t="s">
        <v>3093</v>
      </c>
      <c r="D74" t="s">
        <v>3264</v>
      </c>
      <c r="E74" t="s">
        <v>3265</v>
      </c>
      <c r="F74" t="s">
        <v>3266</v>
      </c>
      <c r="G74" t="str">
        <f t="shared" si="5"/>
        <v>1667146071</v>
      </c>
      <c r="H74" t="str">
        <f t="shared" si="6"/>
        <v>https://listen-nation.sharp-stream.com/tcbridge.aac?</v>
      </c>
      <c r="I74" t="str">
        <f t="shared" si="7"/>
        <v>https://listen-nation.sharp-stream.com/tcbridge.aac?aw_0_1st.skey=1667146071&amp;aw_0_1st.playerid=BMUK_ukrp</v>
      </c>
    </row>
    <row r="75" spans="1:9" hidden="1" x14ac:dyDescent="0.55000000000000004">
      <c r="A75">
        <v>1060</v>
      </c>
      <c r="B75" t="s">
        <v>3263</v>
      </c>
      <c r="C75" t="s">
        <v>3093</v>
      </c>
      <c r="D75" t="s">
        <v>3267</v>
      </c>
      <c r="E75" t="s">
        <v>3265</v>
      </c>
      <c r="F75" t="s">
        <v>3266</v>
      </c>
      <c r="G75" t="str">
        <f t="shared" si="5"/>
        <v>1667146071</v>
      </c>
      <c r="H75" t="str">
        <f t="shared" si="6"/>
        <v>https://listen-nation.sharp-stream.com/tcbridge.mp3?</v>
      </c>
      <c r="I75" t="str">
        <f t="shared" si="7"/>
        <v>https://listen-nation.sharp-stream.com/tcbridge.mp3?aw_0_1st.skey=1667146071&amp;aw_0_1st.playerid=BMUK_ukrp</v>
      </c>
    </row>
    <row r="76" spans="1:9" hidden="1" x14ac:dyDescent="0.55000000000000004">
      <c r="A76">
        <v>1060</v>
      </c>
      <c r="B76" t="s">
        <v>3263</v>
      </c>
      <c r="C76" t="s">
        <v>3093</v>
      </c>
      <c r="D76" t="s">
        <v>3268</v>
      </c>
      <c r="E76" t="s">
        <v>3265</v>
      </c>
      <c r="F76" t="s">
        <v>3266</v>
      </c>
      <c r="G76" t="str">
        <f t="shared" si="5"/>
        <v>1667146071</v>
      </c>
      <c r="H76" t="str">
        <f t="shared" si="6"/>
        <v>https://listen-nation.sharp-stream.com/tcbridge.mp3?</v>
      </c>
      <c r="I76" t="str">
        <f t="shared" si="7"/>
        <v>https://listen-nation.sharp-stream.com/tcbridge.mp3?aw_0_1st.skey=1667146071&amp;aw_0_1st.playerid=BMUK_ukrp</v>
      </c>
    </row>
    <row r="77" spans="1:9" hidden="1" x14ac:dyDescent="0.55000000000000004">
      <c r="A77">
        <v>1127</v>
      </c>
      <c r="B77" t="s">
        <v>3269</v>
      </c>
      <c r="C77" t="s">
        <v>3093</v>
      </c>
      <c r="D77" t="s">
        <v>3270</v>
      </c>
      <c r="E77" t="s">
        <v>3271</v>
      </c>
      <c r="F77" t="s">
        <v>3272</v>
      </c>
      <c r="G77" t="e">
        <f t="shared" si="5"/>
        <v>#VALUE!</v>
      </c>
      <c r="H77" t="str">
        <f t="shared" si="6"/>
        <v>https://streaming.broadcastradio.com:8422/brorad?</v>
      </c>
      <c r="I77" t="e">
        <f t="shared" si="7"/>
        <v>#VALUE!</v>
      </c>
    </row>
    <row r="78" spans="1:9" hidden="1" x14ac:dyDescent="0.55000000000000004">
      <c r="A78">
        <v>1127</v>
      </c>
      <c r="B78" t="s">
        <v>3269</v>
      </c>
      <c r="C78" t="s">
        <v>3093</v>
      </c>
      <c r="D78" t="s">
        <v>3273</v>
      </c>
      <c r="E78" t="s">
        <v>3271</v>
      </c>
      <c r="F78" t="s">
        <v>3272</v>
      </c>
      <c r="G78" t="e">
        <f t="shared" si="5"/>
        <v>#VALUE!</v>
      </c>
      <c r="H78" t="str">
        <f t="shared" si="6"/>
        <v>https://stream.audiospace.co/broradio?</v>
      </c>
      <c r="I78" t="e">
        <f t="shared" si="7"/>
        <v>#VALUE!</v>
      </c>
    </row>
    <row r="79" spans="1:9" hidden="1" x14ac:dyDescent="0.55000000000000004">
      <c r="A79">
        <v>1127</v>
      </c>
      <c r="B79" t="s">
        <v>3269</v>
      </c>
      <c r="C79" t="s">
        <v>3093</v>
      </c>
      <c r="D79" t="s">
        <v>3274</v>
      </c>
      <c r="E79" t="s">
        <v>3271</v>
      </c>
      <c r="F79" t="s">
        <v>3272</v>
      </c>
      <c r="G79" t="e">
        <f t="shared" si="5"/>
        <v>#VALUE!</v>
      </c>
      <c r="H79" t="str">
        <f t="shared" si="6"/>
        <v>http://streaming.broadcastradio.com:8420/brorad?</v>
      </c>
      <c r="I79" t="e">
        <f t="shared" si="7"/>
        <v>#VALUE!</v>
      </c>
    </row>
    <row r="80" spans="1:9" hidden="1" x14ac:dyDescent="0.55000000000000004">
      <c r="A80">
        <v>1297</v>
      </c>
      <c r="B80" t="s">
        <v>1571</v>
      </c>
      <c r="C80" t="s">
        <v>3093</v>
      </c>
      <c r="D80" t="s">
        <v>3275</v>
      </c>
      <c r="E80" t="s">
        <v>3276</v>
      </c>
      <c r="F80" t="s">
        <v>3277</v>
      </c>
      <c r="G80" t="e">
        <f t="shared" si="5"/>
        <v>#VALUE!</v>
      </c>
      <c r="H80" t="str">
        <f t="shared" si="6"/>
        <v>https://stream.cambridge105.co.uk:8443/105-radioplayer-low?</v>
      </c>
      <c r="I80" t="e">
        <f t="shared" si="7"/>
        <v>#VALUE!</v>
      </c>
    </row>
    <row r="81" spans="1:9" hidden="1" x14ac:dyDescent="0.55000000000000004">
      <c r="A81">
        <v>245</v>
      </c>
      <c r="B81" t="s">
        <v>3278</v>
      </c>
      <c r="C81" t="s">
        <v>3093</v>
      </c>
      <c r="D81" t="s">
        <v>3279</v>
      </c>
      <c r="E81" t="s">
        <v>3280</v>
      </c>
      <c r="F81" t="s">
        <v>3281</v>
      </c>
      <c r="G81" t="e">
        <f t="shared" si="5"/>
        <v>#VALUE!</v>
      </c>
      <c r="H81" t="str">
        <f t="shared" si="6"/>
        <v>https://media-ssl.musicradio.com/CapitalBirmingham?</v>
      </c>
      <c r="I81" t="e">
        <f t="shared" si="7"/>
        <v>#VALUE!</v>
      </c>
    </row>
    <row r="82" spans="1:9" hidden="1" x14ac:dyDescent="0.55000000000000004">
      <c r="A82">
        <v>276</v>
      </c>
      <c r="B82" t="s">
        <v>3282</v>
      </c>
      <c r="C82" t="s">
        <v>3093</v>
      </c>
      <c r="D82" t="s">
        <v>3283</v>
      </c>
      <c r="E82" t="s">
        <v>3284</v>
      </c>
      <c r="F82" t="s">
        <v>3285</v>
      </c>
      <c r="G82" t="e">
        <f t="shared" si="5"/>
        <v>#VALUE!</v>
      </c>
      <c r="H82" t="str">
        <f t="shared" si="6"/>
        <v>https://media-ssl.musicradio.com/CapitalBrighton?</v>
      </c>
      <c r="I82" t="e">
        <f t="shared" si="7"/>
        <v>#VALUE!</v>
      </c>
    </row>
    <row r="83" spans="1:9" hidden="1" x14ac:dyDescent="0.55000000000000004">
      <c r="A83">
        <v>278</v>
      </c>
      <c r="B83" t="s">
        <v>3286</v>
      </c>
      <c r="C83" t="s">
        <v>3093</v>
      </c>
      <c r="D83" t="s">
        <v>3287</v>
      </c>
      <c r="E83" t="s">
        <v>3288</v>
      </c>
      <c r="F83" t="s">
        <v>3289</v>
      </c>
      <c r="G83" t="e">
        <f t="shared" si="5"/>
        <v>#VALUE!</v>
      </c>
      <c r="H83" t="str">
        <f t="shared" si="6"/>
        <v>https://media-ssl.musicradio.com/CapitalBurnley?</v>
      </c>
      <c r="I83" t="e">
        <f t="shared" si="7"/>
        <v>#VALUE!</v>
      </c>
    </row>
    <row r="84" spans="1:9" hidden="1" x14ac:dyDescent="0.55000000000000004">
      <c r="A84">
        <v>267</v>
      </c>
      <c r="B84" t="s">
        <v>3290</v>
      </c>
      <c r="C84" t="s">
        <v>3093</v>
      </c>
      <c r="D84" t="s">
        <v>3291</v>
      </c>
      <c r="E84" t="s">
        <v>3292</v>
      </c>
      <c r="F84" t="s">
        <v>3293</v>
      </c>
      <c r="G84" t="e">
        <f t="shared" si="5"/>
        <v>#VALUE!</v>
      </c>
      <c r="H84" t="str">
        <f t="shared" si="6"/>
        <v>https://media-ssl.musicradio.com/CapitalCoventry?</v>
      </c>
      <c r="I84" t="e">
        <f t="shared" si="7"/>
        <v>#VALUE!</v>
      </c>
    </row>
    <row r="85" spans="1:9" hidden="1" x14ac:dyDescent="0.55000000000000004">
      <c r="A85">
        <v>291</v>
      </c>
      <c r="B85" t="s">
        <v>3294</v>
      </c>
      <c r="C85" t="s">
        <v>3093</v>
      </c>
      <c r="D85" t="s">
        <v>3295</v>
      </c>
      <c r="E85" t="s">
        <v>3296</v>
      </c>
      <c r="F85" t="s">
        <v>3297</v>
      </c>
      <c r="G85" t="e">
        <f t="shared" si="5"/>
        <v>#VALUE!</v>
      </c>
      <c r="H85" t="str">
        <f t="shared" si="6"/>
        <v>https://media-ssl.musicradio.com/CapitalDance?</v>
      </c>
      <c r="I85" t="e">
        <f t="shared" si="7"/>
        <v>#VALUE!</v>
      </c>
    </row>
    <row r="86" spans="1:9" hidden="1" x14ac:dyDescent="0.55000000000000004">
      <c r="A86">
        <v>238</v>
      </c>
      <c r="B86" t="s">
        <v>3298</v>
      </c>
      <c r="C86" t="s">
        <v>3093</v>
      </c>
      <c r="D86" t="s">
        <v>3299</v>
      </c>
      <c r="E86" t="s">
        <v>3300</v>
      </c>
      <c r="F86" t="s">
        <v>3301</v>
      </c>
      <c r="G86" t="e">
        <f t="shared" si="5"/>
        <v>#VALUE!</v>
      </c>
      <c r="H86" t="str">
        <f t="shared" si="6"/>
        <v>https://media-ssl.musicradio.com/CapitalDerbyshire?</v>
      </c>
      <c r="I86" t="e">
        <f t="shared" si="7"/>
        <v>#VALUE!</v>
      </c>
    </row>
    <row r="87" spans="1:9" hidden="1" x14ac:dyDescent="0.55000000000000004">
      <c r="A87">
        <v>274</v>
      </c>
      <c r="B87" t="s">
        <v>308</v>
      </c>
      <c r="C87" t="s">
        <v>3093</v>
      </c>
      <c r="D87" t="s">
        <v>3302</v>
      </c>
      <c r="E87" t="s">
        <v>3303</v>
      </c>
      <c r="F87" t="s">
        <v>3304</v>
      </c>
      <c r="G87" t="e">
        <f t="shared" si="5"/>
        <v>#VALUE!</v>
      </c>
      <c r="H87" t="str">
        <f t="shared" si="6"/>
        <v>https://media-ssl.musicradio.com/CapitalUK?</v>
      </c>
      <c r="I87" t="e">
        <f t="shared" si="7"/>
        <v>#VALUE!</v>
      </c>
    </row>
    <row r="88" spans="1:9" hidden="1" x14ac:dyDescent="0.55000000000000004">
      <c r="A88">
        <v>250</v>
      </c>
      <c r="B88" t="s">
        <v>3305</v>
      </c>
      <c r="C88" t="s">
        <v>3093</v>
      </c>
      <c r="D88" t="s">
        <v>3306</v>
      </c>
      <c r="E88" t="s">
        <v>3307</v>
      </c>
      <c r="F88" t="s">
        <v>3308</v>
      </c>
      <c r="G88" t="e">
        <f t="shared" si="5"/>
        <v>#VALUE!</v>
      </c>
      <c r="H88" t="str">
        <f t="shared" si="6"/>
        <v>https://media-ssl.musicradio.com/CapitalEdinburgh?</v>
      </c>
      <c r="I88" t="e">
        <f t="shared" si="7"/>
        <v>#VALUE!</v>
      </c>
    </row>
    <row r="89" spans="1:9" hidden="1" x14ac:dyDescent="0.55000000000000004">
      <c r="A89">
        <v>247</v>
      </c>
      <c r="B89" t="s">
        <v>3309</v>
      </c>
      <c r="C89" t="s">
        <v>3093</v>
      </c>
      <c r="D89" t="s">
        <v>3310</v>
      </c>
      <c r="E89" t="s">
        <v>3311</v>
      </c>
      <c r="F89" t="s">
        <v>3312</v>
      </c>
      <c r="G89" t="e">
        <f t="shared" si="5"/>
        <v>#VALUE!</v>
      </c>
      <c r="H89" t="str">
        <f t="shared" si="6"/>
        <v>https://media-ssl.musicradio.com/CapitalGlasgow?</v>
      </c>
      <c r="I89" t="e">
        <f t="shared" si="7"/>
        <v>#VALUE!</v>
      </c>
    </row>
    <row r="90" spans="1:9" hidden="1" x14ac:dyDescent="0.55000000000000004">
      <c r="A90">
        <v>239</v>
      </c>
      <c r="B90" t="s">
        <v>3313</v>
      </c>
      <c r="C90" t="s">
        <v>3093</v>
      </c>
      <c r="D90" t="s">
        <v>3314</v>
      </c>
      <c r="E90" t="s">
        <v>3315</v>
      </c>
      <c r="F90" t="s">
        <v>3316</v>
      </c>
      <c r="G90" t="e">
        <f t="shared" si="5"/>
        <v>#VALUE!</v>
      </c>
      <c r="H90" t="str">
        <f t="shared" si="6"/>
        <v>https://media-ssl.musicradio.com/CapitalLeicestershire?</v>
      </c>
      <c r="I90" t="e">
        <f t="shared" si="7"/>
        <v>#VALUE!</v>
      </c>
    </row>
    <row r="91" spans="1:9" hidden="1" x14ac:dyDescent="0.55000000000000004">
      <c r="A91">
        <v>275</v>
      </c>
      <c r="B91" t="s">
        <v>258</v>
      </c>
      <c r="C91" t="s">
        <v>3093</v>
      </c>
      <c r="D91" t="s">
        <v>3317</v>
      </c>
      <c r="E91" t="s">
        <v>3318</v>
      </c>
      <c r="F91" t="s">
        <v>3319</v>
      </c>
      <c r="G91" t="e">
        <f t="shared" si="5"/>
        <v>#VALUE!</v>
      </c>
      <c r="H91" t="str">
        <f t="shared" si="6"/>
        <v>https://media-ssl.musicradio.com/CapitalLiverpool?</v>
      </c>
      <c r="I91" t="e">
        <f t="shared" si="7"/>
        <v>#VALUE!</v>
      </c>
    </row>
    <row r="92" spans="1:9" hidden="1" x14ac:dyDescent="0.55000000000000004">
      <c r="A92">
        <v>237</v>
      </c>
      <c r="B92" t="s">
        <v>260</v>
      </c>
      <c r="C92" t="s">
        <v>3093</v>
      </c>
      <c r="D92" t="s">
        <v>3320</v>
      </c>
      <c r="E92" t="s">
        <v>3321</v>
      </c>
      <c r="F92" t="s">
        <v>3322</v>
      </c>
      <c r="G92" t="e">
        <f t="shared" si="5"/>
        <v>#VALUE!</v>
      </c>
      <c r="H92" t="str">
        <f t="shared" si="6"/>
        <v>https://media-ssl.musicradio.com/Capital?</v>
      </c>
      <c r="I92" t="e">
        <f t="shared" si="7"/>
        <v>#VALUE!</v>
      </c>
    </row>
    <row r="93" spans="1:9" hidden="1" x14ac:dyDescent="0.55000000000000004">
      <c r="A93">
        <v>243</v>
      </c>
      <c r="B93" t="s">
        <v>3323</v>
      </c>
      <c r="C93" t="s">
        <v>3093</v>
      </c>
      <c r="D93" t="s">
        <v>3324</v>
      </c>
      <c r="E93" t="s">
        <v>3325</v>
      </c>
      <c r="F93" t="s">
        <v>3326</v>
      </c>
      <c r="G93" t="e">
        <f t="shared" si="5"/>
        <v>#VALUE!</v>
      </c>
      <c r="H93" t="str">
        <f t="shared" si="6"/>
        <v>https://media-ssl.musicradio.com/CapitalManchester?</v>
      </c>
      <c r="I93" t="e">
        <f t="shared" si="7"/>
        <v>#VALUE!</v>
      </c>
    </row>
    <row r="94" spans="1:9" hidden="1" x14ac:dyDescent="0.55000000000000004">
      <c r="A94">
        <v>271</v>
      </c>
      <c r="B94" t="s">
        <v>3327</v>
      </c>
      <c r="C94" t="s">
        <v>3093</v>
      </c>
      <c r="D94" t="s">
        <v>3328</v>
      </c>
      <c r="E94" t="s">
        <v>3329</v>
      </c>
      <c r="F94" t="s">
        <v>3330</v>
      </c>
      <c r="G94" t="e">
        <f t="shared" si="5"/>
        <v>#VALUE!</v>
      </c>
      <c r="H94" t="str">
        <f t="shared" si="6"/>
        <v>https://media-ssl.musicradio.com/CapitalWalesCoast?</v>
      </c>
      <c r="I94" t="e">
        <f t="shared" si="7"/>
        <v>#VALUE!</v>
      </c>
    </row>
    <row r="95" spans="1:9" hidden="1" x14ac:dyDescent="0.55000000000000004">
      <c r="A95">
        <v>279</v>
      </c>
      <c r="B95" t="s">
        <v>3331</v>
      </c>
      <c r="C95" t="s">
        <v>3093</v>
      </c>
      <c r="D95" t="s">
        <v>3332</v>
      </c>
      <c r="E95" t="s">
        <v>3333</v>
      </c>
      <c r="F95" t="s">
        <v>3334</v>
      </c>
      <c r="G95" t="e">
        <f t="shared" si="5"/>
        <v>#VALUE!</v>
      </c>
      <c r="H95" t="str">
        <f t="shared" si="6"/>
        <v>https://media-ssl.musicradio.com/CapitalNorthOxfordshire?</v>
      </c>
      <c r="I95" t="e">
        <f t="shared" si="7"/>
        <v>#VALUE!</v>
      </c>
    </row>
    <row r="96" spans="1:9" hidden="1" x14ac:dyDescent="0.55000000000000004">
      <c r="A96">
        <v>270</v>
      </c>
      <c r="B96" t="s">
        <v>3335</v>
      </c>
      <c r="C96" t="s">
        <v>3093</v>
      </c>
      <c r="D96" t="s">
        <v>3336</v>
      </c>
      <c r="E96" t="s">
        <v>3337</v>
      </c>
      <c r="F96" t="s">
        <v>3338</v>
      </c>
      <c r="G96" t="e">
        <f t="shared" si="5"/>
        <v>#VALUE!</v>
      </c>
      <c r="H96" t="str">
        <f t="shared" si="6"/>
        <v>https://media-ssl.musicradio.com/CapitalCymru?</v>
      </c>
      <c r="I96" t="e">
        <f t="shared" si="7"/>
        <v>#VALUE!</v>
      </c>
    </row>
    <row r="97" spans="1:9" hidden="1" x14ac:dyDescent="0.55000000000000004">
      <c r="A97">
        <v>240</v>
      </c>
      <c r="B97" t="s">
        <v>3339</v>
      </c>
      <c r="C97" t="s">
        <v>3093</v>
      </c>
      <c r="D97" t="s">
        <v>3340</v>
      </c>
      <c r="E97" t="s">
        <v>3341</v>
      </c>
      <c r="F97" t="s">
        <v>3342</v>
      </c>
      <c r="G97" t="e">
        <f t="shared" si="5"/>
        <v>#VALUE!</v>
      </c>
      <c r="H97" t="str">
        <f t="shared" si="6"/>
        <v>https://media-ssl.musicradio.com/CapitalNottinghamshire?</v>
      </c>
      <c r="I97" t="e">
        <f t="shared" si="7"/>
        <v>#VALUE!</v>
      </c>
    </row>
    <row r="98" spans="1:9" hidden="1" x14ac:dyDescent="0.55000000000000004">
      <c r="A98">
        <v>277</v>
      </c>
      <c r="B98" t="s">
        <v>3343</v>
      </c>
      <c r="C98" t="s">
        <v>3093</v>
      </c>
      <c r="D98" t="s">
        <v>3344</v>
      </c>
      <c r="E98" t="s">
        <v>3345</v>
      </c>
      <c r="F98" t="s">
        <v>3346</v>
      </c>
      <c r="G98" t="e">
        <f t="shared" si="5"/>
        <v>#VALUE!</v>
      </c>
      <c r="H98" t="str">
        <f t="shared" si="6"/>
        <v>https://media-ssl.musicradio.com/CapitalPreston?</v>
      </c>
      <c r="I98" t="e">
        <f t="shared" si="7"/>
        <v>#VALUE!</v>
      </c>
    </row>
    <row r="99" spans="1:9" hidden="1" x14ac:dyDescent="0.55000000000000004">
      <c r="A99">
        <v>263</v>
      </c>
      <c r="B99" t="s">
        <v>3347</v>
      </c>
      <c r="C99" t="s">
        <v>3093</v>
      </c>
      <c r="D99" t="s">
        <v>3348</v>
      </c>
      <c r="E99" t="s">
        <v>3349</v>
      </c>
      <c r="F99" t="s">
        <v>3350</v>
      </c>
      <c r="G99" t="e">
        <f t="shared" si="5"/>
        <v>#VALUE!</v>
      </c>
      <c r="H99" t="str">
        <f t="shared" si="6"/>
        <v>https://media-ssl.musicradio.com/CapitalRugby?</v>
      </c>
      <c r="I99" t="e">
        <f t="shared" si="7"/>
        <v>#VALUE!</v>
      </c>
    </row>
    <row r="100" spans="1:9" hidden="1" x14ac:dyDescent="0.55000000000000004">
      <c r="A100">
        <v>246</v>
      </c>
      <c r="B100" t="s">
        <v>3351</v>
      </c>
      <c r="C100" t="s">
        <v>3093</v>
      </c>
      <c r="D100" t="s">
        <v>3352</v>
      </c>
      <c r="E100" t="s">
        <v>3353</v>
      </c>
      <c r="F100" t="s">
        <v>3354</v>
      </c>
      <c r="G100" t="e">
        <f t="shared" si="5"/>
        <v>#VALUE!</v>
      </c>
      <c r="H100" t="str">
        <f t="shared" si="6"/>
        <v>https://media-ssl.musicradio.com/CapitalSouthCoast?</v>
      </c>
      <c r="I100" t="e">
        <f t="shared" si="7"/>
        <v>#VALUE!</v>
      </c>
    </row>
    <row r="101" spans="1:9" hidden="1" x14ac:dyDescent="0.55000000000000004">
      <c r="A101">
        <v>241</v>
      </c>
      <c r="B101" t="s">
        <v>306</v>
      </c>
      <c r="C101" t="s">
        <v>3093</v>
      </c>
      <c r="D101" t="s">
        <v>3355</v>
      </c>
      <c r="E101" t="s">
        <v>3356</v>
      </c>
      <c r="F101" t="s">
        <v>3357</v>
      </c>
      <c r="G101" t="e">
        <f t="shared" si="5"/>
        <v>#VALUE!</v>
      </c>
      <c r="H101" t="str">
        <f t="shared" si="6"/>
        <v>https://media-ssl.musicradio.com/CapitalSouthWales?</v>
      </c>
      <c r="I101" t="e">
        <f t="shared" si="7"/>
        <v>#VALUE!</v>
      </c>
    </row>
    <row r="102" spans="1:9" hidden="1" x14ac:dyDescent="0.55000000000000004">
      <c r="A102">
        <v>266</v>
      </c>
      <c r="B102" t="s">
        <v>3358</v>
      </c>
      <c r="C102" t="s">
        <v>3093</v>
      </c>
      <c r="D102" t="s">
        <v>3359</v>
      </c>
      <c r="E102" t="s">
        <v>3360</v>
      </c>
      <c r="F102" t="s">
        <v>3361</v>
      </c>
      <c r="G102" t="e">
        <f t="shared" si="5"/>
        <v>#VALUE!</v>
      </c>
      <c r="H102" t="str">
        <f t="shared" si="6"/>
        <v>https://media-ssl.musicradio.com/CapitalSouthEastStaffordshire?</v>
      </c>
      <c r="I102" t="e">
        <f t="shared" si="7"/>
        <v>#VALUE!</v>
      </c>
    </row>
    <row r="103" spans="1:9" hidden="1" x14ac:dyDescent="0.55000000000000004">
      <c r="A103">
        <v>268</v>
      </c>
      <c r="B103" t="s">
        <v>3362</v>
      </c>
      <c r="C103" t="s">
        <v>3093</v>
      </c>
      <c r="D103" t="s">
        <v>3363</v>
      </c>
      <c r="E103" t="s">
        <v>3364</v>
      </c>
      <c r="F103" t="s">
        <v>3365</v>
      </c>
      <c r="G103" t="e">
        <f t="shared" si="5"/>
        <v>#VALUE!</v>
      </c>
      <c r="H103" t="str">
        <f t="shared" si="6"/>
        <v>https://media-ssl.musicradio.com/CapitalStratford?</v>
      </c>
      <c r="I103" t="e">
        <f t="shared" si="7"/>
        <v>#VALUE!</v>
      </c>
    </row>
    <row r="104" spans="1:9" hidden="1" x14ac:dyDescent="0.55000000000000004">
      <c r="A104">
        <v>244</v>
      </c>
      <c r="B104" t="s">
        <v>3366</v>
      </c>
      <c r="C104" t="s">
        <v>3093</v>
      </c>
      <c r="D104" t="s">
        <v>3367</v>
      </c>
      <c r="E104" t="s">
        <v>3368</v>
      </c>
      <c r="F104" t="s">
        <v>3369</v>
      </c>
      <c r="G104" t="e">
        <f t="shared" si="5"/>
        <v>#VALUE!</v>
      </c>
      <c r="H104" t="str">
        <f t="shared" si="6"/>
        <v>https://media-ssl.musicradio.com/CapitalTeesside?</v>
      </c>
      <c r="I104" t="e">
        <f t="shared" si="7"/>
        <v>#VALUE!</v>
      </c>
    </row>
    <row r="105" spans="1:9" hidden="1" x14ac:dyDescent="0.55000000000000004">
      <c r="A105">
        <v>249</v>
      </c>
      <c r="B105" t="s">
        <v>3370</v>
      </c>
      <c r="C105" t="s">
        <v>3093</v>
      </c>
      <c r="D105" t="s">
        <v>3371</v>
      </c>
      <c r="E105" t="s">
        <v>3372</v>
      </c>
      <c r="F105" t="s">
        <v>3373</v>
      </c>
      <c r="G105" t="e">
        <f t="shared" si="5"/>
        <v>#VALUE!</v>
      </c>
      <c r="H105" t="str">
        <f t="shared" si="6"/>
        <v>https://media-ssl.musicradio.com/CapitalTyneWear?</v>
      </c>
      <c r="I105" t="e">
        <f t="shared" si="7"/>
        <v>#VALUE!</v>
      </c>
    </row>
    <row r="106" spans="1:9" hidden="1" x14ac:dyDescent="0.55000000000000004">
      <c r="A106">
        <v>262</v>
      </c>
      <c r="B106" t="s">
        <v>3374</v>
      </c>
      <c r="C106" t="s">
        <v>3093</v>
      </c>
      <c r="D106" t="s">
        <v>3375</v>
      </c>
      <c r="E106" t="s">
        <v>3376</v>
      </c>
      <c r="F106" t="s">
        <v>3377</v>
      </c>
      <c r="G106" t="e">
        <f t="shared" si="5"/>
        <v>#VALUE!</v>
      </c>
      <c r="H106" t="str">
        <f t="shared" si="6"/>
        <v>https://media-ssl.musicradio.com/CapitalWarwick?</v>
      </c>
      <c r="I106" t="e">
        <f t="shared" si="7"/>
        <v>#VALUE!</v>
      </c>
    </row>
    <row r="107" spans="1:9" hidden="1" x14ac:dyDescent="0.55000000000000004">
      <c r="A107">
        <v>272</v>
      </c>
      <c r="B107" t="s">
        <v>3378</v>
      </c>
      <c r="C107" t="s">
        <v>3093</v>
      </c>
      <c r="D107" t="s">
        <v>3379</v>
      </c>
      <c r="E107" t="s">
        <v>3380</v>
      </c>
      <c r="F107" t="s">
        <v>3381</v>
      </c>
      <c r="G107" t="e">
        <f t="shared" si="5"/>
        <v>#VALUE!</v>
      </c>
      <c r="H107" t="str">
        <f t="shared" si="6"/>
        <v>https://media-ssl.musicradio.com/CapitalWirral?</v>
      </c>
      <c r="I107" t="e">
        <f t="shared" si="7"/>
        <v>#VALUE!</v>
      </c>
    </row>
    <row r="108" spans="1:9" hidden="1" x14ac:dyDescent="0.55000000000000004">
      <c r="A108">
        <v>273</v>
      </c>
      <c r="B108" t="s">
        <v>3382</v>
      </c>
      <c r="C108" t="s">
        <v>3093</v>
      </c>
      <c r="D108" t="s">
        <v>3383</v>
      </c>
      <c r="E108" t="s">
        <v>3384</v>
      </c>
      <c r="F108" t="s">
        <v>3385</v>
      </c>
      <c r="G108" t="e">
        <f t="shared" si="5"/>
        <v>#VALUE!</v>
      </c>
      <c r="H108" t="str">
        <f t="shared" si="6"/>
        <v>https://media-ssl.musicradio.com/CapitalWrexham?</v>
      </c>
      <c r="I108" t="e">
        <f t="shared" si="7"/>
        <v>#VALUE!</v>
      </c>
    </row>
    <row r="109" spans="1:9" hidden="1" x14ac:dyDescent="0.55000000000000004">
      <c r="A109">
        <v>1269</v>
      </c>
      <c r="B109" t="s">
        <v>316</v>
      </c>
      <c r="C109" t="s">
        <v>3093</v>
      </c>
      <c r="D109" t="s">
        <v>3386</v>
      </c>
      <c r="E109" t="s">
        <v>3387</v>
      </c>
      <c r="F109" t="s">
        <v>3388</v>
      </c>
      <c r="G109" t="e">
        <f t="shared" si="5"/>
        <v>#VALUE!</v>
      </c>
      <c r="H109" t="str">
        <f t="shared" si="6"/>
        <v>https://media-ssl.musicradio.com/CapitalXTRALondon?</v>
      </c>
      <c r="I109" t="e">
        <f t="shared" si="7"/>
        <v>#VALUE!</v>
      </c>
    </row>
    <row r="110" spans="1:9" hidden="1" x14ac:dyDescent="0.55000000000000004">
      <c r="A110">
        <v>264</v>
      </c>
      <c r="B110" t="s">
        <v>320</v>
      </c>
      <c r="C110" t="s">
        <v>3093</v>
      </c>
      <c r="D110" t="s">
        <v>3389</v>
      </c>
      <c r="E110" t="s">
        <v>3390</v>
      </c>
      <c r="F110" t="s">
        <v>3391</v>
      </c>
      <c r="G110" t="e">
        <f t="shared" si="5"/>
        <v>#VALUE!</v>
      </c>
      <c r="H110" t="str">
        <f t="shared" si="6"/>
        <v>https://media-ssl.musicradio.com/CapitalXTRAReloaded?</v>
      </c>
      <c r="I110" t="e">
        <f t="shared" si="7"/>
        <v>#VALUE!</v>
      </c>
    </row>
    <row r="111" spans="1:9" hidden="1" x14ac:dyDescent="0.55000000000000004">
      <c r="A111">
        <v>1268</v>
      </c>
      <c r="B111" t="s">
        <v>318</v>
      </c>
      <c r="C111" t="s">
        <v>3093</v>
      </c>
      <c r="D111" t="s">
        <v>3392</v>
      </c>
      <c r="E111" t="s">
        <v>3393</v>
      </c>
      <c r="F111" t="s">
        <v>3394</v>
      </c>
      <c r="G111" t="e">
        <f t="shared" si="5"/>
        <v>#VALUE!</v>
      </c>
      <c r="H111" t="str">
        <f t="shared" si="6"/>
        <v>https://media-ssl.musicradio.com/CapitalXTRANational?</v>
      </c>
      <c r="I111" t="e">
        <f t="shared" si="7"/>
        <v>#VALUE!</v>
      </c>
    </row>
    <row r="112" spans="1:9" hidden="1" x14ac:dyDescent="0.55000000000000004">
      <c r="A112">
        <v>242</v>
      </c>
      <c r="B112" t="s">
        <v>3395</v>
      </c>
      <c r="C112" t="s">
        <v>3093</v>
      </c>
      <c r="D112" t="s">
        <v>3396</v>
      </c>
      <c r="E112" t="s">
        <v>3397</v>
      </c>
      <c r="F112" t="s">
        <v>3398</v>
      </c>
      <c r="G112" t="e">
        <f t="shared" si="5"/>
        <v>#VALUE!</v>
      </c>
      <c r="H112" t="str">
        <f t="shared" si="6"/>
        <v>https://media-ssl.musicradio.com/CapitalYorkshireEast?</v>
      </c>
      <c r="I112" t="e">
        <f t="shared" si="7"/>
        <v>#VALUE!</v>
      </c>
    </row>
    <row r="113" spans="1:9" hidden="1" x14ac:dyDescent="0.55000000000000004">
      <c r="A113">
        <v>248</v>
      </c>
      <c r="B113" t="s">
        <v>3399</v>
      </c>
      <c r="C113" t="s">
        <v>3093</v>
      </c>
      <c r="D113" t="s">
        <v>3400</v>
      </c>
      <c r="E113" t="s">
        <v>3401</v>
      </c>
      <c r="F113" t="s">
        <v>3402</v>
      </c>
      <c r="G113" t="e">
        <f t="shared" si="5"/>
        <v>#VALUE!</v>
      </c>
      <c r="H113" t="str">
        <f t="shared" si="6"/>
        <v>https://media-ssl.musicradio.com/CapitalYorkshireSouthWest?</v>
      </c>
      <c r="I113" t="e">
        <f t="shared" si="7"/>
        <v>#VALUE!</v>
      </c>
    </row>
    <row r="114" spans="1:9" hidden="1" x14ac:dyDescent="0.55000000000000004">
      <c r="A114">
        <v>1146</v>
      </c>
      <c r="B114" t="s">
        <v>1013</v>
      </c>
      <c r="C114" t="s">
        <v>3093</v>
      </c>
      <c r="D114" t="s">
        <v>3403</v>
      </c>
      <c r="E114" t="s">
        <v>3404</v>
      </c>
      <c r="F114" t="s">
        <v>3405</v>
      </c>
      <c r="G114" t="str">
        <f t="shared" si="5"/>
        <v>1667146121</v>
      </c>
      <c r="H114" t="str">
        <f t="shared" si="6"/>
        <v>https://listen-nation.sharp-stream.com/tccarmarthenshire.aac?</v>
      </c>
      <c r="I114" t="str">
        <f t="shared" si="7"/>
        <v>https://listen-nation.sharp-stream.com/tccarmarthenshire.aac?aw_0_1st.skey=1667146121&amp;aw_0_1st.playerid=BMUK_ukrp</v>
      </c>
    </row>
    <row r="115" spans="1:9" hidden="1" x14ac:dyDescent="0.55000000000000004">
      <c r="A115">
        <v>1146</v>
      </c>
      <c r="B115" t="s">
        <v>1013</v>
      </c>
      <c r="C115" t="s">
        <v>3093</v>
      </c>
      <c r="D115" t="s">
        <v>3406</v>
      </c>
      <c r="E115" t="s">
        <v>3404</v>
      </c>
      <c r="F115" t="s">
        <v>3405</v>
      </c>
      <c r="G115" t="str">
        <f t="shared" si="5"/>
        <v>1667146121</v>
      </c>
      <c r="H115" t="str">
        <f t="shared" si="6"/>
        <v>https://listen-nation.sharp-stream.com/tccarmarthenshire.aac?</v>
      </c>
      <c r="I115" t="str">
        <f t="shared" si="7"/>
        <v>https://listen-nation.sharp-stream.com/tccarmarthenshire.aac?aw_0_1st.skey=1667146121&amp;aw_0_1st.playerid=BMUK_ukrp</v>
      </c>
    </row>
    <row r="116" spans="1:9" hidden="1" x14ac:dyDescent="0.55000000000000004">
      <c r="A116">
        <v>1065</v>
      </c>
      <c r="B116" t="s">
        <v>3407</v>
      </c>
      <c r="C116" t="s">
        <v>3093</v>
      </c>
      <c r="D116" t="s">
        <v>3408</v>
      </c>
      <c r="E116" t="s">
        <v>3409</v>
      </c>
      <c r="F116" t="s">
        <v>3410</v>
      </c>
      <c r="G116" t="e">
        <f t="shared" si="5"/>
        <v>#VALUE!</v>
      </c>
      <c r="H116" t="str">
        <f t="shared" si="6"/>
        <v>http://sc6.radiocaroline.net:8040/;=?</v>
      </c>
      <c r="I116" t="e">
        <f t="shared" si="7"/>
        <v>#VALUE!</v>
      </c>
    </row>
    <row r="117" spans="1:9" hidden="1" x14ac:dyDescent="0.55000000000000004">
      <c r="A117">
        <v>1065</v>
      </c>
      <c r="B117" t="s">
        <v>3407</v>
      </c>
      <c r="C117" t="s">
        <v>3093</v>
      </c>
      <c r="D117" t="s">
        <v>3411</v>
      </c>
      <c r="E117" t="s">
        <v>3409</v>
      </c>
      <c r="F117" t="s">
        <v>3410</v>
      </c>
      <c r="G117" t="e">
        <f t="shared" si="5"/>
        <v>#VALUE!</v>
      </c>
      <c r="H117" t="str">
        <f t="shared" si="6"/>
        <v>http://sc2.radiocaroline.net:8000/;=?</v>
      </c>
      <c r="I117" t="e">
        <f t="shared" si="7"/>
        <v>#VALUE!</v>
      </c>
    </row>
    <row r="118" spans="1:9" hidden="1" x14ac:dyDescent="0.55000000000000004">
      <c r="A118">
        <v>1065</v>
      </c>
      <c r="B118" t="s">
        <v>3407</v>
      </c>
      <c r="C118" t="s">
        <v>3093</v>
      </c>
      <c r="D118" t="s">
        <v>3412</v>
      </c>
      <c r="E118" t="s">
        <v>3409</v>
      </c>
      <c r="F118" t="s">
        <v>3410</v>
      </c>
      <c r="G118" t="e">
        <f t="shared" si="5"/>
        <v>#VALUE!</v>
      </c>
      <c r="H118" t="str">
        <f t="shared" si="6"/>
        <v>http://sc6.radiocaroline.net:8040?</v>
      </c>
      <c r="I118" t="e">
        <f t="shared" si="7"/>
        <v>#VALUE!</v>
      </c>
    </row>
    <row r="119" spans="1:9" hidden="1" x14ac:dyDescent="0.55000000000000004">
      <c r="A119">
        <v>1478</v>
      </c>
      <c r="B119" t="s">
        <v>324</v>
      </c>
      <c r="C119" t="s">
        <v>3093</v>
      </c>
      <c r="D119" t="s">
        <v>3413</v>
      </c>
      <c r="E119" t="s">
        <v>3414</v>
      </c>
      <c r="F119" t="s">
        <v>3415</v>
      </c>
      <c r="G119" t="e">
        <f t="shared" si="5"/>
        <v>#VALUE!</v>
      </c>
      <c r="H119" t="str">
        <f t="shared" si="6"/>
        <v>https://streaming.cdnx.co.uk/proxy/cx128mp3?</v>
      </c>
      <c r="I119" t="e">
        <f t="shared" si="7"/>
        <v>#VALUE!</v>
      </c>
    </row>
    <row r="120" spans="1:9" hidden="1" x14ac:dyDescent="0.55000000000000004">
      <c r="A120">
        <v>1102</v>
      </c>
      <c r="B120" t="s">
        <v>3416</v>
      </c>
      <c r="C120" t="s">
        <v>3093</v>
      </c>
      <c r="D120" t="s">
        <v>3417</v>
      </c>
      <c r="E120" t="s">
        <v>3418</v>
      </c>
      <c r="F120" t="s">
        <v>3419</v>
      </c>
      <c r="G120" t="e">
        <f t="shared" si="5"/>
        <v>#VALUE!</v>
      </c>
      <c r="H120" t="str">
        <f t="shared" si="6"/>
        <v>http://uksouth.streaming.broadcast.radio:11130/celtic?</v>
      </c>
      <c r="I120" t="e">
        <f t="shared" si="7"/>
        <v>#VALUE!</v>
      </c>
    </row>
    <row r="121" spans="1:9" hidden="1" x14ac:dyDescent="0.55000000000000004">
      <c r="A121">
        <v>1102</v>
      </c>
      <c r="B121" t="s">
        <v>3416</v>
      </c>
      <c r="C121" t="s">
        <v>3093</v>
      </c>
      <c r="D121" t="s">
        <v>3420</v>
      </c>
      <c r="E121" t="s">
        <v>3418</v>
      </c>
      <c r="F121" t="s">
        <v>3419</v>
      </c>
      <c r="G121" t="e">
        <f t="shared" si="5"/>
        <v>#VALUE!</v>
      </c>
      <c r="H121" t="str">
        <f t="shared" si="6"/>
        <v>https://streaming.broadcast.radio/celtic?</v>
      </c>
      <c r="I121" t="e">
        <f t="shared" si="7"/>
        <v>#VALUE!</v>
      </c>
    </row>
    <row r="122" spans="1:9" hidden="1" x14ac:dyDescent="0.55000000000000004">
      <c r="A122">
        <v>1102</v>
      </c>
      <c r="B122" t="s">
        <v>3416</v>
      </c>
      <c r="C122" t="s">
        <v>3093</v>
      </c>
      <c r="D122" t="s">
        <v>3421</v>
      </c>
      <c r="E122" t="s">
        <v>3418</v>
      </c>
      <c r="F122" t="s">
        <v>3419</v>
      </c>
      <c r="G122" t="e">
        <f t="shared" si="5"/>
        <v>#VALUE!</v>
      </c>
      <c r="H122" t="str">
        <f t="shared" si="6"/>
        <v>https://streaming.broadcastradio.com:11135/celtic?</v>
      </c>
      <c r="I122" t="e">
        <f t="shared" si="7"/>
        <v>#VALUE!</v>
      </c>
    </row>
    <row r="123" spans="1:9" hidden="1" x14ac:dyDescent="0.55000000000000004">
      <c r="A123">
        <v>1567</v>
      </c>
      <c r="B123" t="s">
        <v>3422</v>
      </c>
      <c r="C123" t="s">
        <v>3093</v>
      </c>
      <c r="D123" t="s">
        <v>3423</v>
      </c>
      <c r="E123" t="s">
        <v>3424</v>
      </c>
      <c r="F123" t="s">
        <v>3425</v>
      </c>
      <c r="G123" t="e">
        <f t="shared" si="5"/>
        <v>#VALUE!</v>
      </c>
      <c r="H123" t="str">
        <f t="shared" si="6"/>
        <v>https://stream.central.radio/listen/web/high?</v>
      </c>
      <c r="I123" t="e">
        <f t="shared" si="7"/>
        <v>#VALUE!</v>
      </c>
    </row>
    <row r="124" spans="1:9" hidden="1" x14ac:dyDescent="0.55000000000000004">
      <c r="A124">
        <v>1149</v>
      </c>
      <c r="B124" t="s">
        <v>3426</v>
      </c>
      <c r="C124" t="s">
        <v>3093</v>
      </c>
      <c r="D124" t="s">
        <v>3427</v>
      </c>
      <c r="E124" t="s">
        <v>3428</v>
      </c>
      <c r="F124" t="s">
        <v>3429</v>
      </c>
      <c r="G124" t="str">
        <f t="shared" si="5"/>
        <v>1667146138</v>
      </c>
      <c r="H124" t="str">
        <f t="shared" si="6"/>
        <v>https://listen-nation.sharp-stream.com/tcceredigion.aac?</v>
      </c>
      <c r="I124" t="str">
        <f t="shared" si="7"/>
        <v>https://listen-nation.sharp-stream.com/tcceredigion.aac?aw_0_1st.skey=1667146138&amp;aw_0_1st.playerid=BMUK_ukrp</v>
      </c>
    </row>
    <row r="125" spans="1:9" hidden="1" x14ac:dyDescent="0.55000000000000004">
      <c r="A125">
        <v>1149</v>
      </c>
      <c r="B125" t="s">
        <v>3426</v>
      </c>
      <c r="C125" t="s">
        <v>3093</v>
      </c>
      <c r="D125" t="s">
        <v>3430</v>
      </c>
      <c r="E125" t="s">
        <v>3428</v>
      </c>
      <c r="F125" t="s">
        <v>3429</v>
      </c>
      <c r="G125" t="str">
        <f t="shared" si="5"/>
        <v>1667146138</v>
      </c>
      <c r="H125" t="str">
        <f t="shared" si="6"/>
        <v>https://listen-nation.sharp-stream.com/tcceredigion.aac?</v>
      </c>
      <c r="I125" t="str">
        <f t="shared" si="7"/>
        <v>https://listen-nation.sharp-stream.com/tcceredigion.aac?aw_0_1st.skey=1667146138&amp;aw_0_1st.playerid=BMUK_ukrp</v>
      </c>
    </row>
    <row r="126" spans="1:9" hidden="1" x14ac:dyDescent="0.55000000000000004">
      <c r="A126">
        <v>557</v>
      </c>
      <c r="B126" t="s">
        <v>1572</v>
      </c>
      <c r="C126" t="s">
        <v>3093</v>
      </c>
      <c r="D126" t="s">
        <v>3431</v>
      </c>
      <c r="E126" t="s">
        <v>3432</v>
      </c>
      <c r="F126" t="s">
        <v>3433</v>
      </c>
      <c r="G126" t="str">
        <f t="shared" si="5"/>
        <v>1667146141</v>
      </c>
      <c r="H126" t="str">
        <f t="shared" si="6"/>
        <v>https://stream-al.planetradio.co.uk/cfm.aac?</v>
      </c>
      <c r="I126" t="str">
        <f t="shared" si="7"/>
        <v>https://stream-al.planetradio.co.uk/cfm.aac?aw_0_1st.skey=1667146141&amp;aw_0_1st.playerid=BMUK_ukrp</v>
      </c>
    </row>
    <row r="127" spans="1:9" hidden="1" x14ac:dyDescent="0.55000000000000004">
      <c r="A127">
        <v>1035</v>
      </c>
      <c r="B127" t="s">
        <v>336</v>
      </c>
      <c r="C127" t="s">
        <v>3093</v>
      </c>
      <c r="D127" t="s">
        <v>3434</v>
      </c>
      <c r="E127" t="s">
        <v>3435</v>
      </c>
      <c r="F127" t="s">
        <v>3436</v>
      </c>
      <c r="G127" t="e">
        <f t="shared" si="5"/>
        <v>#VALUE!</v>
      </c>
      <c r="H127" t="str">
        <f t="shared" si="6"/>
        <v>https://stream.rcs.revma.com/1b7wddebanzuv?</v>
      </c>
      <c r="I127" t="e">
        <f t="shared" si="7"/>
        <v>#VALUE!</v>
      </c>
    </row>
    <row r="128" spans="1:9" hidden="1" x14ac:dyDescent="0.55000000000000004">
      <c r="A128">
        <v>1377</v>
      </c>
      <c r="B128" t="s">
        <v>339</v>
      </c>
      <c r="C128" t="s">
        <v>3093</v>
      </c>
      <c r="D128" t="s">
        <v>3437</v>
      </c>
      <c r="E128" t="s">
        <v>3438</v>
      </c>
      <c r="F128" t="s">
        <v>3439</v>
      </c>
      <c r="G128" t="e">
        <f t="shared" si="5"/>
        <v>#VALUE!</v>
      </c>
      <c r="H128" t="str">
        <f t="shared" si="6"/>
        <v>https://listen-cheesyfm.sharp-stream.com/cheesyfm.aac?</v>
      </c>
      <c r="I128" t="e">
        <f t="shared" si="7"/>
        <v>#VALUE!</v>
      </c>
    </row>
    <row r="129" spans="1:9" hidden="1" x14ac:dyDescent="0.55000000000000004">
      <c r="A129">
        <v>1377</v>
      </c>
      <c r="B129" t="s">
        <v>339</v>
      </c>
      <c r="C129" t="s">
        <v>3093</v>
      </c>
      <c r="D129" t="s">
        <v>3440</v>
      </c>
      <c r="E129" t="s">
        <v>3438</v>
      </c>
      <c r="F129" t="s">
        <v>3439</v>
      </c>
      <c r="G129" t="e">
        <f t="shared" si="5"/>
        <v>#VALUE!</v>
      </c>
      <c r="H129" t="str">
        <f t="shared" si="6"/>
        <v>https://listen-cheesyfm.sharp-stream.com/cheesyfm.mp3?</v>
      </c>
      <c r="I129" t="e">
        <f t="shared" si="7"/>
        <v>#VALUE!</v>
      </c>
    </row>
    <row r="130" spans="1:9" hidden="1" x14ac:dyDescent="0.55000000000000004">
      <c r="A130">
        <v>1377</v>
      </c>
      <c r="B130" t="s">
        <v>339</v>
      </c>
      <c r="C130" t="s">
        <v>3093</v>
      </c>
      <c r="D130" t="s">
        <v>3441</v>
      </c>
      <c r="E130" t="s">
        <v>3438</v>
      </c>
      <c r="F130" t="s">
        <v>3439</v>
      </c>
      <c r="G130" t="e">
        <f t="shared" si="5"/>
        <v>#VALUE!</v>
      </c>
      <c r="H130" t="str">
        <f t="shared" si="6"/>
        <v>https://listen-cheesyfm.sharp-stream.com/cheesyfm.aac?</v>
      </c>
      <c r="I130" t="e">
        <f t="shared" si="7"/>
        <v>#VALUE!</v>
      </c>
    </row>
    <row r="131" spans="1:9" hidden="1" x14ac:dyDescent="0.55000000000000004">
      <c r="A131">
        <v>1320</v>
      </c>
      <c r="B131" t="s">
        <v>3442</v>
      </c>
      <c r="C131" t="s">
        <v>3093</v>
      </c>
      <c r="D131" t="s">
        <v>3443</v>
      </c>
      <c r="E131" t="s">
        <v>3444</v>
      </c>
      <c r="F131" t="s">
        <v>3445</v>
      </c>
      <c r="G131" t="e">
        <f t="shared" ref="G131:G194" si="8">MID(D131,
FIND("1st.skey=",D131,1)+9,10)</f>
        <v>#VALUE!</v>
      </c>
      <c r="H131" t="str">
        <f t="shared" ref="H131:H194" si="9">LEFT(D131,
FIND("?",D131,1))</f>
        <v>https://tx.sharp-stream.com/http_live.php?</v>
      </c>
      <c r="I131" t="e">
        <f t="shared" ref="I131:I194" si="10">H131&amp;"aw_0_1st.skey="&amp;G131&amp;"&amp;aw_0_1st.playerid=BMUK_ukrp"</f>
        <v>#VALUE!</v>
      </c>
    </row>
    <row r="132" spans="1:9" hidden="1" x14ac:dyDescent="0.55000000000000004">
      <c r="A132">
        <v>256</v>
      </c>
      <c r="B132" t="s">
        <v>3446</v>
      </c>
      <c r="C132" t="s">
        <v>3093</v>
      </c>
      <c r="D132" t="s">
        <v>3447</v>
      </c>
      <c r="E132" t="s">
        <v>3448</v>
      </c>
      <c r="F132" t="s">
        <v>3449</v>
      </c>
      <c r="G132" t="e">
        <f t="shared" si="8"/>
        <v>#VALUE!</v>
      </c>
      <c r="H132" t="str">
        <f t="shared" si="9"/>
        <v>https://media-ssl.musicradio.com/ClassicFM?</v>
      </c>
      <c r="I132" t="e">
        <f t="shared" si="10"/>
        <v>#VALUE!</v>
      </c>
    </row>
    <row r="133" spans="1:9" hidden="1" x14ac:dyDescent="0.55000000000000004">
      <c r="A133">
        <v>1521</v>
      </c>
      <c r="B133" t="s">
        <v>3450</v>
      </c>
      <c r="C133" t="s">
        <v>3093</v>
      </c>
      <c r="D133" t="s">
        <v>3451</v>
      </c>
      <c r="E133" t="s">
        <v>3452</v>
      </c>
      <c r="F133" t="s">
        <v>3453</v>
      </c>
      <c r="G133" t="e">
        <f t="shared" si="8"/>
        <v>#VALUE!</v>
      </c>
      <c r="H133" t="str">
        <f t="shared" si="9"/>
        <v>https://s3.citrus3.com:8320/stream?</v>
      </c>
      <c r="I133" t="e">
        <f t="shared" si="10"/>
        <v>#VALUE!</v>
      </c>
    </row>
    <row r="134" spans="1:9" hidden="1" x14ac:dyDescent="0.55000000000000004">
      <c r="A134">
        <v>1521</v>
      </c>
      <c r="B134" t="s">
        <v>3450</v>
      </c>
      <c r="C134" t="s">
        <v>3093</v>
      </c>
      <c r="D134" t="s">
        <v>3454</v>
      </c>
      <c r="E134" t="s">
        <v>3452</v>
      </c>
      <c r="F134" t="s">
        <v>3453</v>
      </c>
      <c r="G134" t="e">
        <f t="shared" si="8"/>
        <v>#VALUE!</v>
      </c>
      <c r="H134" t="str">
        <f t="shared" si="9"/>
        <v>https://s3.citrus3.com:8320/stream?</v>
      </c>
      <c r="I134" t="e">
        <f t="shared" si="10"/>
        <v>#VALUE!</v>
      </c>
    </row>
    <row r="135" spans="1:9" hidden="1" x14ac:dyDescent="0.55000000000000004">
      <c r="A135">
        <v>560</v>
      </c>
      <c r="B135" t="s">
        <v>347</v>
      </c>
      <c r="C135" t="s">
        <v>3093</v>
      </c>
      <c r="D135" t="s">
        <v>3455</v>
      </c>
      <c r="E135" t="s">
        <v>3456</v>
      </c>
      <c r="F135" t="s">
        <v>3457</v>
      </c>
      <c r="G135" t="str">
        <f t="shared" si="8"/>
        <v>1667146153</v>
      </c>
      <c r="H135" t="str">
        <f t="shared" si="9"/>
        <v>https://stream-al.planetradio.co.uk/clyde1.aac?</v>
      </c>
      <c r="I135" t="str">
        <f t="shared" si="10"/>
        <v>https://stream-al.planetradio.co.uk/clyde1.aac?aw_0_1st.skey=1667146153&amp;aw_0_1st.playerid=BMUK_ukrp</v>
      </c>
    </row>
    <row r="136" spans="1:9" hidden="1" x14ac:dyDescent="0.55000000000000004">
      <c r="A136">
        <v>561</v>
      </c>
      <c r="B136" t="s">
        <v>349</v>
      </c>
      <c r="C136" t="s">
        <v>3093</v>
      </c>
      <c r="D136" t="s">
        <v>3458</v>
      </c>
      <c r="E136" t="s">
        <v>3459</v>
      </c>
      <c r="F136" t="s">
        <v>3460</v>
      </c>
      <c r="G136" t="str">
        <f t="shared" si="8"/>
        <v>1667146155</v>
      </c>
      <c r="H136" t="str">
        <f t="shared" si="9"/>
        <v>https://stream-al.planetradio.co.uk/clyde2.aac?</v>
      </c>
      <c r="I136" t="str">
        <f t="shared" si="10"/>
        <v>https://stream-al.planetradio.co.uk/clyde2.aac?aw_0_1st.skey=1667146155&amp;aw_0_1st.playerid=BMUK_ukrp</v>
      </c>
    </row>
    <row r="137" spans="1:9" hidden="1" x14ac:dyDescent="0.55000000000000004">
      <c r="A137">
        <v>1554</v>
      </c>
      <c r="B137" t="s">
        <v>3461</v>
      </c>
      <c r="C137" t="s">
        <v>3093</v>
      </c>
      <c r="D137" t="s">
        <v>3462</v>
      </c>
      <c r="E137" t="s">
        <v>3463</v>
      </c>
      <c r="F137" t="s">
        <v>3464</v>
      </c>
      <c r="G137" t="e">
        <f t="shared" si="8"/>
        <v>#VALUE!</v>
      </c>
      <c r="H137" t="str">
        <f t="shared" si="9"/>
        <v>https://my.superstreaming.co.uk/8006/stream?</v>
      </c>
      <c r="I137" t="e">
        <f t="shared" si="10"/>
        <v>#VALUE!</v>
      </c>
    </row>
    <row r="138" spans="1:9" hidden="1" x14ac:dyDescent="0.55000000000000004">
      <c r="A138">
        <v>1554</v>
      </c>
      <c r="B138" t="s">
        <v>3461</v>
      </c>
      <c r="C138" t="s">
        <v>3093</v>
      </c>
      <c r="D138" t="s">
        <v>3465</v>
      </c>
      <c r="E138" t="s">
        <v>3463</v>
      </c>
      <c r="F138" t="s">
        <v>3464</v>
      </c>
      <c r="G138" t="e">
        <f t="shared" si="8"/>
        <v>#VALUE!</v>
      </c>
      <c r="H138" t="str">
        <f t="shared" si="9"/>
        <v>https://my.superstreaming.co.uk/8006/stream?</v>
      </c>
      <c r="I138" t="e">
        <f t="shared" si="10"/>
        <v>#VALUE!</v>
      </c>
    </row>
    <row r="139" spans="1:9" hidden="1" x14ac:dyDescent="0.55000000000000004">
      <c r="A139">
        <v>562</v>
      </c>
      <c r="B139" t="s">
        <v>355</v>
      </c>
      <c r="C139" t="s">
        <v>3093</v>
      </c>
      <c r="D139" t="s">
        <v>3466</v>
      </c>
      <c r="E139" t="s">
        <v>3467</v>
      </c>
      <c r="F139" t="s">
        <v>3468</v>
      </c>
      <c r="G139" t="str">
        <f t="shared" si="8"/>
        <v>1667146159</v>
      </c>
      <c r="H139" t="str">
        <f t="shared" si="9"/>
        <v>https://stream-al.planetradio.co.uk/coolfm.aac?</v>
      </c>
      <c r="I139" t="str">
        <f t="shared" si="10"/>
        <v>https://stream-al.planetradio.co.uk/coolfm.aac?aw_0_1st.skey=1667146159&amp;aw_0_1st.playerid=BMUK_ukrp</v>
      </c>
    </row>
    <row r="140" spans="1:9" hidden="1" x14ac:dyDescent="0.55000000000000004">
      <c r="A140">
        <v>1108</v>
      </c>
      <c r="B140" t="s">
        <v>3469</v>
      </c>
      <c r="C140" t="s">
        <v>3093</v>
      </c>
      <c r="D140" t="s">
        <v>3470</v>
      </c>
      <c r="E140" t="s">
        <v>3471</v>
      </c>
      <c r="F140" t="s">
        <v>3472</v>
      </c>
      <c r="G140" t="e">
        <f t="shared" si="8"/>
        <v>#VALUE!</v>
      </c>
      <c r="H140" t="str">
        <f t="shared" si="9"/>
        <v>https://stream.crossrhythms.co.uk/city/hq.mp3?</v>
      </c>
      <c r="I140" t="e">
        <f t="shared" si="10"/>
        <v>#VALUE!</v>
      </c>
    </row>
    <row r="141" spans="1:9" hidden="1" x14ac:dyDescent="0.55000000000000004">
      <c r="A141">
        <v>1108</v>
      </c>
      <c r="B141" t="s">
        <v>3469</v>
      </c>
      <c r="C141" t="s">
        <v>3093</v>
      </c>
      <c r="D141" t="s">
        <v>3473</v>
      </c>
      <c r="E141" t="s">
        <v>3471</v>
      </c>
      <c r="F141" t="s">
        <v>3472</v>
      </c>
      <c r="G141" t="e">
        <f t="shared" si="8"/>
        <v>#VALUE!</v>
      </c>
      <c r="H141" t="str">
        <f t="shared" si="9"/>
        <v>https://stream.crossrhythms.co.uk/city/lq.mp3?</v>
      </c>
      <c r="I141" t="e">
        <f t="shared" si="10"/>
        <v>#VALUE!</v>
      </c>
    </row>
    <row r="142" spans="1:9" hidden="1" x14ac:dyDescent="0.55000000000000004">
      <c r="A142">
        <v>1108</v>
      </c>
      <c r="B142" t="s">
        <v>3469</v>
      </c>
      <c r="C142" t="s">
        <v>3093</v>
      </c>
      <c r="D142" t="s">
        <v>3474</v>
      </c>
      <c r="E142" t="s">
        <v>3471</v>
      </c>
      <c r="F142" t="s">
        <v>3472</v>
      </c>
      <c r="G142" t="e">
        <f t="shared" si="8"/>
        <v>#VALUE!</v>
      </c>
      <c r="H142" t="str">
        <f t="shared" si="9"/>
        <v>https://stream.crossrhythms.co.uk/city/lq.mp3?</v>
      </c>
      <c r="I142" t="e">
        <f t="shared" si="10"/>
        <v>#VALUE!</v>
      </c>
    </row>
    <row r="143" spans="1:9" hidden="1" x14ac:dyDescent="0.55000000000000004">
      <c r="A143">
        <v>1396</v>
      </c>
      <c r="B143" t="s">
        <v>1573</v>
      </c>
      <c r="C143" t="s">
        <v>3093</v>
      </c>
      <c r="D143" t="s">
        <v>3475</v>
      </c>
      <c r="E143" t="s">
        <v>3476</v>
      </c>
      <c r="F143" t="s">
        <v>3477</v>
      </c>
      <c r="G143" t="e">
        <f t="shared" si="8"/>
        <v>#VALUE!</v>
      </c>
      <c r="H143" t="str">
        <f t="shared" si="9"/>
        <v>https://dalesradio.radioca.st/stream?</v>
      </c>
      <c r="I143" t="e">
        <f t="shared" si="10"/>
        <v>#VALUE!</v>
      </c>
    </row>
    <row r="144" spans="1:9" hidden="1" x14ac:dyDescent="0.55000000000000004">
      <c r="A144">
        <v>1072</v>
      </c>
      <c r="B144" t="s">
        <v>3478</v>
      </c>
      <c r="C144" t="s">
        <v>3093</v>
      </c>
      <c r="D144" t="s">
        <v>3479</v>
      </c>
      <c r="E144" t="s">
        <v>3480</v>
      </c>
      <c r="F144" t="s">
        <v>3481</v>
      </c>
      <c r="G144" t="e">
        <f t="shared" si="8"/>
        <v>#VALUE!</v>
      </c>
      <c r="H144" t="str">
        <f t="shared" si="9"/>
        <v>http://tx.sharp-stream.com/icecast.php?</v>
      </c>
      <c r="I144" t="e">
        <f t="shared" si="10"/>
        <v>#VALUE!</v>
      </c>
    </row>
    <row r="145" spans="1:9" hidden="1" x14ac:dyDescent="0.55000000000000004">
      <c r="A145">
        <v>1379</v>
      </c>
      <c r="B145" t="s">
        <v>372</v>
      </c>
      <c r="C145" t="s">
        <v>3093</v>
      </c>
      <c r="D145" t="s">
        <v>3482</v>
      </c>
      <c r="E145" t="s">
        <v>3483</v>
      </c>
      <c r="F145" t="s">
        <v>3484</v>
      </c>
      <c r="G145" t="e">
        <f t="shared" si="8"/>
        <v>#VALUE!</v>
      </c>
      <c r="H145" t="str">
        <f t="shared" si="9"/>
        <v>http://stream.deliteonline.com:48000/live256?</v>
      </c>
      <c r="I145" t="e">
        <f t="shared" si="10"/>
        <v>#VALUE!</v>
      </c>
    </row>
    <row r="146" spans="1:9" hidden="1" x14ac:dyDescent="0.55000000000000004">
      <c r="A146">
        <v>1379</v>
      </c>
      <c r="B146" t="s">
        <v>372</v>
      </c>
      <c r="C146" t="s">
        <v>3093</v>
      </c>
      <c r="D146" t="s">
        <v>3485</v>
      </c>
      <c r="E146" t="s">
        <v>3483</v>
      </c>
      <c r="F146" t="s">
        <v>3484</v>
      </c>
      <c r="G146" t="e">
        <f t="shared" si="8"/>
        <v>#VALUE!</v>
      </c>
      <c r="H146" t="str">
        <f t="shared" si="9"/>
        <v>http://stream.deliteonline.com:48000/live320?</v>
      </c>
      <c r="I146" t="e">
        <f t="shared" si="10"/>
        <v>#VALUE!</v>
      </c>
    </row>
    <row r="147" spans="1:9" hidden="1" x14ac:dyDescent="0.55000000000000004">
      <c r="A147">
        <v>1379</v>
      </c>
      <c r="B147" t="s">
        <v>372</v>
      </c>
      <c r="C147" t="s">
        <v>3093</v>
      </c>
      <c r="D147" t="s">
        <v>3486</v>
      </c>
      <c r="E147" t="s">
        <v>3483</v>
      </c>
      <c r="F147" t="s">
        <v>3484</v>
      </c>
      <c r="G147" t="e">
        <f t="shared" si="8"/>
        <v>#VALUE!</v>
      </c>
      <c r="H147" t="str">
        <f t="shared" si="9"/>
        <v>http://stream.deliteonline.com:48000/live128?</v>
      </c>
      <c r="I147" t="e">
        <f t="shared" si="10"/>
        <v>#VALUE!</v>
      </c>
    </row>
    <row r="148" spans="1:9" hidden="1" x14ac:dyDescent="0.55000000000000004">
      <c r="A148">
        <v>1379</v>
      </c>
      <c r="B148" t="s">
        <v>372</v>
      </c>
      <c r="C148" t="s">
        <v>3093</v>
      </c>
      <c r="D148" t="s">
        <v>3487</v>
      </c>
      <c r="E148" t="s">
        <v>3483</v>
      </c>
      <c r="F148" t="s">
        <v>3484</v>
      </c>
      <c r="G148" t="e">
        <f t="shared" si="8"/>
        <v>#VALUE!</v>
      </c>
      <c r="H148" t="str">
        <f t="shared" si="9"/>
        <v>http://stream.deliteonline.com:48000/live192?</v>
      </c>
      <c r="I148" t="e">
        <f t="shared" si="10"/>
        <v>#VALUE!</v>
      </c>
    </row>
    <row r="149" spans="1:9" hidden="1" x14ac:dyDescent="0.55000000000000004">
      <c r="A149">
        <v>1379</v>
      </c>
      <c r="B149" t="s">
        <v>372</v>
      </c>
      <c r="C149" t="s">
        <v>3093</v>
      </c>
      <c r="D149" t="s">
        <v>3488</v>
      </c>
      <c r="E149" t="s">
        <v>3483</v>
      </c>
      <c r="F149" t="s">
        <v>3484</v>
      </c>
      <c r="G149" t="e">
        <f t="shared" si="8"/>
        <v>#VALUE!</v>
      </c>
      <c r="H149" t="str">
        <f t="shared" si="9"/>
        <v>http://s4.voscast.com:8642/stream.aac?</v>
      </c>
      <c r="I149" t="e">
        <f t="shared" si="10"/>
        <v>#VALUE!</v>
      </c>
    </row>
    <row r="150" spans="1:9" hidden="1" x14ac:dyDescent="0.55000000000000004">
      <c r="A150">
        <v>1126</v>
      </c>
      <c r="B150" t="s">
        <v>3489</v>
      </c>
      <c r="C150" t="s">
        <v>3093</v>
      </c>
      <c r="D150" t="s">
        <v>3490</v>
      </c>
      <c r="E150" t="s">
        <v>3491</v>
      </c>
      <c r="F150" t="s">
        <v>3492</v>
      </c>
      <c r="G150" t="e">
        <f t="shared" si="8"/>
        <v>#VALUE!</v>
      </c>
      <c r="H150" t="str">
        <f t="shared" si="9"/>
        <v>https://icecast.mediaice.co.uk/DiverseAAC?</v>
      </c>
      <c r="I150" t="e">
        <f t="shared" si="10"/>
        <v>#VALUE!</v>
      </c>
    </row>
    <row r="151" spans="1:9" hidden="1" x14ac:dyDescent="0.55000000000000004">
      <c r="A151">
        <v>1126</v>
      </c>
      <c r="B151" t="s">
        <v>3489</v>
      </c>
      <c r="C151" t="s">
        <v>3093</v>
      </c>
      <c r="D151" t="s">
        <v>3493</v>
      </c>
      <c r="E151" t="s">
        <v>3491</v>
      </c>
      <c r="F151" t="s">
        <v>3492</v>
      </c>
      <c r="G151" t="e">
        <f t="shared" si="8"/>
        <v>#VALUE!</v>
      </c>
      <c r="H151" t="str">
        <f t="shared" si="9"/>
        <v>https://icecast.mediaice.co.uk/DiverseMP3?</v>
      </c>
      <c r="I151" t="e">
        <f t="shared" si="10"/>
        <v>#VALUE!</v>
      </c>
    </row>
    <row r="152" spans="1:9" hidden="1" x14ac:dyDescent="0.55000000000000004">
      <c r="A152">
        <v>1126</v>
      </c>
      <c r="B152" t="s">
        <v>3489</v>
      </c>
      <c r="C152" t="s">
        <v>3093</v>
      </c>
      <c r="D152" t="s">
        <v>3494</v>
      </c>
      <c r="E152" t="s">
        <v>3491</v>
      </c>
      <c r="F152" t="s">
        <v>3492</v>
      </c>
      <c r="G152" t="e">
        <f t="shared" si="8"/>
        <v>#VALUE!</v>
      </c>
      <c r="H152" t="str">
        <f t="shared" si="9"/>
        <v>https://media-ice.co.uk:8000/DiverseMP3?</v>
      </c>
      <c r="I152" t="e">
        <f t="shared" si="10"/>
        <v>#VALUE!</v>
      </c>
    </row>
    <row r="153" spans="1:9" hidden="1" x14ac:dyDescent="0.55000000000000004">
      <c r="A153">
        <v>563</v>
      </c>
      <c r="B153" t="s">
        <v>379</v>
      </c>
      <c r="C153" t="s">
        <v>3093</v>
      </c>
      <c r="D153" t="s">
        <v>3495</v>
      </c>
      <c r="E153" t="s">
        <v>3496</v>
      </c>
      <c r="F153" t="s">
        <v>3497</v>
      </c>
      <c r="G153" t="str">
        <f t="shared" si="8"/>
        <v>1667146173</v>
      </c>
      <c r="H153" t="str">
        <f t="shared" si="9"/>
        <v>https://stream-al.planetradio.co.uk/downtown.aac?</v>
      </c>
      <c r="I153" t="str">
        <f t="shared" si="10"/>
        <v>https://stream-al.planetradio.co.uk/downtown.aac?aw_0_1st.skey=1667146173&amp;aw_0_1st.playerid=BMUK_ukrp</v>
      </c>
    </row>
    <row r="154" spans="1:9" hidden="1" x14ac:dyDescent="0.55000000000000004">
      <c r="A154">
        <v>569</v>
      </c>
      <c r="B154" t="s">
        <v>377</v>
      </c>
      <c r="C154" t="s">
        <v>3093</v>
      </c>
      <c r="D154" t="s">
        <v>3498</v>
      </c>
      <c r="E154" t="s">
        <v>3499</v>
      </c>
      <c r="F154" t="s">
        <v>3500</v>
      </c>
      <c r="G154" t="str">
        <f t="shared" si="8"/>
        <v>1667146175</v>
      </c>
      <c r="H154" t="str">
        <f t="shared" si="9"/>
        <v>https://stream-al.planetradio.co.uk/downtowncountry.aac?</v>
      </c>
      <c r="I154" t="str">
        <f t="shared" si="10"/>
        <v>https://stream-al.planetradio.co.uk/downtowncountry.aac?aw_0_1st.skey=1667146175&amp;aw_0_1st.playerid=BMUK_ukrp</v>
      </c>
    </row>
    <row r="155" spans="1:9" hidden="1" x14ac:dyDescent="0.55000000000000004">
      <c r="A155">
        <v>1331</v>
      </c>
      <c r="B155" t="s">
        <v>381</v>
      </c>
      <c r="C155" t="s">
        <v>3093</v>
      </c>
      <c r="D155" t="s">
        <v>3501</v>
      </c>
      <c r="E155" t="s">
        <v>3502</v>
      </c>
      <c r="F155" t="s">
        <v>3503</v>
      </c>
      <c r="G155" t="str">
        <f t="shared" si="8"/>
        <v>1667146176</v>
      </c>
      <c r="H155" t="str">
        <f t="shared" si="9"/>
        <v>https://listen-nation.sharp-stream.com/tcnationdigital.aac?</v>
      </c>
      <c r="I155" t="str">
        <f t="shared" si="10"/>
        <v>https://listen-nation.sharp-stream.com/tcnationdigital.aac?aw_0_1st.skey=1667146176&amp;aw_0_1st.playerid=BMUK_ukrp</v>
      </c>
    </row>
    <row r="156" spans="1:9" hidden="1" x14ac:dyDescent="0.55000000000000004">
      <c r="A156">
        <v>1331</v>
      </c>
      <c r="B156" t="s">
        <v>381</v>
      </c>
      <c r="C156" t="s">
        <v>3093</v>
      </c>
      <c r="D156" t="s">
        <v>3504</v>
      </c>
      <c r="E156" t="s">
        <v>3502</v>
      </c>
      <c r="F156" t="s">
        <v>3503</v>
      </c>
      <c r="G156" t="str">
        <f t="shared" si="8"/>
        <v>1667146176</v>
      </c>
      <c r="H156" t="str">
        <f t="shared" si="9"/>
        <v>https://listen-nation.sharp-stream.com/tcnationdigital.mp3?</v>
      </c>
      <c r="I156" t="str">
        <f t="shared" si="10"/>
        <v>https://listen-nation.sharp-stream.com/tcnationdigital.mp3?aw_0_1st.skey=1667146176&amp;aw_0_1st.playerid=BMUK_ukrp</v>
      </c>
    </row>
    <row r="157" spans="1:9" hidden="1" x14ac:dyDescent="0.55000000000000004">
      <c r="A157">
        <v>1331</v>
      </c>
      <c r="B157" t="s">
        <v>381</v>
      </c>
      <c r="C157" t="s">
        <v>3093</v>
      </c>
      <c r="D157" t="s">
        <v>3505</v>
      </c>
      <c r="E157" t="s">
        <v>3502</v>
      </c>
      <c r="F157" t="s">
        <v>3503</v>
      </c>
      <c r="G157" t="str">
        <f t="shared" si="8"/>
        <v>1667146176</v>
      </c>
      <c r="H157" t="str">
        <f t="shared" si="9"/>
        <v>https://listen-nation.sharp-stream.com/tcnationdigital.mp3?</v>
      </c>
      <c r="I157" t="str">
        <f t="shared" si="10"/>
        <v>https://listen-nation.sharp-stream.com/tcnationdigital.mp3?aw_0_1st.skey=1667146176&amp;aw_0_1st.playerid=BMUK_ukrp</v>
      </c>
    </row>
    <row r="158" spans="1:9" hidden="1" x14ac:dyDescent="0.55000000000000004">
      <c r="A158">
        <v>1532</v>
      </c>
      <c r="B158" t="s">
        <v>384</v>
      </c>
      <c r="C158" t="s">
        <v>3093</v>
      </c>
      <c r="D158" t="s">
        <v>3506</v>
      </c>
      <c r="E158" t="s">
        <v>3507</v>
      </c>
      <c r="F158" t="s">
        <v>3508</v>
      </c>
      <c r="G158" t="e">
        <f t="shared" si="8"/>
        <v>#VALUE!</v>
      </c>
      <c r="H158" t="str">
        <f t="shared" si="9"/>
        <v>https://fra-ranger01.dedicateware.com:8010/stream?</v>
      </c>
      <c r="I158" t="e">
        <f t="shared" si="10"/>
        <v>#VALUE!</v>
      </c>
    </row>
    <row r="159" spans="1:9" hidden="1" x14ac:dyDescent="0.55000000000000004">
      <c r="A159">
        <v>1532</v>
      </c>
      <c r="B159" t="s">
        <v>384</v>
      </c>
      <c r="C159" t="s">
        <v>3093</v>
      </c>
      <c r="D159" t="s">
        <v>3509</v>
      </c>
      <c r="E159" t="s">
        <v>3507</v>
      </c>
      <c r="F159" t="s">
        <v>3508</v>
      </c>
      <c r="G159" t="e">
        <f t="shared" si="8"/>
        <v>#VALUE!</v>
      </c>
      <c r="H159" t="str">
        <f t="shared" si="9"/>
        <v>https://fra-ranger01.dedicateware.com:8010/mobile?</v>
      </c>
      <c r="I159" t="e">
        <f t="shared" si="10"/>
        <v>#VALUE!</v>
      </c>
    </row>
    <row r="160" spans="1:9" hidden="1" x14ac:dyDescent="0.55000000000000004">
      <c r="A160">
        <v>1569</v>
      </c>
      <c r="B160" t="s">
        <v>3510</v>
      </c>
      <c r="C160" t="s">
        <v>3093</v>
      </c>
      <c r="D160" t="s">
        <v>3511</v>
      </c>
      <c r="E160" t="s">
        <v>3512</v>
      </c>
      <c r="F160" t="s">
        <v>3513</v>
      </c>
      <c r="G160" t="str">
        <f t="shared" si="8"/>
        <v>1667146182</v>
      </c>
      <c r="H160" t="str">
        <f t="shared" si="9"/>
        <v>https://listen-nation.sharp-stream.com/nationeasysoton.mp3?</v>
      </c>
      <c r="I160" t="str">
        <f t="shared" si="10"/>
        <v>https://listen-nation.sharp-stream.com/nationeasysoton.mp3?aw_0_1st.skey=1667146182&amp;aw_0_1st.playerid=BMUK_ukrp</v>
      </c>
    </row>
    <row r="161" spans="1:9" hidden="1" x14ac:dyDescent="0.55000000000000004">
      <c r="A161">
        <v>1569</v>
      </c>
      <c r="B161" t="s">
        <v>3510</v>
      </c>
      <c r="C161" t="s">
        <v>3093</v>
      </c>
      <c r="D161" t="s">
        <v>3514</v>
      </c>
      <c r="E161" t="s">
        <v>3512</v>
      </c>
      <c r="F161" t="s">
        <v>3513</v>
      </c>
      <c r="G161" t="str">
        <f t="shared" si="8"/>
        <v>1667146182</v>
      </c>
      <c r="H161" t="str">
        <f t="shared" si="9"/>
        <v>https://listen-nation.sharp-stream.com/nationeasysoton.aac?</v>
      </c>
      <c r="I161" t="str">
        <f t="shared" si="10"/>
        <v>https://listen-nation.sharp-stream.com/nationeasysoton.aac?aw_0_1st.skey=1667146182&amp;aw_0_1st.playerid=BMUK_ukrp</v>
      </c>
    </row>
    <row r="162" spans="1:9" hidden="1" x14ac:dyDescent="0.55000000000000004">
      <c r="A162">
        <v>1569</v>
      </c>
      <c r="B162" t="s">
        <v>3510</v>
      </c>
      <c r="C162" t="s">
        <v>3093</v>
      </c>
      <c r="D162" t="s">
        <v>3515</v>
      </c>
      <c r="E162" t="s">
        <v>3512</v>
      </c>
      <c r="F162" t="s">
        <v>3513</v>
      </c>
      <c r="G162" t="str">
        <f t="shared" si="8"/>
        <v>1667146182</v>
      </c>
      <c r="H162" t="str">
        <f t="shared" si="9"/>
        <v>https://listen-nation.sharp-stream.com/nationeasysoton.mp3?</v>
      </c>
      <c r="I162" t="str">
        <f t="shared" si="10"/>
        <v>https://listen-nation.sharp-stream.com/nationeasysoton.mp3?aw_0_1st.skey=1667146182&amp;aw_0_1st.playerid=BMUK_ukrp</v>
      </c>
    </row>
    <row r="163" spans="1:9" hidden="1" x14ac:dyDescent="0.55000000000000004">
      <c r="A163">
        <v>1561</v>
      </c>
      <c r="B163" t="s">
        <v>3516</v>
      </c>
      <c r="C163" t="s">
        <v>3093</v>
      </c>
      <c r="D163" t="s">
        <v>3517</v>
      </c>
      <c r="E163" t="s">
        <v>3518</v>
      </c>
      <c r="F163" t="s">
        <v>3519</v>
      </c>
      <c r="G163" t="str">
        <f t="shared" si="8"/>
        <v>1667146183</v>
      </c>
      <c r="H163" t="str">
        <f t="shared" si="9"/>
        <v>https://listen-nation.sharp-stream.com/breezyradiouk.mp3?</v>
      </c>
      <c r="I163" t="str">
        <f t="shared" si="10"/>
        <v>https://listen-nation.sharp-stream.com/breezyradiouk.mp3?aw_0_1st.skey=1667146183&amp;aw_0_1st.playerid=BMUK_ukrp</v>
      </c>
    </row>
    <row r="164" spans="1:9" hidden="1" x14ac:dyDescent="0.55000000000000004">
      <c r="A164">
        <v>1561</v>
      </c>
      <c r="B164" t="s">
        <v>3516</v>
      </c>
      <c r="C164" t="s">
        <v>3093</v>
      </c>
      <c r="D164" t="s">
        <v>3520</v>
      </c>
      <c r="E164" t="s">
        <v>3518</v>
      </c>
      <c r="F164" t="s">
        <v>3519</v>
      </c>
      <c r="G164" t="str">
        <f t="shared" si="8"/>
        <v>1667146183</v>
      </c>
      <c r="H164" t="str">
        <f t="shared" si="9"/>
        <v>https://listen-nation.sharp-stream.com/breezyradiouk.aac?</v>
      </c>
      <c r="I164" t="str">
        <f t="shared" si="10"/>
        <v>https://listen-nation.sharp-stream.com/breezyradiouk.aac?aw_0_1st.skey=1667146183&amp;aw_0_1st.playerid=BMUK_ukrp</v>
      </c>
    </row>
    <row r="165" spans="1:9" hidden="1" x14ac:dyDescent="0.55000000000000004">
      <c r="A165">
        <v>1561</v>
      </c>
      <c r="B165" t="s">
        <v>3516</v>
      </c>
      <c r="C165" t="s">
        <v>3093</v>
      </c>
      <c r="D165" t="s">
        <v>3521</v>
      </c>
      <c r="E165" t="s">
        <v>3518</v>
      </c>
      <c r="F165" t="s">
        <v>3519</v>
      </c>
      <c r="G165" t="str">
        <f t="shared" si="8"/>
        <v>1667146183</v>
      </c>
      <c r="H165" t="str">
        <f t="shared" si="9"/>
        <v>https://listen-nation.sharp-stream.com/breezyradiouk.mp3?</v>
      </c>
      <c r="I165" t="str">
        <f t="shared" si="10"/>
        <v>https://listen-nation.sharp-stream.com/breezyradiouk.mp3?aw_0_1st.skey=1667146183&amp;aw_0_1st.playerid=BMUK_ukrp</v>
      </c>
    </row>
    <row r="166" spans="1:9" hidden="1" x14ac:dyDescent="0.55000000000000004">
      <c r="A166">
        <v>1564</v>
      </c>
      <c r="B166" t="s">
        <v>403</v>
      </c>
      <c r="C166" t="s">
        <v>3093</v>
      </c>
      <c r="D166" t="s">
        <v>3522</v>
      </c>
      <c r="E166" t="s">
        <v>3523</v>
      </c>
      <c r="F166" t="s">
        <v>3524</v>
      </c>
      <c r="G166" t="e">
        <f t="shared" si="8"/>
        <v>#VALUE!</v>
      </c>
      <c r="H166" t="str">
        <f t="shared" si="9"/>
        <v>https://eirewave.ice.infomaniak.ch/eirewave-128.mp3?</v>
      </c>
      <c r="I166" t="e">
        <f t="shared" si="10"/>
        <v>#VALUE!</v>
      </c>
    </row>
    <row r="167" spans="1:9" hidden="1" x14ac:dyDescent="0.55000000000000004">
      <c r="A167">
        <v>1564</v>
      </c>
      <c r="B167" t="s">
        <v>403</v>
      </c>
      <c r="C167" t="s">
        <v>3093</v>
      </c>
      <c r="D167" t="s">
        <v>3525</v>
      </c>
      <c r="E167" t="s">
        <v>3523</v>
      </c>
      <c r="F167" t="s">
        <v>3524</v>
      </c>
      <c r="G167" t="e">
        <f t="shared" si="8"/>
        <v>#VALUE!</v>
      </c>
      <c r="H167" t="str">
        <f t="shared" si="9"/>
        <v>http://eirewave.ice.infomaniak.ch/eirewave-64.aac?</v>
      </c>
      <c r="I167" t="e">
        <f t="shared" si="10"/>
        <v>#VALUE!</v>
      </c>
    </row>
    <row r="168" spans="1:9" hidden="1" x14ac:dyDescent="0.55000000000000004">
      <c r="A168">
        <v>1496</v>
      </c>
      <c r="B168" t="s">
        <v>3526</v>
      </c>
      <c r="C168" t="s">
        <v>3093</v>
      </c>
      <c r="D168" t="s">
        <v>3527</v>
      </c>
      <c r="E168" t="s">
        <v>3528</v>
      </c>
      <c r="F168" t="s">
        <v>3529</v>
      </c>
      <c r="G168" t="e">
        <f t="shared" si="8"/>
        <v>#VALUE!</v>
      </c>
      <c r="H168" t="str">
        <f t="shared" si="9"/>
        <v>https://solid48.streamupsolutions.com/proxy/tepghymx/stream?</v>
      </c>
      <c r="I168" t="e">
        <f t="shared" si="10"/>
        <v>#VALUE!</v>
      </c>
    </row>
    <row r="169" spans="1:9" hidden="1" x14ac:dyDescent="0.55000000000000004">
      <c r="A169">
        <v>1496</v>
      </c>
      <c r="B169" t="s">
        <v>3526</v>
      </c>
      <c r="C169" t="s">
        <v>3093</v>
      </c>
      <c r="D169" t="s">
        <v>3530</v>
      </c>
      <c r="E169" t="s">
        <v>3528</v>
      </c>
      <c r="F169" t="s">
        <v>3529</v>
      </c>
      <c r="G169" t="e">
        <f t="shared" si="8"/>
        <v>#VALUE!</v>
      </c>
      <c r="H169" t="str">
        <f t="shared" si="9"/>
        <v>https://solid48.streamupsolutions.com/proxy/tepghymx/stream?</v>
      </c>
      <c r="I169" t="e">
        <f t="shared" si="10"/>
        <v>#VALUE!</v>
      </c>
    </row>
    <row r="170" spans="1:9" hidden="1" x14ac:dyDescent="0.55000000000000004">
      <c r="A170">
        <v>1250</v>
      </c>
      <c r="B170" t="s">
        <v>405</v>
      </c>
      <c r="C170" t="s">
        <v>3093</v>
      </c>
      <c r="D170" t="s">
        <v>3531</v>
      </c>
      <c r="E170" t="s">
        <v>3532</v>
      </c>
      <c r="F170" t="s">
        <v>3533</v>
      </c>
      <c r="G170" t="e">
        <f t="shared" si="8"/>
        <v>#VALUE!</v>
      </c>
      <c r="H170" t="str">
        <f t="shared" si="9"/>
        <v>https://streaming.broadcast.radio/energyfm?</v>
      </c>
      <c r="I170" t="e">
        <f t="shared" si="10"/>
        <v>#VALUE!</v>
      </c>
    </row>
    <row r="171" spans="1:9" hidden="1" x14ac:dyDescent="0.55000000000000004">
      <c r="A171">
        <v>1441</v>
      </c>
      <c r="B171" t="s">
        <v>3534</v>
      </c>
      <c r="C171" t="s">
        <v>3093</v>
      </c>
      <c r="D171" t="s">
        <v>3535</v>
      </c>
      <c r="E171" t="s">
        <v>3536</v>
      </c>
      <c r="F171" t="s">
        <v>3537</v>
      </c>
      <c r="G171" t="e">
        <f t="shared" si="8"/>
        <v>#VALUE!</v>
      </c>
      <c r="H171" t="str">
        <f t="shared" si="9"/>
        <v>http://stream01.erewashsound.com/erewashaac?</v>
      </c>
      <c r="I171" t="e">
        <f t="shared" si="10"/>
        <v>#VALUE!</v>
      </c>
    </row>
    <row r="172" spans="1:9" hidden="1" x14ac:dyDescent="0.55000000000000004">
      <c r="A172">
        <v>1512</v>
      </c>
      <c r="B172" t="s">
        <v>407</v>
      </c>
      <c r="C172" t="s">
        <v>3093</v>
      </c>
      <c r="D172" t="s">
        <v>3538</v>
      </c>
      <c r="E172" t="s">
        <v>3539</v>
      </c>
      <c r="F172" t="s">
        <v>3540</v>
      </c>
      <c r="G172" t="e">
        <f t="shared" si="8"/>
        <v>#VALUE!</v>
      </c>
      <c r="H172" t="str">
        <f t="shared" si="9"/>
        <v>https://securestreams2.autopo.st:1298/stream?</v>
      </c>
      <c r="I172" t="e">
        <f t="shared" si="10"/>
        <v>#VALUE!</v>
      </c>
    </row>
    <row r="173" spans="1:9" hidden="1" x14ac:dyDescent="0.55000000000000004">
      <c r="A173">
        <v>1512</v>
      </c>
      <c r="B173" t="s">
        <v>407</v>
      </c>
      <c r="C173" t="s">
        <v>3093</v>
      </c>
      <c r="D173" t="s">
        <v>3541</v>
      </c>
      <c r="E173" t="s">
        <v>3539</v>
      </c>
      <c r="F173" t="s">
        <v>3540</v>
      </c>
      <c r="G173" t="e">
        <f t="shared" si="8"/>
        <v>#VALUE!</v>
      </c>
      <c r="H173" t="str">
        <f t="shared" si="9"/>
        <v>https://securestreams6.autopo.st:2293/stream?</v>
      </c>
      <c r="I173" t="e">
        <f t="shared" si="10"/>
        <v>#VALUE!</v>
      </c>
    </row>
    <row r="174" spans="1:9" hidden="1" x14ac:dyDescent="0.55000000000000004">
      <c r="A174">
        <v>1512</v>
      </c>
      <c r="B174" t="s">
        <v>407</v>
      </c>
      <c r="C174" t="s">
        <v>3093</v>
      </c>
      <c r="D174" t="s">
        <v>3542</v>
      </c>
      <c r="E174" t="s">
        <v>3539</v>
      </c>
      <c r="F174" t="s">
        <v>3540</v>
      </c>
      <c r="G174" t="e">
        <f t="shared" si="8"/>
        <v>#VALUE!</v>
      </c>
      <c r="H174" t="str">
        <f t="shared" si="9"/>
        <v>https://securestreams6.autopo.st:2293/stream?</v>
      </c>
      <c r="I174" t="e">
        <f t="shared" si="10"/>
        <v>#VALUE!</v>
      </c>
    </row>
    <row r="175" spans="1:9" hidden="1" x14ac:dyDescent="0.55000000000000004">
      <c r="A175">
        <v>1136</v>
      </c>
      <c r="B175" t="s">
        <v>1621</v>
      </c>
      <c r="C175" t="s">
        <v>3093</v>
      </c>
      <c r="D175" t="s">
        <v>3543</v>
      </c>
      <c r="E175" t="s">
        <v>3544</v>
      </c>
      <c r="F175" t="s">
        <v>3545</v>
      </c>
      <c r="G175" t="e">
        <f t="shared" si="8"/>
        <v>#VALUE!</v>
      </c>
      <c r="H175" t="str">
        <f t="shared" si="9"/>
        <v>https://streams.radio.co/sf2a4d9132/listen?</v>
      </c>
      <c r="I175" t="e">
        <f t="shared" si="10"/>
        <v>#VALUE!</v>
      </c>
    </row>
    <row r="176" spans="1:9" hidden="1" x14ac:dyDescent="0.55000000000000004">
      <c r="A176">
        <v>1553</v>
      </c>
      <c r="B176" t="s">
        <v>1031</v>
      </c>
      <c r="C176" t="s">
        <v>3093</v>
      </c>
      <c r="D176" t="s">
        <v>3546</v>
      </c>
      <c r="E176" t="s">
        <v>3547</v>
      </c>
      <c r="F176" t="s">
        <v>3548</v>
      </c>
      <c r="G176" t="e">
        <f t="shared" si="8"/>
        <v>#VALUE!</v>
      </c>
      <c r="H176" t="str">
        <f t="shared" si="9"/>
        <v>https://s4.radio.co/sd9ae042f5/listen?</v>
      </c>
      <c r="I176" t="e">
        <f t="shared" si="10"/>
        <v>#VALUE!</v>
      </c>
    </row>
    <row r="177" spans="1:9" hidden="1" x14ac:dyDescent="0.55000000000000004">
      <c r="A177">
        <v>1553</v>
      </c>
      <c r="B177" t="s">
        <v>1031</v>
      </c>
      <c r="C177" t="s">
        <v>3093</v>
      </c>
      <c r="D177" t="s">
        <v>3549</v>
      </c>
      <c r="E177" t="s">
        <v>3547</v>
      </c>
      <c r="F177" t="s">
        <v>3548</v>
      </c>
      <c r="G177" t="e">
        <f t="shared" si="8"/>
        <v>#VALUE!</v>
      </c>
      <c r="H177" t="str">
        <f t="shared" si="9"/>
        <v>https://s4.radio.co/sd9ae042f5/listen?</v>
      </c>
      <c r="I177" t="e">
        <f t="shared" si="10"/>
        <v>#VALUE!</v>
      </c>
    </row>
    <row r="178" spans="1:9" hidden="1" x14ac:dyDescent="0.55000000000000004">
      <c r="A178">
        <v>1369</v>
      </c>
      <c r="B178" t="s">
        <v>1575</v>
      </c>
      <c r="C178" t="s">
        <v>3093</v>
      </c>
      <c r="D178" t="s">
        <v>3550</v>
      </c>
      <c r="E178" t="s">
        <v>3551</v>
      </c>
      <c r="F178" t="s">
        <v>3552</v>
      </c>
      <c r="G178" t="e">
        <f t="shared" si="8"/>
        <v>#VALUE!</v>
      </c>
      <c r="H178" t="str">
        <f t="shared" si="9"/>
        <v>https://uksouth.streaming.broadcast.radio/exmouthmp3?</v>
      </c>
      <c r="I178" t="e">
        <f t="shared" si="10"/>
        <v>#VALUE!</v>
      </c>
    </row>
    <row r="179" spans="1:9" hidden="1" x14ac:dyDescent="0.55000000000000004">
      <c r="A179">
        <v>1298</v>
      </c>
      <c r="B179" t="s">
        <v>3553</v>
      </c>
      <c r="C179" t="s">
        <v>3093</v>
      </c>
      <c r="D179" t="s">
        <v>3554</v>
      </c>
      <c r="E179" t="s">
        <v>3555</v>
      </c>
      <c r="F179" t="s">
        <v>3556</v>
      </c>
      <c r="G179" t="e">
        <f t="shared" si="8"/>
        <v>#VALUE!</v>
      </c>
      <c r="H179" t="str">
        <f t="shared" si="9"/>
        <v>https://sc01.lemonhost.ovh/fantasyradio?</v>
      </c>
      <c r="I179" t="e">
        <f t="shared" si="10"/>
        <v>#VALUE!</v>
      </c>
    </row>
    <row r="180" spans="1:9" hidden="1" x14ac:dyDescent="0.55000000000000004">
      <c r="A180">
        <v>1395</v>
      </c>
      <c r="B180" t="s">
        <v>412</v>
      </c>
      <c r="C180" t="s">
        <v>3093</v>
      </c>
      <c r="D180" t="s">
        <v>3557</v>
      </c>
      <c r="E180" t="s">
        <v>3558</v>
      </c>
      <c r="F180" t="s">
        <v>3559</v>
      </c>
      <c r="G180" t="e">
        <f t="shared" si="8"/>
        <v>#VALUE!</v>
      </c>
      <c r="H180" t="str">
        <f t="shared" si="9"/>
        <v>https://listen-fixradio.sharp-stream.com/fixradio.aac?</v>
      </c>
      <c r="I180" t="e">
        <f t="shared" si="10"/>
        <v>#VALUE!</v>
      </c>
    </row>
    <row r="181" spans="1:9" hidden="1" x14ac:dyDescent="0.55000000000000004">
      <c r="A181">
        <v>1115</v>
      </c>
      <c r="B181" t="s">
        <v>3560</v>
      </c>
      <c r="C181" t="s">
        <v>3093</v>
      </c>
      <c r="D181" t="s">
        <v>3561</v>
      </c>
      <c r="E181" t="s">
        <v>3562</v>
      </c>
      <c r="F181" t="s">
        <v>3563</v>
      </c>
      <c r="G181" t="e">
        <f t="shared" si="8"/>
        <v>#VALUE!</v>
      </c>
      <c r="H181" t="str">
        <f t="shared" si="9"/>
        <v>https://radio.canstream.co.uk:8120/live.mp3?</v>
      </c>
      <c r="I181" t="e">
        <f t="shared" si="10"/>
        <v>#VALUE!</v>
      </c>
    </row>
    <row r="182" spans="1:9" hidden="1" x14ac:dyDescent="0.55000000000000004">
      <c r="A182">
        <v>1115</v>
      </c>
      <c r="B182" t="s">
        <v>3560</v>
      </c>
      <c r="C182" t="s">
        <v>3093</v>
      </c>
      <c r="D182" t="s">
        <v>3564</v>
      </c>
      <c r="E182" t="s">
        <v>3562</v>
      </c>
      <c r="F182" t="s">
        <v>3563</v>
      </c>
      <c r="G182" t="e">
        <f t="shared" si="8"/>
        <v>#VALUE!</v>
      </c>
      <c r="H182" t="str">
        <f t="shared" si="9"/>
        <v>https://radio.canstream.co.uk:8120/live.aac?</v>
      </c>
      <c r="I182" t="e">
        <f t="shared" si="10"/>
        <v>#VALUE!</v>
      </c>
    </row>
    <row r="183" spans="1:9" hidden="1" x14ac:dyDescent="0.55000000000000004">
      <c r="A183">
        <v>1097</v>
      </c>
      <c r="B183" t="s">
        <v>3565</v>
      </c>
      <c r="C183" t="s">
        <v>3093</v>
      </c>
      <c r="D183" t="s">
        <v>3566</v>
      </c>
      <c r="E183" t="s">
        <v>3567</v>
      </c>
      <c r="F183" t="s">
        <v>3568</v>
      </c>
      <c r="G183" t="e">
        <f t="shared" si="8"/>
        <v>#VALUE!</v>
      </c>
      <c r="H183" t="str">
        <f t="shared" si="9"/>
        <v>http://stream.audiospace.co/forestfm?</v>
      </c>
      <c r="I183" t="e">
        <f t="shared" si="10"/>
        <v>#VALUE!</v>
      </c>
    </row>
    <row r="184" spans="1:9" hidden="1" x14ac:dyDescent="0.55000000000000004">
      <c r="A184">
        <v>564</v>
      </c>
      <c r="B184" t="s">
        <v>414</v>
      </c>
      <c r="C184" t="s">
        <v>3093</v>
      </c>
      <c r="D184" t="s">
        <v>3569</v>
      </c>
      <c r="E184" t="s">
        <v>3570</v>
      </c>
      <c r="F184" t="s">
        <v>3571</v>
      </c>
      <c r="G184" t="str">
        <f t="shared" si="8"/>
        <v>1667146204</v>
      </c>
      <c r="H184" t="str">
        <f t="shared" si="9"/>
        <v>https://stream-al.planetradio.co.uk/forth1.aac?</v>
      </c>
      <c r="I184" t="str">
        <f t="shared" si="10"/>
        <v>https://stream-al.planetradio.co.uk/forth1.aac?aw_0_1st.skey=1667146204&amp;aw_0_1st.playerid=BMUK_ukrp</v>
      </c>
    </row>
    <row r="185" spans="1:9" hidden="1" x14ac:dyDescent="0.55000000000000004">
      <c r="A185">
        <v>565</v>
      </c>
      <c r="B185" t="s">
        <v>416</v>
      </c>
      <c r="C185" t="s">
        <v>3093</v>
      </c>
      <c r="D185" t="s">
        <v>3572</v>
      </c>
      <c r="E185" t="s">
        <v>3573</v>
      </c>
      <c r="F185" t="s">
        <v>3574</v>
      </c>
      <c r="G185" t="str">
        <f t="shared" si="8"/>
        <v>1667146207</v>
      </c>
      <c r="H185" t="str">
        <f t="shared" si="9"/>
        <v>https://stream-al.planetradio.co.uk/forth2.aac?</v>
      </c>
      <c r="I185" t="str">
        <f t="shared" si="10"/>
        <v>https://stream-al.planetradio.co.uk/forth2.aac?aw_0_1st.skey=1667146207&amp;aw_0_1st.playerid=BMUK_ukrp</v>
      </c>
    </row>
    <row r="186" spans="1:9" hidden="1" x14ac:dyDescent="0.55000000000000004">
      <c r="A186">
        <v>1218</v>
      </c>
      <c r="B186" t="s">
        <v>1576</v>
      </c>
      <c r="C186" t="s">
        <v>3093</v>
      </c>
      <c r="D186" t="s">
        <v>3575</v>
      </c>
      <c r="E186" t="s">
        <v>3576</v>
      </c>
      <c r="F186" t="s">
        <v>3577</v>
      </c>
      <c r="G186" t="str">
        <f t="shared" si="8"/>
        <v>1667146209</v>
      </c>
      <c r="H186" t="str">
        <f t="shared" si="9"/>
        <v>https://stream.apollo.audio/fr1/hi/aac/?</v>
      </c>
      <c r="I186" t="str">
        <f t="shared" si="10"/>
        <v>https://stream.apollo.audio/fr1/hi/aac/?aw_0_1st.skey=1667146209&amp;aw_0_1st.playerid=BMUK_ukrp</v>
      </c>
    </row>
    <row r="187" spans="1:9" hidden="1" x14ac:dyDescent="0.55000000000000004">
      <c r="A187">
        <v>1217</v>
      </c>
      <c r="B187" t="s">
        <v>1577</v>
      </c>
      <c r="C187" t="s">
        <v>3093</v>
      </c>
      <c r="D187" t="s">
        <v>3578</v>
      </c>
      <c r="E187" t="s">
        <v>3579</v>
      </c>
      <c r="F187" t="s">
        <v>3580</v>
      </c>
      <c r="G187" t="str">
        <f t="shared" si="8"/>
        <v>1667146211</v>
      </c>
      <c r="H187" t="str">
        <f t="shared" si="9"/>
        <v>https://stream-al.planetradio.co.uk/freeblackcountry.aac?</v>
      </c>
      <c r="I187" t="str">
        <f t="shared" si="10"/>
        <v>https://stream-al.planetradio.co.uk/freeblackcountry.aac?aw_0_1st.skey=1667146211&amp;aw_0_1st.playerid=BMUK_ukrp</v>
      </c>
    </row>
    <row r="188" spans="1:9" hidden="1" x14ac:dyDescent="0.55000000000000004">
      <c r="A188">
        <v>1219</v>
      </c>
      <c r="B188" t="s">
        <v>1578</v>
      </c>
      <c r="C188" t="s">
        <v>3093</v>
      </c>
      <c r="D188" t="s">
        <v>3581</v>
      </c>
      <c r="E188" t="s">
        <v>3582</v>
      </c>
      <c r="F188" t="s">
        <v>3583</v>
      </c>
      <c r="G188" t="str">
        <f t="shared" si="8"/>
        <v>1667146214</v>
      </c>
      <c r="H188" t="str">
        <f t="shared" si="9"/>
        <v>https://stream-al.planetradio.co.uk/freecoventry.aac?</v>
      </c>
      <c r="I188" t="str">
        <f t="shared" si="10"/>
        <v>https://stream-al.planetradio.co.uk/freecoventry.aac?aw_0_1st.skey=1667146214&amp;aw_0_1st.playerid=BMUK_ukrp</v>
      </c>
    </row>
    <row r="189" spans="1:9" hidden="1" x14ac:dyDescent="0.55000000000000004">
      <c r="A189">
        <v>1220</v>
      </c>
      <c r="B189" t="s">
        <v>1579</v>
      </c>
      <c r="C189" t="s">
        <v>3093</v>
      </c>
      <c r="D189" t="s">
        <v>3584</v>
      </c>
      <c r="E189" t="s">
        <v>3585</v>
      </c>
      <c r="F189" t="s">
        <v>3586</v>
      </c>
      <c r="G189" t="str">
        <f t="shared" si="8"/>
        <v>1667146216</v>
      </c>
      <c r="H189" t="str">
        <f t="shared" si="9"/>
        <v>https://stream-al.planetradio.co.uk/freehereford.aac?</v>
      </c>
      <c r="I189" t="str">
        <f t="shared" si="10"/>
        <v>https://stream-al.planetradio.co.uk/freehereford.aac?aw_0_1st.skey=1667146216&amp;aw_0_1st.playerid=BMUK_ukrp</v>
      </c>
    </row>
    <row r="190" spans="1:9" hidden="1" x14ac:dyDescent="0.55000000000000004">
      <c r="A190">
        <v>1216</v>
      </c>
      <c r="B190" t="s">
        <v>1580</v>
      </c>
      <c r="C190" t="s">
        <v>3093</v>
      </c>
      <c r="D190" t="s">
        <v>3587</v>
      </c>
      <c r="E190" t="s">
        <v>3588</v>
      </c>
      <c r="F190" t="s">
        <v>3589</v>
      </c>
      <c r="G190" t="str">
        <f t="shared" si="8"/>
        <v>1667146219</v>
      </c>
      <c r="H190" t="str">
        <f t="shared" si="9"/>
        <v>https://stream-al.planetradio.co.uk/freeshropshire.aac?</v>
      </c>
      <c r="I190" t="str">
        <f t="shared" si="10"/>
        <v>https://stream-al.planetradio.co.uk/freeshropshire.aac?aw_0_1st.skey=1667146219&amp;aw_0_1st.playerid=BMUK_ukrp</v>
      </c>
    </row>
    <row r="191" spans="1:9" hidden="1" x14ac:dyDescent="0.55000000000000004">
      <c r="A191">
        <v>1504</v>
      </c>
      <c r="B191" t="s">
        <v>3590</v>
      </c>
      <c r="C191" t="s">
        <v>3093</v>
      </c>
      <c r="D191" t="s">
        <v>3591</v>
      </c>
      <c r="E191" t="s">
        <v>3592</v>
      </c>
      <c r="F191" t="s">
        <v>3593</v>
      </c>
      <c r="G191" t="e">
        <f t="shared" si="8"/>
        <v>#VALUE!</v>
      </c>
      <c r="H191" t="str">
        <f t="shared" si="9"/>
        <v>https://stream.rcs.revma.com/s1gvh2z3tm0uv?</v>
      </c>
      <c r="I191" t="e">
        <f t="shared" si="10"/>
        <v>#VALUE!</v>
      </c>
    </row>
    <row r="192" spans="1:9" hidden="1" x14ac:dyDescent="0.55000000000000004">
      <c r="A192">
        <v>1504</v>
      </c>
      <c r="B192" t="s">
        <v>3590</v>
      </c>
      <c r="C192" t="s">
        <v>3093</v>
      </c>
      <c r="D192" t="s">
        <v>3594</v>
      </c>
      <c r="E192" t="s">
        <v>3592</v>
      </c>
      <c r="F192" t="s">
        <v>3593</v>
      </c>
      <c r="G192" t="e">
        <f t="shared" si="8"/>
        <v>#VALUE!</v>
      </c>
      <c r="H192" t="str">
        <f t="shared" si="9"/>
        <v>https://stream.rcs.revma.com/n2tzvkr3tm0uv?</v>
      </c>
      <c r="I192" t="e">
        <f t="shared" si="10"/>
        <v>#VALUE!</v>
      </c>
    </row>
    <row r="193" spans="1:9" hidden="1" x14ac:dyDescent="0.55000000000000004">
      <c r="A193">
        <v>1504</v>
      </c>
      <c r="B193" t="s">
        <v>3590</v>
      </c>
      <c r="C193" t="s">
        <v>3093</v>
      </c>
      <c r="D193" t="s">
        <v>3595</v>
      </c>
      <c r="E193" t="s">
        <v>3592</v>
      </c>
      <c r="F193" t="s">
        <v>3593</v>
      </c>
      <c r="G193" t="e">
        <f t="shared" si="8"/>
        <v>#VALUE!</v>
      </c>
      <c r="H193" t="str">
        <f t="shared" si="9"/>
        <v>https://stream.rcs.revma.com/n2tzvkr3tm0uv?</v>
      </c>
      <c r="I193" t="e">
        <f t="shared" si="10"/>
        <v>#VALUE!</v>
      </c>
    </row>
    <row r="194" spans="1:9" hidden="1" x14ac:dyDescent="0.55000000000000004">
      <c r="A194">
        <v>1339</v>
      </c>
      <c r="B194" t="s">
        <v>3596</v>
      </c>
      <c r="C194" t="s">
        <v>3093</v>
      </c>
      <c r="D194" t="s">
        <v>3597</v>
      </c>
      <c r="E194" t="s">
        <v>3598</v>
      </c>
      <c r="F194" t="s">
        <v>3599</v>
      </c>
      <c r="G194" t="e">
        <f t="shared" si="8"/>
        <v>#VALUE!</v>
      </c>
      <c r="H194" t="str">
        <f t="shared" si="9"/>
        <v>http://stream1.funky.sx:8000/studio1?</v>
      </c>
      <c r="I194" t="e">
        <f t="shared" si="10"/>
        <v>#VALUE!</v>
      </c>
    </row>
    <row r="195" spans="1:9" hidden="1" x14ac:dyDescent="0.55000000000000004">
      <c r="A195">
        <v>1339</v>
      </c>
      <c r="B195" t="s">
        <v>3596</v>
      </c>
      <c r="C195" t="s">
        <v>3093</v>
      </c>
      <c r="D195" t="s">
        <v>3600</v>
      </c>
      <c r="E195" t="s">
        <v>3598</v>
      </c>
      <c r="F195" t="s">
        <v>3599</v>
      </c>
      <c r="G195" t="e">
        <f t="shared" ref="G195:G258" si="11">MID(D195,
FIND("1st.skey=",D195,1)+9,10)</f>
        <v>#VALUE!</v>
      </c>
      <c r="H195" t="str">
        <f t="shared" ref="H195:H258" si="12">LEFT(D195,
FIND("?",D195,1))</f>
        <v>http://stream1.funky.sx:8000/baone?</v>
      </c>
      <c r="I195" t="e">
        <f t="shared" ref="I195:I258" si="13">H195&amp;"aw_0_1st.skey="&amp;G195&amp;"&amp;aw_0_1st.playerid=BMUK_ukrp"</f>
        <v>#VALUE!</v>
      </c>
    </row>
    <row r="196" spans="1:9" hidden="1" x14ac:dyDescent="0.55000000000000004">
      <c r="A196">
        <v>1106</v>
      </c>
      <c r="B196" t="s">
        <v>3601</v>
      </c>
      <c r="C196" t="s">
        <v>3093</v>
      </c>
      <c r="D196" t="s">
        <v>3602</v>
      </c>
      <c r="E196" t="s">
        <v>3603</v>
      </c>
      <c r="F196" t="s">
        <v>3604</v>
      </c>
      <c r="G196" t="e">
        <f t="shared" si="11"/>
        <v>#VALUE!</v>
      </c>
      <c r="H196" t="str">
        <f t="shared" si="12"/>
        <v>https://radio.canstream.co.uk:8007/live.mp3?</v>
      </c>
      <c r="I196" t="e">
        <f t="shared" si="13"/>
        <v>#VALUE!</v>
      </c>
    </row>
    <row r="197" spans="1:9" hidden="1" x14ac:dyDescent="0.55000000000000004">
      <c r="A197">
        <v>1113</v>
      </c>
      <c r="B197" t="s">
        <v>3605</v>
      </c>
      <c r="C197" t="s">
        <v>3093</v>
      </c>
      <c r="D197" t="s">
        <v>3606</v>
      </c>
      <c r="E197" t="s">
        <v>3607</v>
      </c>
      <c r="F197" t="s">
        <v>3608</v>
      </c>
      <c r="G197" t="e">
        <f t="shared" si="11"/>
        <v>#VALUE!</v>
      </c>
      <c r="H197" t="str">
        <f t="shared" si="12"/>
        <v>http://stream.gateway978.com:8000/;stream.mp3?</v>
      </c>
      <c r="I197" t="e">
        <f t="shared" si="13"/>
        <v>#VALUE!</v>
      </c>
    </row>
    <row r="198" spans="1:9" hidden="1" x14ac:dyDescent="0.55000000000000004">
      <c r="A198">
        <v>1113</v>
      </c>
      <c r="B198" t="s">
        <v>3605</v>
      </c>
      <c r="C198" t="s">
        <v>3093</v>
      </c>
      <c r="D198" t="s">
        <v>3609</v>
      </c>
      <c r="E198" t="s">
        <v>3607</v>
      </c>
      <c r="F198" t="s">
        <v>3608</v>
      </c>
      <c r="G198" t="e">
        <f t="shared" si="11"/>
        <v>#VALUE!</v>
      </c>
      <c r="H198" t="str">
        <f t="shared" si="12"/>
        <v>https://stream.gateway978.com/proxy/gateway?</v>
      </c>
      <c r="I198" t="e">
        <f t="shared" si="13"/>
        <v>#VALUE!</v>
      </c>
    </row>
    <row r="199" spans="1:9" hidden="1" x14ac:dyDescent="0.55000000000000004">
      <c r="A199">
        <v>1113</v>
      </c>
      <c r="B199" t="s">
        <v>3605</v>
      </c>
      <c r="C199" t="s">
        <v>3093</v>
      </c>
      <c r="D199" t="s">
        <v>3610</v>
      </c>
      <c r="E199" t="s">
        <v>3607</v>
      </c>
      <c r="F199" t="s">
        <v>3608</v>
      </c>
      <c r="G199" t="e">
        <f t="shared" si="11"/>
        <v>#VALUE!</v>
      </c>
      <c r="H199" t="str">
        <f t="shared" si="12"/>
        <v>https://stream.gateway978.com/proxy/gateway?</v>
      </c>
      <c r="I199" t="e">
        <f t="shared" si="13"/>
        <v>#VALUE!</v>
      </c>
    </row>
    <row r="200" spans="1:9" hidden="1" x14ac:dyDescent="0.55000000000000004">
      <c r="A200">
        <v>1541</v>
      </c>
      <c r="B200" t="s">
        <v>3611</v>
      </c>
      <c r="C200" t="s">
        <v>3093</v>
      </c>
      <c r="D200" t="s">
        <v>3612</v>
      </c>
      <c r="E200" t="s">
        <v>3613</v>
      </c>
      <c r="F200" t="s">
        <v>3614</v>
      </c>
      <c r="G200" t="e">
        <f t="shared" si="11"/>
        <v>#VALUE!</v>
      </c>
      <c r="H200" t="str">
        <f t="shared" si="12"/>
        <v>https://listen-gbnews.sharp-stream.com/gbnews.aac?</v>
      </c>
      <c r="I200" t="e">
        <f t="shared" si="13"/>
        <v>#VALUE!</v>
      </c>
    </row>
    <row r="201" spans="1:9" hidden="1" x14ac:dyDescent="0.55000000000000004">
      <c r="A201">
        <v>1541</v>
      </c>
      <c r="B201" t="s">
        <v>3611</v>
      </c>
      <c r="C201" t="s">
        <v>3093</v>
      </c>
      <c r="D201" t="s">
        <v>3615</v>
      </c>
      <c r="E201" t="s">
        <v>3613</v>
      </c>
      <c r="F201" t="s">
        <v>3614</v>
      </c>
      <c r="G201" t="e">
        <f t="shared" si="11"/>
        <v>#VALUE!</v>
      </c>
      <c r="H201" t="str">
        <f t="shared" si="12"/>
        <v>https://listen-gbnews.sharp-stream.com/gbnews.mp3?</v>
      </c>
      <c r="I201" t="e">
        <f t="shared" si="13"/>
        <v>#VALUE!</v>
      </c>
    </row>
    <row r="202" spans="1:9" hidden="1" x14ac:dyDescent="0.55000000000000004">
      <c r="A202">
        <v>1541</v>
      </c>
      <c r="B202" t="s">
        <v>3611</v>
      </c>
      <c r="C202" t="s">
        <v>3093</v>
      </c>
      <c r="D202" t="s">
        <v>3616</v>
      </c>
      <c r="E202" t="s">
        <v>3613</v>
      </c>
      <c r="F202" t="s">
        <v>3614</v>
      </c>
      <c r="G202" t="e">
        <f t="shared" si="11"/>
        <v>#VALUE!</v>
      </c>
      <c r="H202" t="str">
        <f t="shared" si="12"/>
        <v>https://listen-gbnews.sharp-stream.com/gbnews.aac?</v>
      </c>
      <c r="I202" t="e">
        <f t="shared" si="13"/>
        <v>#VALUE!</v>
      </c>
    </row>
    <row r="203" spans="1:9" hidden="1" x14ac:dyDescent="0.55000000000000004">
      <c r="A203">
        <v>1049</v>
      </c>
      <c r="B203" t="s">
        <v>451</v>
      </c>
      <c r="C203" t="s">
        <v>3093</v>
      </c>
      <c r="D203" t="s">
        <v>3617</v>
      </c>
      <c r="E203" t="s">
        <v>3618</v>
      </c>
      <c r="F203" t="s">
        <v>3619</v>
      </c>
      <c r="G203" t="str">
        <f t="shared" si="11"/>
        <v>1667146238</v>
      </c>
      <c r="H203" t="str">
        <f t="shared" si="12"/>
        <v>https://stream-al.planetradio.co.uk/gem106.aac?</v>
      </c>
      <c r="I203" t="str">
        <f t="shared" si="13"/>
        <v>https://stream-al.planetradio.co.uk/gem106.aac?aw_0_1st.skey=1667146238&amp;aw_0_1st.playerid=BMUK_ukrp</v>
      </c>
    </row>
    <row r="204" spans="1:9" hidden="1" x14ac:dyDescent="0.55000000000000004">
      <c r="A204">
        <v>1506</v>
      </c>
      <c r="B204" t="s">
        <v>453</v>
      </c>
      <c r="C204" t="s">
        <v>3093</v>
      </c>
      <c r="D204" t="s">
        <v>3620</v>
      </c>
      <c r="E204" t="s">
        <v>3621</v>
      </c>
      <c r="F204" t="s">
        <v>3622</v>
      </c>
      <c r="G204" t="e">
        <f t="shared" si="11"/>
        <v>#VALUE!</v>
      </c>
      <c r="H204" t="str">
        <f t="shared" si="12"/>
        <v>https://stream.getradio.co.uk/aac?</v>
      </c>
      <c r="I204" t="e">
        <f t="shared" si="13"/>
        <v>#VALUE!</v>
      </c>
    </row>
    <row r="205" spans="1:9" hidden="1" x14ac:dyDescent="0.55000000000000004">
      <c r="A205">
        <v>1506</v>
      </c>
      <c r="B205" t="s">
        <v>453</v>
      </c>
      <c r="C205" t="s">
        <v>3093</v>
      </c>
      <c r="D205" t="s">
        <v>3623</v>
      </c>
      <c r="E205" t="s">
        <v>3621</v>
      </c>
      <c r="F205" t="s">
        <v>3622</v>
      </c>
      <c r="G205" t="e">
        <f t="shared" si="11"/>
        <v>#VALUE!</v>
      </c>
      <c r="H205" t="str">
        <f t="shared" si="12"/>
        <v>https://stream.getradio.co.uk/mp3?</v>
      </c>
      <c r="I205" t="e">
        <f t="shared" si="13"/>
        <v>#VALUE!</v>
      </c>
    </row>
    <row r="206" spans="1:9" hidden="1" x14ac:dyDescent="0.55000000000000004">
      <c r="A206">
        <v>1506</v>
      </c>
      <c r="B206" t="s">
        <v>453</v>
      </c>
      <c r="C206" t="s">
        <v>3093</v>
      </c>
      <c r="D206" t="s">
        <v>3624</v>
      </c>
      <c r="E206" t="s">
        <v>3621</v>
      </c>
      <c r="F206" t="s">
        <v>3622</v>
      </c>
      <c r="G206" t="e">
        <f t="shared" si="11"/>
        <v>#VALUE!</v>
      </c>
      <c r="H206" t="str">
        <f t="shared" si="12"/>
        <v>https://stream.getradio.co.uk/aac64?</v>
      </c>
      <c r="I206" t="e">
        <f t="shared" si="13"/>
        <v>#VALUE!</v>
      </c>
    </row>
    <row r="207" spans="1:9" hidden="1" x14ac:dyDescent="0.55000000000000004">
      <c r="A207">
        <v>1506</v>
      </c>
      <c r="B207" t="s">
        <v>453</v>
      </c>
      <c r="C207" t="s">
        <v>3093</v>
      </c>
      <c r="D207" t="s">
        <v>3625</v>
      </c>
      <c r="E207" t="s">
        <v>3621</v>
      </c>
      <c r="F207" t="s">
        <v>3622</v>
      </c>
      <c r="G207" t="e">
        <f t="shared" si="11"/>
        <v>#VALUE!</v>
      </c>
      <c r="H207" t="str">
        <f t="shared" si="12"/>
        <v>https://stream.getradio.co.uk/mp3?</v>
      </c>
      <c r="I207" t="e">
        <f t="shared" si="13"/>
        <v>#VALUE!</v>
      </c>
    </row>
    <row r="208" spans="1:9" hidden="1" x14ac:dyDescent="0.55000000000000004">
      <c r="A208">
        <v>1465</v>
      </c>
      <c r="B208" t="s">
        <v>3626</v>
      </c>
      <c r="C208" t="s">
        <v>3093</v>
      </c>
      <c r="D208" t="s">
        <v>3627</v>
      </c>
      <c r="E208" t="s">
        <v>3628</v>
      </c>
      <c r="F208" t="s">
        <v>3629</v>
      </c>
      <c r="G208" t="e">
        <f t="shared" si="11"/>
        <v>#VALUE!</v>
      </c>
      <c r="H208" t="str">
        <f t="shared" si="12"/>
        <v>https://streaming.broadcastradio.com/goradio?</v>
      </c>
      <c r="I208" t="e">
        <f t="shared" si="13"/>
        <v>#VALUE!</v>
      </c>
    </row>
    <row r="209" spans="1:9" hidden="1" x14ac:dyDescent="0.55000000000000004">
      <c r="A209">
        <v>257</v>
      </c>
      <c r="B209" t="s">
        <v>3630</v>
      </c>
      <c r="C209" t="s">
        <v>3093</v>
      </c>
      <c r="D209" t="s">
        <v>3631</v>
      </c>
      <c r="E209" t="s">
        <v>3632</v>
      </c>
      <c r="F209" t="s">
        <v>3633</v>
      </c>
      <c r="G209" t="e">
        <f t="shared" si="11"/>
        <v>#VALUE!</v>
      </c>
      <c r="H209" t="str">
        <f t="shared" si="12"/>
        <v>https://media-ssl.musicradio.com/Gold?</v>
      </c>
      <c r="I209" t="e">
        <f t="shared" si="13"/>
        <v>#VALUE!</v>
      </c>
    </row>
    <row r="210" spans="1:9" hidden="1" x14ac:dyDescent="0.55000000000000004">
      <c r="A210">
        <v>1559</v>
      </c>
      <c r="B210" t="s">
        <v>463</v>
      </c>
      <c r="C210" t="s">
        <v>3093</v>
      </c>
      <c r="D210" t="s">
        <v>3634</v>
      </c>
      <c r="E210" t="s">
        <v>3635</v>
      </c>
      <c r="F210" t="s">
        <v>3636</v>
      </c>
      <c r="G210" t="e">
        <f t="shared" si="11"/>
        <v>#VALUE!</v>
      </c>
      <c r="H210" t="str">
        <f t="shared" si="12"/>
        <v>https://stream.rcs.revma.com/1pnutwsuvrhvv?</v>
      </c>
      <c r="I210" t="e">
        <f t="shared" si="13"/>
        <v>#VALUE!</v>
      </c>
    </row>
    <row r="211" spans="1:9" hidden="1" x14ac:dyDescent="0.55000000000000004">
      <c r="A211">
        <v>1559</v>
      </c>
      <c r="B211" t="s">
        <v>463</v>
      </c>
      <c r="C211" t="s">
        <v>3093</v>
      </c>
      <c r="D211" t="s">
        <v>3637</v>
      </c>
      <c r="E211" t="s">
        <v>3635</v>
      </c>
      <c r="F211" t="s">
        <v>3636</v>
      </c>
      <c r="G211" t="e">
        <f t="shared" si="11"/>
        <v>#VALUE!</v>
      </c>
      <c r="H211" t="str">
        <f t="shared" si="12"/>
        <v>https://stream.rcs.revma.com/1pnutwsuvrhvv?</v>
      </c>
      <c r="I211" t="e">
        <f t="shared" si="13"/>
        <v>#VALUE!</v>
      </c>
    </row>
    <row r="212" spans="1:9" hidden="1" x14ac:dyDescent="0.55000000000000004">
      <c r="A212">
        <v>1464</v>
      </c>
      <c r="B212" t="s">
        <v>3638</v>
      </c>
      <c r="C212" t="s">
        <v>3093</v>
      </c>
      <c r="D212" t="s">
        <v>3639</v>
      </c>
      <c r="E212" t="s">
        <v>3640</v>
      </c>
      <c r="F212" t="s">
        <v>3641</v>
      </c>
      <c r="G212" t="e">
        <f t="shared" si="11"/>
        <v>#VALUE!</v>
      </c>
      <c r="H212" t="str">
        <f t="shared" si="12"/>
        <v>https://my.superstreaming.co.uk/8066/greatdriffield?</v>
      </c>
      <c r="I212" t="e">
        <f t="shared" si="13"/>
        <v>#VALUE!</v>
      </c>
    </row>
    <row r="213" spans="1:9" hidden="1" x14ac:dyDescent="0.55000000000000004">
      <c r="A213">
        <v>609</v>
      </c>
      <c r="B213" t="s">
        <v>3642</v>
      </c>
      <c r="C213" t="s">
        <v>3093</v>
      </c>
      <c r="D213" t="s">
        <v>3643</v>
      </c>
      <c r="E213" t="s">
        <v>3644</v>
      </c>
      <c r="F213" t="s">
        <v>3645</v>
      </c>
      <c r="G213" t="str">
        <f t="shared" si="11"/>
        <v>1667146249</v>
      </c>
      <c r="H213" t="str">
        <f t="shared" si="12"/>
        <v>https://stream-mz.planetradio.co.uk/net2bath.aac?</v>
      </c>
      <c r="I213" t="str">
        <f t="shared" si="13"/>
        <v>https://stream-mz.planetradio.co.uk/net2bath.aac?aw_0_1st.skey=1667146249&amp;aw_0_1st.playerid=BMUK_ukrp</v>
      </c>
    </row>
    <row r="214" spans="1:9" hidden="1" x14ac:dyDescent="0.55000000000000004">
      <c r="A214">
        <v>611</v>
      </c>
      <c r="B214" t="s">
        <v>3646</v>
      </c>
      <c r="C214" t="s">
        <v>3093</v>
      </c>
      <c r="D214" t="s">
        <v>3647</v>
      </c>
      <c r="E214" t="s">
        <v>3648</v>
      </c>
      <c r="F214" t="s">
        <v>3649</v>
      </c>
      <c r="G214" t="str">
        <f t="shared" si="11"/>
        <v>1667146251</v>
      </c>
      <c r="H214" t="str">
        <f t="shared" si="12"/>
        <v>https://stream-mz.planetradio.co.uk/net2berkshire.aac?</v>
      </c>
      <c r="I214" t="str">
        <f t="shared" si="13"/>
        <v>https://stream-mz.planetradio.co.uk/net2berkshire.aac?aw_0_1st.skey=1667146251&amp;aw_0_1st.playerid=BMUK_ukrp</v>
      </c>
    </row>
    <row r="215" spans="1:9" hidden="1" x14ac:dyDescent="0.55000000000000004">
      <c r="A215">
        <v>583</v>
      </c>
      <c r="B215" t="s">
        <v>3650</v>
      </c>
      <c r="C215" t="s">
        <v>3093</v>
      </c>
      <c r="D215" t="s">
        <v>3651</v>
      </c>
      <c r="E215" t="s">
        <v>3652</v>
      </c>
      <c r="F215" t="s">
        <v>3653</v>
      </c>
      <c r="G215" t="str">
        <f t="shared" si="11"/>
        <v>1667146253</v>
      </c>
      <c r="H215" t="str">
        <f t="shared" si="12"/>
        <v>https://stream-mz.planetradio.co.uk/net2westmidlands.aac?</v>
      </c>
      <c r="I215" t="str">
        <f t="shared" si="13"/>
        <v>https://stream-mz.planetradio.co.uk/net2westmidlands.aac?aw_0_1st.skey=1667146253&amp;aw_0_1st.playerid=BMUK_ukrp</v>
      </c>
    </row>
    <row r="216" spans="1:9" hidden="1" x14ac:dyDescent="0.55000000000000004">
      <c r="A216">
        <v>622</v>
      </c>
      <c r="B216" t="s">
        <v>3654</v>
      </c>
      <c r="C216" t="s">
        <v>3093</v>
      </c>
      <c r="D216" t="s">
        <v>3655</v>
      </c>
      <c r="E216" t="s">
        <v>3656</v>
      </c>
      <c r="F216" t="s">
        <v>3657</v>
      </c>
      <c r="G216" t="str">
        <f t="shared" si="11"/>
        <v>1667146256</v>
      </c>
      <c r="H216" t="str">
        <f t="shared" si="12"/>
        <v>https://stream-mz.planetradio.co.uk/net2wolverhampton.aac?</v>
      </c>
      <c r="I216" t="str">
        <f t="shared" si="13"/>
        <v>https://stream-mz.planetradio.co.uk/net2wolverhampton.aac?aw_0_1st.skey=1667146256&amp;aw_0_1st.playerid=BMUK_ukrp</v>
      </c>
    </row>
    <row r="217" spans="1:9" hidden="1" x14ac:dyDescent="0.55000000000000004">
      <c r="A217">
        <v>612</v>
      </c>
      <c r="B217" t="s">
        <v>1587</v>
      </c>
      <c r="C217" t="s">
        <v>3093</v>
      </c>
      <c r="D217" t="s">
        <v>3658</v>
      </c>
      <c r="E217" t="s">
        <v>3659</v>
      </c>
      <c r="F217" t="s">
        <v>3660</v>
      </c>
      <c r="G217" t="str">
        <f t="shared" si="11"/>
        <v>1667146259</v>
      </c>
      <c r="H217" t="str">
        <f t="shared" si="12"/>
        <v>https://stream-mz.planetradio.co.uk/net2bristol.aac?</v>
      </c>
      <c r="I217" t="str">
        <f t="shared" si="13"/>
        <v>https://stream-mz.planetradio.co.uk/net2bristol.aac?aw_0_1st.skey=1667146259&amp;aw_0_1st.playerid=BMUK_ukrp</v>
      </c>
    </row>
    <row r="218" spans="1:9" hidden="1" x14ac:dyDescent="0.55000000000000004">
      <c r="A218">
        <v>618</v>
      </c>
      <c r="B218" t="s">
        <v>3661</v>
      </c>
      <c r="C218" t="s">
        <v>3093</v>
      </c>
      <c r="D218" t="s">
        <v>3662</v>
      </c>
      <c r="E218" t="s">
        <v>3663</v>
      </c>
      <c r="F218" t="s">
        <v>3664</v>
      </c>
      <c r="G218" t="str">
        <f t="shared" si="11"/>
        <v>1667146262</v>
      </c>
      <c r="H218" t="str">
        <f t="shared" si="12"/>
        <v>https://stream-mz.planetradio.co.uk/net2aylesbury.aac?</v>
      </c>
      <c r="I218" t="str">
        <f t="shared" si="13"/>
        <v>https://stream-mz.planetradio.co.uk/net2aylesbury.aac?aw_0_1st.skey=1667146262&amp;aw_0_1st.playerid=BMUK_ukrp</v>
      </c>
    </row>
    <row r="219" spans="1:9" hidden="1" x14ac:dyDescent="0.55000000000000004">
      <c r="A219">
        <v>594</v>
      </c>
      <c r="B219" t="s">
        <v>1598</v>
      </c>
      <c r="C219" t="s">
        <v>3093</v>
      </c>
      <c r="D219" t="s">
        <v>3665</v>
      </c>
      <c r="E219" t="s">
        <v>3666</v>
      </c>
      <c r="F219" t="s">
        <v>3667</v>
      </c>
      <c r="G219" t="str">
        <f t="shared" si="11"/>
        <v>1667146265</v>
      </c>
      <c r="H219" t="str">
        <f t="shared" si="12"/>
        <v>https://stream.apollo.audio/gh0/hi/aac/?</v>
      </c>
      <c r="I219" t="str">
        <f t="shared" si="13"/>
        <v>https://stream.apollo.audio/gh0/hi/aac/?aw_0_1st.skey=1667146265&amp;aw_0_1st.playerid=BMUK_ukrp</v>
      </c>
    </row>
    <row r="220" spans="1:9" hidden="1" x14ac:dyDescent="0.55000000000000004">
      <c r="A220">
        <v>600</v>
      </c>
      <c r="B220" t="s">
        <v>3668</v>
      </c>
      <c r="C220" t="s">
        <v>3093</v>
      </c>
      <c r="D220" t="s">
        <v>3669</v>
      </c>
      <c r="E220" t="s">
        <v>3670</v>
      </c>
      <c r="F220" t="s">
        <v>3671</v>
      </c>
      <c r="G220" t="str">
        <f t="shared" si="11"/>
        <v>1667146268</v>
      </c>
      <c r="H220" t="str">
        <f t="shared" si="12"/>
        <v>https://stream-mz.planetradio.co.uk/net2cornwall.aac?</v>
      </c>
      <c r="I220" t="str">
        <f t="shared" si="13"/>
        <v>https://stream-mz.planetradio.co.uk/net2cornwall.aac?aw_0_1st.skey=1667146268&amp;aw_0_1st.playerid=BMUK_ukrp</v>
      </c>
    </row>
    <row r="221" spans="1:9" hidden="1" x14ac:dyDescent="0.55000000000000004">
      <c r="A221">
        <v>585</v>
      </c>
      <c r="B221" t="s">
        <v>3672</v>
      </c>
      <c r="C221" t="s">
        <v>3093</v>
      </c>
      <c r="D221" t="s">
        <v>3673</v>
      </c>
      <c r="E221" t="s">
        <v>3674</v>
      </c>
      <c r="F221" t="s">
        <v>3675</v>
      </c>
      <c r="G221" t="str">
        <f t="shared" si="11"/>
        <v>1667146271</v>
      </c>
      <c r="H221" t="str">
        <f t="shared" si="12"/>
        <v>https://stream-mz.planetradio.co.uk/net2coventry.aac?</v>
      </c>
      <c r="I221" t="str">
        <f t="shared" si="13"/>
        <v>https://stream-mz.planetradio.co.uk/net2coventry.aac?aw_0_1st.skey=1667146271&amp;aw_0_1st.playerid=BMUK_ukrp</v>
      </c>
    </row>
    <row r="222" spans="1:9" hidden="1" x14ac:dyDescent="0.55000000000000004">
      <c r="A222">
        <v>604</v>
      </c>
      <c r="B222" t="s">
        <v>1589</v>
      </c>
      <c r="C222" t="s">
        <v>3093</v>
      </c>
      <c r="D222" t="s">
        <v>3676</v>
      </c>
      <c r="E222" t="s">
        <v>3677</v>
      </c>
      <c r="F222" t="s">
        <v>3678</v>
      </c>
      <c r="G222" t="str">
        <f t="shared" si="11"/>
        <v>1667146274</v>
      </c>
      <c r="H222" t="str">
        <f t="shared" si="12"/>
        <v>https://stream-mz.planetradio.co.uk/net2devon.aac?</v>
      </c>
      <c r="I222" t="str">
        <f t="shared" si="13"/>
        <v>https://stream-mz.planetradio.co.uk/net2devon.aac?aw_0_1st.skey=1667146274&amp;aw_0_1st.playerid=BMUK_ukrp</v>
      </c>
    </row>
    <row r="223" spans="1:9" hidden="1" x14ac:dyDescent="0.55000000000000004">
      <c r="A223">
        <v>627</v>
      </c>
      <c r="B223" t="s">
        <v>3679</v>
      </c>
      <c r="C223" t="s">
        <v>3093</v>
      </c>
      <c r="D223" t="s">
        <v>3680</v>
      </c>
      <c r="E223" t="s">
        <v>3681</v>
      </c>
      <c r="F223" t="s">
        <v>3682</v>
      </c>
      <c r="G223" t="str">
        <f t="shared" si="11"/>
        <v>1667146277</v>
      </c>
      <c r="H223" t="str">
        <f t="shared" si="12"/>
        <v>https://stream.apollo.audio/gwd/hi/aac/?</v>
      </c>
      <c r="I223" t="str">
        <f t="shared" si="13"/>
        <v>https://stream.apollo.audio/gwd/hi/aac/?aw_0_1st.skey=1667146277&amp;aw_0_1st.playerid=BMUK_ukrp</v>
      </c>
    </row>
    <row r="224" spans="1:9" hidden="1" x14ac:dyDescent="0.55000000000000004">
      <c r="A224">
        <v>603</v>
      </c>
      <c r="B224" t="s">
        <v>3683</v>
      </c>
      <c r="C224" t="s">
        <v>3093</v>
      </c>
      <c r="D224" t="s">
        <v>3684</v>
      </c>
      <c r="E224" t="s">
        <v>3685</v>
      </c>
      <c r="F224" t="s">
        <v>3686</v>
      </c>
      <c r="G224" t="str">
        <f t="shared" si="11"/>
        <v>1667146280</v>
      </c>
      <c r="H224" t="str">
        <f t="shared" si="12"/>
        <v>https://stream-mz.planetradio.co.uk/net2eastmidlands.aac?</v>
      </c>
      <c r="I224" t="str">
        <f t="shared" si="13"/>
        <v>https://stream-mz.planetradio.co.uk/net2eastmidlands.aac?aw_0_1st.skey=1667146280&amp;aw_0_1st.playerid=BMUK_ukrp</v>
      </c>
    </row>
    <row r="225" spans="1:9" hidden="1" x14ac:dyDescent="0.55000000000000004">
      <c r="A225">
        <v>578</v>
      </c>
      <c r="B225" t="s">
        <v>3687</v>
      </c>
      <c r="C225" t="s">
        <v>3093</v>
      </c>
      <c r="D225" t="s">
        <v>3688</v>
      </c>
      <c r="E225" t="s">
        <v>3689</v>
      </c>
      <c r="F225" t="s">
        <v>3690</v>
      </c>
      <c r="G225" t="str">
        <f t="shared" si="11"/>
        <v>1667146282</v>
      </c>
      <c r="H225" t="str">
        <f t="shared" si="12"/>
        <v>https://stream-mz.planetradio.co.uk/net2hull.aac?</v>
      </c>
      <c r="I225" t="str">
        <f t="shared" si="13"/>
        <v>https://stream-mz.planetradio.co.uk/net2hull.aac?aw_0_1st.skey=1667146282&amp;aw_0_1st.playerid=BMUK_ukrp</v>
      </c>
    </row>
    <row r="226" spans="1:9" hidden="1" x14ac:dyDescent="0.55000000000000004">
      <c r="A226">
        <v>614</v>
      </c>
      <c r="B226" t="s">
        <v>3691</v>
      </c>
      <c r="C226" t="s">
        <v>3093</v>
      </c>
      <c r="D226" t="s">
        <v>3692</v>
      </c>
      <c r="E226" t="s">
        <v>3693</v>
      </c>
      <c r="F226" t="s">
        <v>3694</v>
      </c>
      <c r="G226" t="str">
        <f t="shared" si="11"/>
        <v>1667146286</v>
      </c>
      <c r="H226" t="str">
        <f t="shared" si="12"/>
        <v>https://stream-mz.planetradio.co.uk/net2essex.aac?</v>
      </c>
      <c r="I226" t="str">
        <f t="shared" si="13"/>
        <v>https://stream-mz.planetradio.co.uk/net2essex.aac?aw_0_1st.skey=1667146286&amp;aw_0_1st.playerid=BMUK_ukrp</v>
      </c>
    </row>
    <row r="227" spans="1:9" hidden="1" x14ac:dyDescent="0.55000000000000004">
      <c r="A227">
        <v>610</v>
      </c>
      <c r="B227" t="s">
        <v>3695</v>
      </c>
      <c r="C227" t="s">
        <v>3093</v>
      </c>
      <c r="D227" t="s">
        <v>3696</v>
      </c>
      <c r="E227" t="s">
        <v>3697</v>
      </c>
      <c r="F227" t="s">
        <v>3698</v>
      </c>
      <c r="G227" t="str">
        <f t="shared" si="11"/>
        <v>1667146288</v>
      </c>
      <c r="H227" t="str">
        <f t="shared" si="12"/>
        <v>https://stream-mz.planetradio.co.uk/net2gloucester.aac?</v>
      </c>
      <c r="I227" t="str">
        <f t="shared" si="13"/>
        <v>https://stream-mz.planetradio.co.uk/net2gloucester.aac?aw_0_1st.skey=1667146288&amp;aw_0_1st.playerid=BMUK_ukrp</v>
      </c>
    </row>
    <row r="228" spans="1:9" hidden="1" x14ac:dyDescent="0.55000000000000004">
      <c r="A228">
        <v>613</v>
      </c>
      <c r="B228" t="s">
        <v>3699</v>
      </c>
      <c r="C228" t="s">
        <v>3093</v>
      </c>
      <c r="D228" t="s">
        <v>3700</v>
      </c>
      <c r="E228" t="s">
        <v>3701</v>
      </c>
      <c r="F228" t="s">
        <v>3702</v>
      </c>
      <c r="G228" t="str">
        <f t="shared" si="11"/>
        <v>1667146291</v>
      </c>
      <c r="H228" t="str">
        <f t="shared" si="12"/>
        <v>https://stream-mz.planetradio.co.uk/net2grimsby.aac?</v>
      </c>
      <c r="I228" t="str">
        <f t="shared" si="13"/>
        <v>https://stream-mz.planetradio.co.uk/net2grimsby.aac?aw_0_1st.skey=1667146291&amp;aw_0_1st.playerid=BMUK_ukrp</v>
      </c>
    </row>
    <row r="229" spans="1:9" hidden="1" x14ac:dyDescent="0.55000000000000004">
      <c r="A229">
        <v>625</v>
      </c>
      <c r="B229" t="s">
        <v>3703</v>
      </c>
      <c r="C229" t="s">
        <v>3093</v>
      </c>
      <c r="D229" t="s">
        <v>3704</v>
      </c>
      <c r="E229" t="s">
        <v>3705</v>
      </c>
      <c r="F229" t="s">
        <v>3706</v>
      </c>
      <c r="G229" t="str">
        <f t="shared" si="11"/>
        <v>1667146294</v>
      </c>
      <c r="H229" t="str">
        <f t="shared" si="12"/>
        <v>https://stream-mz.planetradio.co.uk/net2harrogate.aac?</v>
      </c>
      <c r="I229" t="str">
        <f t="shared" si="13"/>
        <v>https://stream-mz.planetradio.co.uk/net2harrogate.aac?aw_0_1st.skey=1667146294&amp;aw_0_1st.playerid=BMUK_ukrp</v>
      </c>
    </row>
    <row r="230" spans="1:9" hidden="1" x14ac:dyDescent="0.55000000000000004">
      <c r="A230">
        <v>586</v>
      </c>
      <c r="B230" t="s">
        <v>3707</v>
      </c>
      <c r="C230" t="s">
        <v>3093</v>
      </c>
      <c r="D230" t="s">
        <v>3708</v>
      </c>
      <c r="E230" t="s">
        <v>3709</v>
      </c>
      <c r="F230" t="s">
        <v>3710</v>
      </c>
      <c r="G230" t="str">
        <f t="shared" si="11"/>
        <v>1667146297</v>
      </c>
      <c r="H230" t="str">
        <f t="shared" si="12"/>
        <v>https://stream-mz.planetradio.co.uk/net2worcester.aac?</v>
      </c>
      <c r="I230" t="str">
        <f t="shared" si="13"/>
        <v>https://stream-mz.planetradio.co.uk/net2worcester.aac?aw_0_1st.skey=1667146297&amp;aw_0_1st.playerid=BMUK_ukrp</v>
      </c>
    </row>
    <row r="231" spans="1:9" hidden="1" x14ac:dyDescent="0.55000000000000004">
      <c r="A231">
        <v>574</v>
      </c>
      <c r="B231" t="s">
        <v>3711</v>
      </c>
      <c r="C231" t="s">
        <v>3093</v>
      </c>
      <c r="D231" t="s">
        <v>3712</v>
      </c>
      <c r="E231" t="s">
        <v>3713</v>
      </c>
      <c r="F231" t="s">
        <v>3714</v>
      </c>
      <c r="G231" t="str">
        <f t="shared" si="11"/>
        <v>1667146300</v>
      </c>
      <c r="H231" t="str">
        <f t="shared" si="12"/>
        <v>https://stream-mz.planetradio.co.uk/magic999.aac?</v>
      </c>
      <c r="I231" t="str">
        <f t="shared" si="13"/>
        <v>https://stream-mz.planetradio.co.uk/magic999.aac?aw_0_1st.skey=1667146300&amp;aw_0_1st.playerid=BMUK_ukrp</v>
      </c>
    </row>
    <row r="232" spans="1:9" hidden="1" x14ac:dyDescent="0.55000000000000004">
      <c r="A232">
        <v>576</v>
      </c>
      <c r="B232" t="s">
        <v>1595</v>
      </c>
      <c r="C232" t="s">
        <v>3093</v>
      </c>
      <c r="D232" t="s">
        <v>3715</v>
      </c>
      <c r="E232" t="s">
        <v>3716</v>
      </c>
      <c r="F232" t="s">
        <v>3717</v>
      </c>
      <c r="G232" t="str">
        <f t="shared" si="11"/>
        <v>1667146303</v>
      </c>
      <c r="H232" t="str">
        <f t="shared" si="12"/>
        <v>https://stream-mz.planetradio.co.uk/magic828.aac?</v>
      </c>
      <c r="I232" t="str">
        <f t="shared" si="13"/>
        <v>https://stream-mz.planetradio.co.uk/magic828.aac?aw_0_1st.skey=1667146303&amp;aw_0_1st.playerid=BMUK_ukrp</v>
      </c>
    </row>
    <row r="233" spans="1:9" hidden="1" x14ac:dyDescent="0.55000000000000004">
      <c r="A233">
        <v>575</v>
      </c>
      <c r="B233" t="s">
        <v>3718</v>
      </c>
      <c r="C233" t="s">
        <v>3093</v>
      </c>
      <c r="D233" t="s">
        <v>3719</v>
      </c>
      <c r="E233" t="s">
        <v>3720</v>
      </c>
      <c r="F233" t="s">
        <v>3721</v>
      </c>
      <c r="G233" t="str">
        <f t="shared" si="11"/>
        <v>1667146306</v>
      </c>
      <c r="H233" t="str">
        <f t="shared" si="12"/>
        <v>https://stream-mz.planetradio.co.uk/magic1548.aac?</v>
      </c>
      <c r="I233" t="str">
        <f t="shared" si="13"/>
        <v>https://stream-mz.planetradio.co.uk/magic1548.aac?aw_0_1st.skey=1667146306&amp;aw_0_1st.playerid=BMUK_ukrp</v>
      </c>
    </row>
    <row r="234" spans="1:9" hidden="1" x14ac:dyDescent="0.55000000000000004">
      <c r="A234">
        <v>605</v>
      </c>
      <c r="B234" t="s">
        <v>3722</v>
      </c>
      <c r="C234" t="s">
        <v>3093</v>
      </c>
      <c r="D234" t="s">
        <v>3723</v>
      </c>
      <c r="E234" t="s">
        <v>3724</v>
      </c>
      <c r="F234" t="s">
        <v>3725</v>
      </c>
      <c r="G234" t="str">
        <f t="shared" si="11"/>
        <v>1667146309</v>
      </c>
      <c r="H234" t="str">
        <f t="shared" si="12"/>
        <v>https://stream-mz.planetradio.co.uk/net2lincoln.aac?</v>
      </c>
      <c r="I234" t="str">
        <f t="shared" si="13"/>
        <v>https://stream-mz.planetradio.co.uk/net2lincoln.aac?aw_0_1st.skey=1667146309&amp;aw_0_1st.playerid=BMUK_ukrp</v>
      </c>
    </row>
    <row r="235" spans="1:9" hidden="1" x14ac:dyDescent="0.55000000000000004">
      <c r="A235">
        <v>571</v>
      </c>
      <c r="B235" t="s">
        <v>3726</v>
      </c>
      <c r="C235" t="s">
        <v>3093</v>
      </c>
      <c r="D235" t="s">
        <v>3727</v>
      </c>
      <c r="E235" t="s">
        <v>3728</v>
      </c>
      <c r="F235" t="s">
        <v>3729</v>
      </c>
      <c r="G235" t="str">
        <f t="shared" si="11"/>
        <v>1667146311</v>
      </c>
      <c r="H235" t="str">
        <f t="shared" si="12"/>
        <v>https://stream-mz.planetradio.co.uk/magic1152m.aac?</v>
      </c>
      <c r="I235" t="str">
        <f t="shared" si="13"/>
        <v>https://stream-mz.planetradio.co.uk/magic1152m.aac?aw_0_1st.skey=1667146311&amp;aw_0_1st.playerid=BMUK_ukrp</v>
      </c>
    </row>
    <row r="236" spans="1:9" hidden="1" x14ac:dyDescent="0.55000000000000004">
      <c r="A236">
        <v>608</v>
      </c>
      <c r="B236" t="s">
        <v>3730</v>
      </c>
      <c r="C236" t="s">
        <v>3093</v>
      </c>
      <c r="D236" t="s">
        <v>3731</v>
      </c>
      <c r="E236" t="s">
        <v>3732</v>
      </c>
      <c r="F236" t="s">
        <v>3733</v>
      </c>
      <c r="G236" t="str">
        <f t="shared" si="11"/>
        <v>1667146315</v>
      </c>
      <c r="H236" t="str">
        <f t="shared" si="12"/>
        <v>https://stream-mz.planetradio.co.uk/net2norfolk.aac?</v>
      </c>
      <c r="I236" t="str">
        <f t="shared" si="13"/>
        <v>https://stream-mz.planetradio.co.uk/net2norfolk.aac?aw_0_1st.skey=1667146315&amp;aw_0_1st.playerid=BMUK_ukrp</v>
      </c>
    </row>
    <row r="237" spans="1:9" hidden="1" x14ac:dyDescent="0.55000000000000004">
      <c r="A237">
        <v>572</v>
      </c>
      <c r="B237" t="s">
        <v>3734</v>
      </c>
      <c r="C237" t="s">
        <v>3093</v>
      </c>
      <c r="D237" t="s">
        <v>3735</v>
      </c>
      <c r="E237" t="s">
        <v>3736</v>
      </c>
      <c r="F237" t="s">
        <v>3737</v>
      </c>
      <c r="G237" t="str">
        <f t="shared" si="11"/>
        <v>1667146316</v>
      </c>
      <c r="H237" t="str">
        <f t="shared" si="12"/>
        <v>https://stream-mz.planetradio.co.uk/magic1152n.aac?</v>
      </c>
      <c r="I237" t="str">
        <f t="shared" si="13"/>
        <v>https://stream-mz.planetradio.co.uk/magic1152n.aac?aw_0_1st.skey=1667146316&amp;aw_0_1st.playerid=BMUK_ukrp</v>
      </c>
    </row>
    <row r="238" spans="1:9" hidden="1" x14ac:dyDescent="0.55000000000000004">
      <c r="A238">
        <v>619</v>
      </c>
      <c r="B238" t="s">
        <v>1588</v>
      </c>
      <c r="C238" t="s">
        <v>3093</v>
      </c>
      <c r="D238" t="s">
        <v>3738</v>
      </c>
      <c r="E238" t="s">
        <v>3739</v>
      </c>
      <c r="F238" t="s">
        <v>3740</v>
      </c>
      <c r="G238" t="str">
        <f t="shared" si="11"/>
        <v>1667146319</v>
      </c>
      <c r="H238" t="str">
        <f t="shared" si="12"/>
        <v>https://stream-mz.planetradio.co.uk/net2chesterfield.aac?</v>
      </c>
      <c r="I238" t="str">
        <f t="shared" si="13"/>
        <v>https://stream-mz.planetradio.co.uk/net2chesterfield.aac?aw_0_1st.skey=1667146319&amp;aw_0_1st.playerid=BMUK_ukrp</v>
      </c>
    </row>
    <row r="239" spans="1:9" hidden="1" x14ac:dyDescent="0.55000000000000004">
      <c r="A239">
        <v>634</v>
      </c>
      <c r="B239" t="s">
        <v>3741</v>
      </c>
      <c r="C239" t="s">
        <v>3093</v>
      </c>
      <c r="D239" t="s">
        <v>3742</v>
      </c>
      <c r="E239" t="s">
        <v>3743</v>
      </c>
      <c r="F239" t="s">
        <v>3744</v>
      </c>
      <c r="G239" t="str">
        <f t="shared" si="11"/>
        <v>1667146322</v>
      </c>
      <c r="H239" t="str">
        <f t="shared" si="12"/>
        <v>https://stream-mz.planetradio.co.uk/net2plymouth.aac?</v>
      </c>
      <c r="I239" t="str">
        <f t="shared" si="13"/>
        <v>https://stream-mz.planetradio.co.uk/net2plymouth.aac?aw_0_1st.skey=1667146322&amp;aw_0_1st.playerid=BMUK_ukrp</v>
      </c>
    </row>
    <row r="240" spans="1:9" hidden="1" x14ac:dyDescent="0.55000000000000004">
      <c r="A240">
        <v>601</v>
      </c>
      <c r="B240" t="s">
        <v>3745</v>
      </c>
      <c r="C240" t="s">
        <v>3093</v>
      </c>
      <c r="D240" t="s">
        <v>3746</v>
      </c>
      <c r="E240" t="s">
        <v>3747</v>
      </c>
      <c r="F240" t="s">
        <v>3748</v>
      </c>
      <c r="G240" t="str">
        <f t="shared" si="11"/>
        <v>1667146325</v>
      </c>
      <c r="H240" t="str">
        <f t="shared" si="12"/>
        <v>https://stream-mz.planetradio.co.uk/net2somerset.aac?</v>
      </c>
      <c r="I240" t="str">
        <f t="shared" si="13"/>
        <v>https://stream-mz.planetradio.co.uk/net2somerset.aac?aw_0_1st.skey=1667146325&amp;aw_0_1st.playerid=BMUK_ukrp</v>
      </c>
    </row>
    <row r="241" spans="1:9" hidden="1" x14ac:dyDescent="0.55000000000000004">
      <c r="A241">
        <v>602</v>
      </c>
      <c r="B241" t="s">
        <v>1591</v>
      </c>
      <c r="C241" t="s">
        <v>3093</v>
      </c>
      <c r="D241" t="s">
        <v>3749</v>
      </c>
      <c r="E241" t="s">
        <v>3750</v>
      </c>
      <c r="F241" t="s">
        <v>3751</v>
      </c>
      <c r="G241" t="str">
        <f t="shared" si="11"/>
        <v>1667146327</v>
      </c>
      <c r="H241" t="str">
        <f t="shared" si="12"/>
        <v>https://stream-mz.planetradio.co.uk/net2southcoast.aac?</v>
      </c>
      <c r="I241" t="str">
        <f t="shared" si="13"/>
        <v>https://stream-mz.planetradio.co.uk/net2southcoast.aac?aw_0_1st.skey=1667146327&amp;aw_0_1st.playerid=BMUK_ukrp</v>
      </c>
    </row>
    <row r="242" spans="1:9" hidden="1" x14ac:dyDescent="0.55000000000000004">
      <c r="A242">
        <v>624</v>
      </c>
      <c r="B242" t="s">
        <v>3752</v>
      </c>
      <c r="C242" t="s">
        <v>3093</v>
      </c>
      <c r="D242" t="s">
        <v>3753</v>
      </c>
      <c r="E242" t="s">
        <v>3754</v>
      </c>
      <c r="F242" t="s">
        <v>3755</v>
      </c>
      <c r="G242" t="str">
        <f t="shared" si="11"/>
        <v>1667146332</v>
      </c>
      <c r="H242" t="str">
        <f t="shared" si="12"/>
        <v>https://stream-mz.planetradio.co.uk/net2salisbury.aac?</v>
      </c>
      <c r="I242" t="str">
        <f t="shared" si="13"/>
        <v>https://stream-mz.planetradio.co.uk/net2salisbury.aac?aw_0_1st.skey=1667146332&amp;aw_0_1st.playerid=BMUK_ukrp</v>
      </c>
    </row>
    <row r="243" spans="1:9" hidden="1" x14ac:dyDescent="0.55000000000000004">
      <c r="A243">
        <v>577</v>
      </c>
      <c r="B243" t="s">
        <v>3756</v>
      </c>
      <c r="C243" t="s">
        <v>3093</v>
      </c>
      <c r="D243" t="s">
        <v>3757</v>
      </c>
      <c r="E243" t="s">
        <v>3758</v>
      </c>
      <c r="F243" t="s">
        <v>3759</v>
      </c>
      <c r="G243" t="str">
        <f t="shared" si="11"/>
        <v>1667146335</v>
      </c>
      <c r="H243" t="str">
        <f t="shared" si="12"/>
        <v>https://stream-mz.planetradio.co.uk/magicam.aac?</v>
      </c>
      <c r="I243" t="str">
        <f t="shared" si="13"/>
        <v>https://stream-mz.planetradio.co.uk/magicam.aac?aw_0_1st.skey=1667146335&amp;aw_0_1st.playerid=BMUK_ukrp</v>
      </c>
    </row>
    <row r="244" spans="1:9" hidden="1" x14ac:dyDescent="0.55000000000000004">
      <c r="A244">
        <v>626</v>
      </c>
      <c r="B244" t="s">
        <v>1592</v>
      </c>
      <c r="C244" t="s">
        <v>3093</v>
      </c>
      <c r="D244" t="s">
        <v>3760</v>
      </c>
      <c r="E244" t="s">
        <v>3761</v>
      </c>
      <c r="F244" t="s">
        <v>3762</v>
      </c>
      <c r="G244" t="str">
        <f t="shared" si="11"/>
        <v>1667146340</v>
      </c>
      <c r="H244" t="str">
        <f t="shared" si="12"/>
        <v>https://stream-mz.planetradio.co.uk/net2southwales.aac?</v>
      </c>
      <c r="I244" t="str">
        <f t="shared" si="13"/>
        <v>https://stream-mz.planetradio.co.uk/net2southwales.aac?aw_0_1st.skey=1667146340&amp;aw_0_1st.playerid=BMUK_ukrp</v>
      </c>
    </row>
    <row r="245" spans="1:9" hidden="1" x14ac:dyDescent="0.55000000000000004">
      <c r="A245">
        <v>620</v>
      </c>
      <c r="B245" t="s">
        <v>3763</v>
      </c>
      <c r="C245" t="s">
        <v>3093</v>
      </c>
      <c r="D245" t="s">
        <v>3764</v>
      </c>
      <c r="E245" t="s">
        <v>3765</v>
      </c>
      <c r="F245" t="s">
        <v>3766</v>
      </c>
      <c r="G245" t="str">
        <f t="shared" si="11"/>
        <v>1667146343</v>
      </c>
      <c r="H245" t="str">
        <f t="shared" si="12"/>
        <v>https://stream-mz.planetradio.co.uk/net2rutland.aac?</v>
      </c>
      <c r="I245" t="str">
        <f t="shared" si="13"/>
        <v>https://stream-mz.planetradio.co.uk/net2rutland.aac?aw_0_1st.skey=1667146343&amp;aw_0_1st.playerid=BMUK_ukrp</v>
      </c>
    </row>
    <row r="246" spans="1:9" hidden="1" x14ac:dyDescent="0.55000000000000004">
      <c r="A246">
        <v>623</v>
      </c>
      <c r="B246" t="s">
        <v>3767</v>
      </c>
      <c r="C246" t="s">
        <v>3093</v>
      </c>
      <c r="D246" t="s">
        <v>3768</v>
      </c>
      <c r="E246" t="s">
        <v>3769</v>
      </c>
      <c r="F246" t="s">
        <v>3770</v>
      </c>
      <c r="G246" t="str">
        <f t="shared" si="11"/>
        <v>1667146346</v>
      </c>
      <c r="H246" t="str">
        <f t="shared" si="12"/>
        <v>https://stream-mz.planetradio.co.uk/net2stoke.aac?</v>
      </c>
      <c r="I246" t="str">
        <f t="shared" si="13"/>
        <v>https://stream-mz.planetradio.co.uk/net2stoke.aac?aw_0_1st.skey=1667146346&amp;aw_0_1st.playerid=BMUK_ukrp</v>
      </c>
    </row>
    <row r="247" spans="1:9" hidden="1" x14ac:dyDescent="0.55000000000000004">
      <c r="A247">
        <v>615</v>
      </c>
      <c r="B247" t="s">
        <v>3771</v>
      </c>
      <c r="C247" t="s">
        <v>3093</v>
      </c>
      <c r="D247" t="s">
        <v>3772</v>
      </c>
      <c r="E247" t="s">
        <v>3773</v>
      </c>
      <c r="F247" t="s">
        <v>3774</v>
      </c>
      <c r="G247" t="str">
        <f t="shared" si="11"/>
        <v>1667146349</v>
      </c>
      <c r="H247" t="str">
        <f t="shared" si="12"/>
        <v>https://stream-mz.planetradio.co.uk/net2surrey.aac?</v>
      </c>
      <c r="I247" t="str">
        <f t="shared" si="13"/>
        <v>https://stream-mz.planetradio.co.uk/net2surrey.aac?aw_0_1st.skey=1667146349&amp;aw_0_1st.playerid=BMUK_ukrp</v>
      </c>
    </row>
    <row r="248" spans="1:9" hidden="1" x14ac:dyDescent="0.55000000000000004">
      <c r="A248">
        <v>629</v>
      </c>
      <c r="B248" t="s">
        <v>3775</v>
      </c>
      <c r="C248" t="s">
        <v>3093</v>
      </c>
      <c r="D248" t="s">
        <v>3776</v>
      </c>
      <c r="E248" t="s">
        <v>3777</v>
      </c>
      <c r="F248" t="s">
        <v>3778</v>
      </c>
      <c r="G248" t="str">
        <f t="shared" si="11"/>
        <v>1667146352</v>
      </c>
      <c r="H248" t="str">
        <f t="shared" si="12"/>
        <v>https://stream-mz.planetradio.co.uk/net2suffolk.aac?</v>
      </c>
      <c r="I248" t="str">
        <f t="shared" si="13"/>
        <v>https://stream-mz.planetradio.co.uk/net2suffolk.aac?aw_0_1st.skey=1667146352&amp;aw_0_1st.playerid=BMUK_ukrp</v>
      </c>
    </row>
    <row r="249" spans="1:9" hidden="1" x14ac:dyDescent="0.55000000000000004">
      <c r="A249">
        <v>621</v>
      </c>
      <c r="B249" t="s">
        <v>1594</v>
      </c>
      <c r="C249" t="s">
        <v>3093</v>
      </c>
      <c r="D249" t="s">
        <v>3779</v>
      </c>
      <c r="E249" t="s">
        <v>3780</v>
      </c>
      <c r="F249" t="s">
        <v>3781</v>
      </c>
      <c r="G249" t="str">
        <f t="shared" si="11"/>
        <v>1667146354</v>
      </c>
      <c r="H249" t="str">
        <f t="shared" si="12"/>
        <v>https://stream-mz.planetradio.co.uk/net2swindon.aac?</v>
      </c>
      <c r="I249" t="str">
        <f t="shared" si="13"/>
        <v>https://stream-mz.planetradio.co.uk/net2swindon.aac?aw_0_1st.skey=1667146354&amp;aw_0_1st.playerid=BMUK_ukrp</v>
      </c>
    </row>
    <row r="250" spans="1:9" hidden="1" x14ac:dyDescent="0.55000000000000004">
      <c r="A250">
        <v>573</v>
      </c>
      <c r="B250" t="s">
        <v>3782</v>
      </c>
      <c r="C250" t="s">
        <v>3093</v>
      </c>
      <c r="D250" t="s">
        <v>3783</v>
      </c>
      <c r="E250" t="s">
        <v>3784</v>
      </c>
      <c r="F250" t="s">
        <v>3785</v>
      </c>
      <c r="G250" t="str">
        <f t="shared" si="11"/>
        <v>1667146357</v>
      </c>
      <c r="H250" t="str">
        <f t="shared" si="12"/>
        <v>https://stream-mz.planetradio.co.uk/magic1170.aac?</v>
      </c>
      <c r="I250" t="str">
        <f t="shared" si="13"/>
        <v>https://stream-mz.planetradio.co.uk/magic1170.aac?aw_0_1st.skey=1667146357&amp;aw_0_1st.playerid=BMUK_ukrp</v>
      </c>
    </row>
    <row r="251" spans="1:9" hidden="1" x14ac:dyDescent="0.55000000000000004">
      <c r="A251">
        <v>606</v>
      </c>
      <c r="B251" t="s">
        <v>1593</v>
      </c>
      <c r="C251" t="s">
        <v>3093</v>
      </c>
      <c r="D251" t="s">
        <v>3786</v>
      </c>
      <c r="E251" t="s">
        <v>3787</v>
      </c>
      <c r="F251" t="s">
        <v>3788</v>
      </c>
      <c r="G251" t="str">
        <f t="shared" si="11"/>
        <v>1667146359</v>
      </c>
      <c r="H251" t="str">
        <f t="shared" si="12"/>
        <v>https://stream-mz.planetradio.co.uk/net2sussex.aac?</v>
      </c>
      <c r="I251" t="str">
        <f t="shared" si="13"/>
        <v>https://stream-mz.planetradio.co.uk/net2sussex.aac?aw_0_1st.skey=1667146359&amp;aw_0_1st.playerid=BMUK_ukrp</v>
      </c>
    </row>
    <row r="252" spans="1:9" hidden="1" x14ac:dyDescent="0.55000000000000004">
      <c r="A252">
        <v>616</v>
      </c>
      <c r="B252" t="s">
        <v>3789</v>
      </c>
      <c r="C252" t="s">
        <v>3093</v>
      </c>
      <c r="D252" t="s">
        <v>3790</v>
      </c>
      <c r="E252" t="s">
        <v>3791</v>
      </c>
      <c r="F252" t="s">
        <v>3792</v>
      </c>
      <c r="G252" t="str">
        <f t="shared" si="11"/>
        <v>1667146361</v>
      </c>
      <c r="H252" t="str">
        <f t="shared" si="12"/>
        <v>https://stream-mz.planetradio.co.uk/net2westnorfolk.aac?</v>
      </c>
      <c r="I252" t="str">
        <f t="shared" si="13"/>
        <v>https://stream-mz.planetradio.co.uk/net2westnorfolk.aac?aw_0_1st.skey=1667146361&amp;aw_0_1st.playerid=BMUK_ukrp</v>
      </c>
    </row>
    <row r="253" spans="1:9" hidden="1" x14ac:dyDescent="0.55000000000000004">
      <c r="A253">
        <v>628</v>
      </c>
      <c r="B253" t="s">
        <v>3793</v>
      </c>
      <c r="C253" t="s">
        <v>3093</v>
      </c>
      <c r="D253" t="s">
        <v>3794</v>
      </c>
      <c r="E253" t="s">
        <v>3795</v>
      </c>
      <c r="F253" t="s">
        <v>3796</v>
      </c>
      <c r="G253" t="str">
        <f t="shared" si="11"/>
        <v>1667146364</v>
      </c>
      <c r="H253" t="str">
        <f t="shared" si="12"/>
        <v>https://stream-mz.planetradio.co.uk/net2wigan.aac?</v>
      </c>
      <c r="I253" t="str">
        <f t="shared" si="13"/>
        <v>https://stream-mz.planetradio.co.uk/net2wigan.aac?aw_0_1st.skey=1667146364&amp;aw_0_1st.playerid=BMUK_ukrp</v>
      </c>
    </row>
    <row r="254" spans="1:9" hidden="1" x14ac:dyDescent="0.55000000000000004">
      <c r="A254">
        <v>631</v>
      </c>
      <c r="B254" t="s">
        <v>1597</v>
      </c>
      <c r="C254" t="s">
        <v>3093</v>
      </c>
      <c r="D254" t="s">
        <v>3797</v>
      </c>
      <c r="E254" t="s">
        <v>3798</v>
      </c>
      <c r="F254" t="s">
        <v>3799</v>
      </c>
      <c r="G254" t="str">
        <f t="shared" si="11"/>
        <v>1667146368</v>
      </c>
      <c r="H254" t="str">
        <f t="shared" si="12"/>
        <v>https://stream-mz.planetradio.co.uk/net2yorkshirecoast.aac?</v>
      </c>
      <c r="I254" t="str">
        <f t="shared" si="13"/>
        <v>https://stream-mz.planetradio.co.uk/net2yorkshirecoast.aac?aw_0_1st.skey=1667146368&amp;aw_0_1st.playerid=BMUK_ukrp</v>
      </c>
    </row>
    <row r="255" spans="1:9" hidden="1" x14ac:dyDescent="0.55000000000000004">
      <c r="A255">
        <v>635</v>
      </c>
      <c r="B255" t="s">
        <v>1590</v>
      </c>
      <c r="C255" t="s">
        <v>3093</v>
      </c>
      <c r="D255" t="s">
        <v>3800</v>
      </c>
      <c r="E255" t="s">
        <v>3801</v>
      </c>
      <c r="F255" t="s">
        <v>3802</v>
      </c>
      <c r="G255" t="str">
        <f t="shared" si="11"/>
        <v>1667146371</v>
      </c>
      <c r="H255" t="str">
        <f t="shared" si="12"/>
        <v>https://stream-mz.planetradio.co.uk/net2london.aac?</v>
      </c>
      <c r="I255" t="str">
        <f t="shared" si="13"/>
        <v>https://stream-mz.planetradio.co.uk/net2london.aac?aw_0_1st.skey=1667146371&amp;aw_0_1st.playerid=BMUK_ukrp</v>
      </c>
    </row>
    <row r="256" spans="1:9" hidden="1" x14ac:dyDescent="0.55000000000000004">
      <c r="A256">
        <v>566</v>
      </c>
      <c r="B256" t="s">
        <v>566</v>
      </c>
      <c r="C256" t="s">
        <v>3093</v>
      </c>
      <c r="D256" t="s">
        <v>3803</v>
      </c>
      <c r="E256" t="s">
        <v>3804</v>
      </c>
      <c r="F256" t="s">
        <v>3805</v>
      </c>
      <c r="G256" t="str">
        <f t="shared" si="11"/>
        <v>1667146372</v>
      </c>
      <c r="H256" t="str">
        <f t="shared" si="12"/>
        <v>https://stream-al.planetradio.co.uk/hallam.aac?</v>
      </c>
      <c r="I256" t="str">
        <f t="shared" si="13"/>
        <v>https://stream-al.planetradio.co.uk/hallam.aac?aw_0_1st.skey=1667146372&amp;aw_0_1st.playerid=BMUK_ukrp</v>
      </c>
    </row>
    <row r="257" spans="1:9" hidden="1" x14ac:dyDescent="0.55000000000000004">
      <c r="A257">
        <v>1383</v>
      </c>
      <c r="B257" t="s">
        <v>3806</v>
      </c>
      <c r="C257" t="s">
        <v>3093</v>
      </c>
      <c r="D257" t="s">
        <v>3807</v>
      </c>
      <c r="E257" t="s">
        <v>3808</v>
      </c>
      <c r="F257" t="s">
        <v>3809</v>
      </c>
      <c r="G257" t="e">
        <f t="shared" si="11"/>
        <v>#VALUE!</v>
      </c>
      <c r="H257" t="str">
        <f t="shared" si="12"/>
        <v>https://stream.cambridge105.co.uk:8443/hcr-radioplayer-low?</v>
      </c>
      <c r="I257" t="e">
        <f t="shared" si="13"/>
        <v>#VALUE!</v>
      </c>
    </row>
    <row r="258" spans="1:9" hidden="1" x14ac:dyDescent="0.55000000000000004">
      <c r="A258">
        <v>1383</v>
      </c>
      <c r="B258" t="s">
        <v>3806</v>
      </c>
      <c r="C258" t="s">
        <v>3093</v>
      </c>
      <c r="D258" t="s">
        <v>3810</v>
      </c>
      <c r="E258" t="s">
        <v>3808</v>
      </c>
      <c r="F258" t="s">
        <v>3809</v>
      </c>
      <c r="G258" t="e">
        <f t="shared" si="11"/>
        <v>#VALUE!</v>
      </c>
      <c r="H258" t="str">
        <f t="shared" si="12"/>
        <v>https://stream.cambridge105.co.uk:8443/hcr-radioplayer-high?</v>
      </c>
      <c r="I258" t="e">
        <f t="shared" si="13"/>
        <v>#VALUE!</v>
      </c>
    </row>
    <row r="259" spans="1:9" hidden="1" x14ac:dyDescent="0.55000000000000004">
      <c r="A259">
        <v>1383</v>
      </c>
      <c r="B259" t="s">
        <v>3806</v>
      </c>
      <c r="C259" t="s">
        <v>3093</v>
      </c>
      <c r="D259" t="s">
        <v>3811</v>
      </c>
      <c r="E259" t="s">
        <v>3808</v>
      </c>
      <c r="F259" t="s">
        <v>3809</v>
      </c>
      <c r="G259" t="e">
        <f t="shared" ref="G259:G322" si="14">MID(D259,
FIND("1st.skey=",D259,1)+9,10)</f>
        <v>#VALUE!</v>
      </c>
      <c r="H259" t="str">
        <f t="shared" ref="H259:H322" si="15">LEFT(D259,
FIND("?",D259,1))</f>
        <v>https://stream.cambridge105.co.uk:8443/hcr-radioplayer-high?</v>
      </c>
      <c r="I259" t="e">
        <f t="shared" ref="I259:I322" si="16">H259&amp;"aw_0_1st.skey="&amp;G259&amp;"&amp;aw_0_1st.playerid=BMUK_ukrp"</f>
        <v>#VALUE!</v>
      </c>
    </row>
    <row r="260" spans="1:9" hidden="1" x14ac:dyDescent="0.55000000000000004">
      <c r="A260">
        <v>293</v>
      </c>
      <c r="B260" t="s">
        <v>671</v>
      </c>
      <c r="C260" t="s">
        <v>3093</v>
      </c>
      <c r="D260" t="s">
        <v>3812</v>
      </c>
      <c r="E260" t="s">
        <v>3813</v>
      </c>
      <c r="F260" t="s">
        <v>3814</v>
      </c>
      <c r="G260" t="e">
        <f t="shared" si="14"/>
        <v>#VALUE!</v>
      </c>
      <c r="H260" t="str">
        <f t="shared" si="15"/>
        <v>https://media-ssl.musicradio.com/Heart00s?</v>
      </c>
      <c r="I260" t="e">
        <f t="shared" si="16"/>
        <v>#VALUE!</v>
      </c>
    </row>
    <row r="261" spans="1:9" hidden="1" x14ac:dyDescent="0.55000000000000004">
      <c r="A261">
        <v>288</v>
      </c>
      <c r="B261" t="s">
        <v>665</v>
      </c>
      <c r="C261" t="s">
        <v>3093</v>
      </c>
      <c r="D261" t="s">
        <v>3815</v>
      </c>
      <c r="E261" t="s">
        <v>3816</v>
      </c>
      <c r="F261" t="s">
        <v>3817</v>
      </c>
      <c r="G261" t="e">
        <f t="shared" si="14"/>
        <v>#VALUE!</v>
      </c>
      <c r="H261" t="str">
        <f t="shared" si="15"/>
        <v>https://media-ssl.musicradio.com/Heart70s?</v>
      </c>
      <c r="I261" t="e">
        <f t="shared" si="16"/>
        <v>#VALUE!</v>
      </c>
    </row>
    <row r="262" spans="1:9" hidden="1" x14ac:dyDescent="0.55000000000000004">
      <c r="A262">
        <v>285</v>
      </c>
      <c r="B262" t="s">
        <v>667</v>
      </c>
      <c r="C262" t="s">
        <v>3093</v>
      </c>
      <c r="D262" t="s">
        <v>3818</v>
      </c>
      <c r="E262" t="s">
        <v>3819</v>
      </c>
      <c r="F262" t="s">
        <v>3820</v>
      </c>
      <c r="G262" t="e">
        <f t="shared" si="14"/>
        <v>#VALUE!</v>
      </c>
      <c r="H262" t="str">
        <f t="shared" si="15"/>
        <v>https://media-ssl.musicradio.com/Heart80s?</v>
      </c>
      <c r="I262" t="e">
        <f t="shared" si="16"/>
        <v>#VALUE!</v>
      </c>
    </row>
    <row r="263" spans="1:9" hidden="1" x14ac:dyDescent="0.55000000000000004">
      <c r="A263">
        <v>289</v>
      </c>
      <c r="B263" t="s">
        <v>669</v>
      </c>
      <c r="C263" t="s">
        <v>3093</v>
      </c>
      <c r="D263" t="s">
        <v>3821</v>
      </c>
      <c r="E263" t="s">
        <v>3822</v>
      </c>
      <c r="F263" t="s">
        <v>3823</v>
      </c>
      <c r="G263" t="e">
        <f t="shared" si="14"/>
        <v>#VALUE!</v>
      </c>
      <c r="H263" t="str">
        <f t="shared" si="15"/>
        <v>https://media-ssl.musicradio.com/Heart90s?</v>
      </c>
      <c r="I263" t="e">
        <f t="shared" si="16"/>
        <v>#VALUE!</v>
      </c>
    </row>
    <row r="264" spans="1:9" hidden="1" x14ac:dyDescent="0.55000000000000004">
      <c r="A264">
        <v>216</v>
      </c>
      <c r="B264" t="s">
        <v>3824</v>
      </c>
      <c r="C264" t="s">
        <v>3093</v>
      </c>
      <c r="D264" t="s">
        <v>3825</v>
      </c>
      <c r="E264" t="s">
        <v>3826</v>
      </c>
      <c r="F264" t="s">
        <v>3827</v>
      </c>
      <c r="G264" t="e">
        <f t="shared" si="14"/>
        <v>#VALUE!</v>
      </c>
      <c r="H264" t="str">
        <f t="shared" si="15"/>
        <v>https://media-ssl.musicradio.com/HeartBath?</v>
      </c>
      <c r="I264" t="e">
        <f t="shared" si="16"/>
        <v>#VALUE!</v>
      </c>
    </row>
    <row r="265" spans="1:9" hidden="1" x14ac:dyDescent="0.55000000000000004">
      <c r="A265">
        <v>208</v>
      </c>
      <c r="B265" t="s">
        <v>3828</v>
      </c>
      <c r="C265" t="s">
        <v>3093</v>
      </c>
      <c r="D265" t="s">
        <v>3829</v>
      </c>
      <c r="E265" t="s">
        <v>3830</v>
      </c>
      <c r="F265" t="s">
        <v>3831</v>
      </c>
      <c r="G265" t="e">
        <f t="shared" si="14"/>
        <v>#VALUE!</v>
      </c>
      <c r="H265" t="str">
        <f t="shared" si="15"/>
        <v>https://media-ssl.musicradio.com/HeartBedfordshire?</v>
      </c>
      <c r="I265" t="e">
        <f t="shared" si="16"/>
        <v>#VALUE!</v>
      </c>
    </row>
    <row r="266" spans="1:9" hidden="1" x14ac:dyDescent="0.55000000000000004">
      <c r="A266">
        <v>207</v>
      </c>
      <c r="B266" t="s">
        <v>1599</v>
      </c>
      <c r="C266" t="s">
        <v>3093</v>
      </c>
      <c r="D266" t="s">
        <v>3832</v>
      </c>
      <c r="E266" t="s">
        <v>3833</v>
      </c>
      <c r="F266" t="s">
        <v>3834</v>
      </c>
      <c r="G266" t="e">
        <f t="shared" si="14"/>
        <v>#VALUE!</v>
      </c>
      <c r="H266" t="str">
        <f t="shared" si="15"/>
        <v>https://media-ssl.musicradio.com/HeartBedsBucksHerts?</v>
      </c>
      <c r="I266" t="e">
        <f t="shared" si="16"/>
        <v>#VALUE!</v>
      </c>
    </row>
    <row r="267" spans="1:9" hidden="1" x14ac:dyDescent="0.55000000000000004">
      <c r="A267">
        <v>205</v>
      </c>
      <c r="B267" t="s">
        <v>1600</v>
      </c>
      <c r="C267" t="s">
        <v>3093</v>
      </c>
      <c r="D267" t="s">
        <v>3835</v>
      </c>
      <c r="E267" t="s">
        <v>3836</v>
      </c>
      <c r="F267" t="s">
        <v>3837</v>
      </c>
      <c r="G267" t="e">
        <f t="shared" si="14"/>
        <v>#VALUE!</v>
      </c>
      <c r="H267" t="str">
        <f t="shared" si="15"/>
        <v>https://media-ssl.musicradio.com/HeartBerkshire?</v>
      </c>
      <c r="I267" t="e">
        <f t="shared" si="16"/>
        <v>#VALUE!</v>
      </c>
    </row>
    <row r="268" spans="1:9" hidden="1" x14ac:dyDescent="0.55000000000000004">
      <c r="A268">
        <v>217</v>
      </c>
      <c r="B268" t="s">
        <v>3838</v>
      </c>
      <c r="C268" t="s">
        <v>3093</v>
      </c>
      <c r="D268" t="s">
        <v>3839</v>
      </c>
      <c r="E268" t="s">
        <v>3840</v>
      </c>
      <c r="F268" t="s">
        <v>3841</v>
      </c>
      <c r="G268" t="e">
        <f t="shared" si="14"/>
        <v>#VALUE!</v>
      </c>
      <c r="H268" t="str">
        <f t="shared" si="15"/>
        <v>https://media-ssl.musicradio.com/HeartBristol?</v>
      </c>
      <c r="I268" t="e">
        <f t="shared" si="16"/>
        <v>#VALUE!</v>
      </c>
    </row>
    <row r="269" spans="1:9" hidden="1" x14ac:dyDescent="0.55000000000000004">
      <c r="A269">
        <v>203</v>
      </c>
      <c r="B269" t="s">
        <v>3842</v>
      </c>
      <c r="C269" t="s">
        <v>3093</v>
      </c>
      <c r="D269" t="s">
        <v>3843</v>
      </c>
      <c r="E269" t="s">
        <v>3844</v>
      </c>
      <c r="F269" t="s">
        <v>3845</v>
      </c>
      <c r="G269" t="e">
        <f t="shared" si="14"/>
        <v>#VALUE!</v>
      </c>
      <c r="H269" t="str">
        <f t="shared" si="15"/>
        <v>https://media-ssl.musicradio.com/HeartCambridge?</v>
      </c>
      <c r="I269" t="e">
        <f t="shared" si="16"/>
        <v>#VALUE!</v>
      </c>
    </row>
    <row r="270" spans="1:9" hidden="1" x14ac:dyDescent="0.55000000000000004">
      <c r="A270">
        <v>1221</v>
      </c>
      <c r="B270" t="s">
        <v>3846</v>
      </c>
      <c r="C270" t="s">
        <v>3093</v>
      </c>
      <c r="D270" t="s">
        <v>3847</v>
      </c>
      <c r="E270" t="s">
        <v>3848</v>
      </c>
      <c r="F270" t="s">
        <v>3849</v>
      </c>
      <c r="G270" t="e">
        <f t="shared" si="14"/>
        <v>#VALUE!</v>
      </c>
      <c r="H270" t="str">
        <f t="shared" si="15"/>
        <v>https://media-ssl.musicradio.com/HeartCornwall?</v>
      </c>
      <c r="I270" t="e">
        <f t="shared" si="16"/>
        <v>#VALUE!</v>
      </c>
    </row>
    <row r="271" spans="1:9" hidden="1" x14ac:dyDescent="0.55000000000000004">
      <c r="A271">
        <v>201</v>
      </c>
      <c r="B271" t="s">
        <v>3850</v>
      </c>
      <c r="C271" t="s">
        <v>3093</v>
      </c>
      <c r="D271" t="s">
        <v>3851</v>
      </c>
      <c r="E271" t="s">
        <v>3852</v>
      </c>
      <c r="F271" t="s">
        <v>3853</v>
      </c>
      <c r="G271" t="e">
        <f t="shared" si="14"/>
        <v>#VALUE!</v>
      </c>
      <c r="H271" t="str">
        <f t="shared" si="15"/>
        <v>https://media-ssl.musicradio.com/HeartCrawley?</v>
      </c>
      <c r="I271" t="e">
        <f t="shared" si="16"/>
        <v>#VALUE!</v>
      </c>
    </row>
    <row r="272" spans="1:9" hidden="1" x14ac:dyDescent="0.55000000000000004">
      <c r="A272">
        <v>287</v>
      </c>
      <c r="B272" t="s">
        <v>673</v>
      </c>
      <c r="C272" t="s">
        <v>3093</v>
      </c>
      <c r="D272" t="s">
        <v>3854</v>
      </c>
      <c r="E272" t="s">
        <v>3855</v>
      </c>
      <c r="F272" t="s">
        <v>3856</v>
      </c>
      <c r="G272" t="e">
        <f t="shared" si="14"/>
        <v>#VALUE!</v>
      </c>
      <c r="H272" t="str">
        <f t="shared" si="15"/>
        <v>https://media-ssl.musicradio.com/HeartDance?</v>
      </c>
      <c r="I272" t="e">
        <f t="shared" si="16"/>
        <v>#VALUE!</v>
      </c>
    </row>
    <row r="273" spans="1:9" hidden="1" x14ac:dyDescent="0.55000000000000004">
      <c r="A273">
        <v>236</v>
      </c>
      <c r="B273" t="s">
        <v>3857</v>
      </c>
      <c r="C273" t="s">
        <v>3093</v>
      </c>
      <c r="D273" t="s">
        <v>3858</v>
      </c>
      <c r="E273" t="s">
        <v>3859</v>
      </c>
      <c r="F273" t="s">
        <v>3860</v>
      </c>
      <c r="G273" t="e">
        <f t="shared" si="14"/>
        <v>#VALUE!</v>
      </c>
      <c r="H273" t="str">
        <f t="shared" si="15"/>
        <v>https://media-ssl.musicradio.com/HeartNorthDevon?</v>
      </c>
      <c r="I273" t="e">
        <f t="shared" si="16"/>
        <v>#VALUE!</v>
      </c>
    </row>
    <row r="274" spans="1:9" hidden="1" x14ac:dyDescent="0.55000000000000004">
      <c r="A274">
        <v>221</v>
      </c>
      <c r="B274" t="s">
        <v>3861</v>
      </c>
      <c r="C274" t="s">
        <v>3093</v>
      </c>
      <c r="D274" t="s">
        <v>3862</v>
      </c>
      <c r="E274" t="s">
        <v>3863</v>
      </c>
      <c r="F274" t="s">
        <v>3864</v>
      </c>
      <c r="G274" t="e">
        <f t="shared" si="14"/>
        <v>#VALUE!</v>
      </c>
      <c r="H274" t="str">
        <f t="shared" si="15"/>
        <v>https://media-ssl.musicradio.com/HeartEastDevon?</v>
      </c>
      <c r="I274" t="e">
        <f t="shared" si="16"/>
        <v>#VALUE!</v>
      </c>
    </row>
    <row r="275" spans="1:9" hidden="1" x14ac:dyDescent="0.55000000000000004">
      <c r="A275">
        <v>229</v>
      </c>
      <c r="B275" t="s">
        <v>3865</v>
      </c>
      <c r="C275" t="s">
        <v>3093</v>
      </c>
      <c r="D275" t="s">
        <v>3866</v>
      </c>
      <c r="E275" t="s">
        <v>3867</v>
      </c>
      <c r="F275" t="s">
        <v>3868</v>
      </c>
      <c r="G275" t="e">
        <f t="shared" si="14"/>
        <v>#VALUE!</v>
      </c>
      <c r="H275" t="str">
        <f t="shared" si="15"/>
        <v>https://media-ssl.musicradio.com/HeartSouthHams?</v>
      </c>
      <c r="I275" t="e">
        <f t="shared" si="16"/>
        <v>#VALUE!</v>
      </c>
    </row>
    <row r="276" spans="1:9" hidden="1" x14ac:dyDescent="0.55000000000000004">
      <c r="A276">
        <v>283</v>
      </c>
      <c r="B276" t="s">
        <v>637</v>
      </c>
      <c r="C276" t="s">
        <v>3093</v>
      </c>
      <c r="D276" t="s">
        <v>3869</v>
      </c>
      <c r="E276" t="s">
        <v>3870</v>
      </c>
      <c r="F276" t="s">
        <v>3871</v>
      </c>
      <c r="G276" t="e">
        <f t="shared" si="14"/>
        <v>#VALUE!</v>
      </c>
      <c r="H276" t="str">
        <f t="shared" si="15"/>
        <v>https://media-ssl.musicradio.com/HeartUK?</v>
      </c>
      <c r="I276" t="e">
        <f t="shared" si="16"/>
        <v>#VALUE!</v>
      </c>
    </row>
    <row r="277" spans="1:9" hidden="1" x14ac:dyDescent="0.55000000000000004">
      <c r="A277">
        <v>204</v>
      </c>
      <c r="B277" t="s">
        <v>3872</v>
      </c>
      <c r="C277" t="s">
        <v>3093</v>
      </c>
      <c r="D277" t="s">
        <v>3873</v>
      </c>
      <c r="E277" t="s">
        <v>3874</v>
      </c>
      <c r="F277" t="s">
        <v>3875</v>
      </c>
      <c r="G277" t="e">
        <f t="shared" si="14"/>
        <v>#VALUE!</v>
      </c>
      <c r="H277" t="str">
        <f t="shared" si="15"/>
        <v>https://media-ssl.musicradio.com/HeartDorset?</v>
      </c>
      <c r="I277" t="e">
        <f t="shared" si="16"/>
        <v>#VALUE!</v>
      </c>
    </row>
    <row r="278" spans="1:9" hidden="1" x14ac:dyDescent="0.55000000000000004">
      <c r="A278">
        <v>212</v>
      </c>
      <c r="B278" t="s">
        <v>3876</v>
      </c>
      <c r="C278" t="s">
        <v>3093</v>
      </c>
      <c r="D278" t="s">
        <v>3877</v>
      </c>
      <c r="E278" t="s">
        <v>3878</v>
      </c>
      <c r="F278" t="s">
        <v>3879</v>
      </c>
      <c r="G278" t="e">
        <f t="shared" si="14"/>
        <v>#VALUE!</v>
      </c>
      <c r="H278" t="str">
        <f t="shared" si="15"/>
        <v>https://media-ssl.musicradio.com/HeartEssex?</v>
      </c>
      <c r="I278" t="e">
        <f t="shared" si="16"/>
        <v>#VALUE!</v>
      </c>
    </row>
    <row r="279" spans="1:9" hidden="1" x14ac:dyDescent="0.55000000000000004">
      <c r="A279">
        <v>227</v>
      </c>
      <c r="B279" t="s">
        <v>3880</v>
      </c>
      <c r="C279" t="s">
        <v>3093</v>
      </c>
      <c r="D279" t="s">
        <v>3881</v>
      </c>
      <c r="E279" t="s">
        <v>3882</v>
      </c>
      <c r="F279" t="s">
        <v>3883</v>
      </c>
      <c r="G279" t="e">
        <f t="shared" si="14"/>
        <v>#VALUE!</v>
      </c>
      <c r="H279" t="str">
        <f t="shared" si="15"/>
        <v>https://media-ssl.musicradio.com/HeartColchester?</v>
      </c>
      <c r="I279" t="e">
        <f t="shared" si="16"/>
        <v>#VALUE!</v>
      </c>
    </row>
    <row r="280" spans="1:9" hidden="1" x14ac:dyDescent="0.55000000000000004">
      <c r="A280">
        <v>202</v>
      </c>
      <c r="B280" t="s">
        <v>3884</v>
      </c>
      <c r="C280" t="s">
        <v>3093</v>
      </c>
      <c r="D280" t="s">
        <v>3885</v>
      </c>
      <c r="E280" t="s">
        <v>3886</v>
      </c>
      <c r="F280" t="s">
        <v>3887</v>
      </c>
      <c r="G280" t="e">
        <f t="shared" si="14"/>
        <v>#VALUE!</v>
      </c>
      <c r="H280" t="str">
        <f t="shared" si="15"/>
        <v>https://media-ssl.musicradio.com/HeartHarlow?</v>
      </c>
      <c r="I280" t="e">
        <f t="shared" si="16"/>
        <v>#VALUE!</v>
      </c>
    </row>
    <row r="281" spans="1:9" hidden="1" x14ac:dyDescent="0.55000000000000004">
      <c r="A281">
        <v>224</v>
      </c>
      <c r="B281" t="s">
        <v>3888</v>
      </c>
      <c r="C281" t="s">
        <v>3093</v>
      </c>
      <c r="D281" t="s">
        <v>3889</v>
      </c>
      <c r="E281" t="s">
        <v>3890</v>
      </c>
      <c r="F281" t="s">
        <v>3891</v>
      </c>
      <c r="G281" t="e">
        <f t="shared" si="14"/>
        <v>#VALUE!</v>
      </c>
      <c r="H281" t="str">
        <f t="shared" si="15"/>
        <v>https://media-ssl.musicradio.com/HeartHampshire?</v>
      </c>
      <c r="I281" t="e">
        <f t="shared" si="16"/>
        <v>#VALUE!</v>
      </c>
    </row>
    <row r="282" spans="1:9" hidden="1" x14ac:dyDescent="0.55000000000000004">
      <c r="A282">
        <v>220</v>
      </c>
      <c r="B282" t="s">
        <v>3892</v>
      </c>
      <c r="C282" t="s">
        <v>3093</v>
      </c>
      <c r="D282" t="s">
        <v>3893</v>
      </c>
      <c r="E282" t="s">
        <v>3894</v>
      </c>
      <c r="F282" t="s">
        <v>3895</v>
      </c>
      <c r="G282" t="e">
        <f t="shared" si="14"/>
        <v>#VALUE!</v>
      </c>
      <c r="H282" t="str">
        <f t="shared" si="15"/>
        <v>https://media-ssl.musicradio.com/HeartKent?</v>
      </c>
      <c r="I282" t="e">
        <f t="shared" si="16"/>
        <v>#VALUE!</v>
      </c>
    </row>
    <row r="283" spans="1:9" hidden="1" x14ac:dyDescent="0.55000000000000004">
      <c r="A283">
        <v>232</v>
      </c>
      <c r="B283" t="s">
        <v>603</v>
      </c>
      <c r="C283" t="s">
        <v>3093</v>
      </c>
      <c r="D283" t="s">
        <v>3896</v>
      </c>
      <c r="E283" t="s">
        <v>3897</v>
      </c>
      <c r="F283" t="s">
        <v>3898</v>
      </c>
      <c r="G283" t="e">
        <f t="shared" si="14"/>
        <v>#VALUE!</v>
      </c>
      <c r="H283" t="str">
        <f t="shared" si="15"/>
        <v>https://media-ssl.musicradio.com/HeartLondon?</v>
      </c>
      <c r="I283" t="e">
        <f t="shared" si="16"/>
        <v>#VALUE!</v>
      </c>
    </row>
    <row r="284" spans="1:9" hidden="1" x14ac:dyDescent="0.55000000000000004">
      <c r="A284">
        <v>213</v>
      </c>
      <c r="B284" t="s">
        <v>3899</v>
      </c>
      <c r="C284" t="s">
        <v>3093</v>
      </c>
      <c r="D284" t="s">
        <v>3900</v>
      </c>
      <c r="E284" t="s">
        <v>3901</v>
      </c>
      <c r="F284" t="s">
        <v>3902</v>
      </c>
      <c r="G284" t="e">
        <f t="shared" si="14"/>
        <v>#VALUE!</v>
      </c>
      <c r="H284" t="str">
        <f t="shared" si="15"/>
        <v>https://media-ssl.musicradio.com/HeartMiltonKeynes?</v>
      </c>
      <c r="I284" t="e">
        <f t="shared" si="16"/>
        <v>#VALUE!</v>
      </c>
    </row>
    <row r="285" spans="1:9" hidden="1" x14ac:dyDescent="0.55000000000000004">
      <c r="A285">
        <v>292</v>
      </c>
      <c r="B285" t="s">
        <v>3903</v>
      </c>
      <c r="C285" t="s">
        <v>3093</v>
      </c>
      <c r="D285" t="s">
        <v>3904</v>
      </c>
      <c r="E285" t="s">
        <v>3905</v>
      </c>
      <c r="F285" t="s">
        <v>3906</v>
      </c>
      <c r="G285" t="e">
        <f t="shared" si="14"/>
        <v>#VALUE!</v>
      </c>
      <c r="H285" t="str">
        <f t="shared" si="15"/>
        <v>https://media-ssl.musicradio.com/HeartHertsNorth?</v>
      </c>
      <c r="I285" t="e">
        <f t="shared" si="16"/>
        <v>#VALUE!</v>
      </c>
    </row>
    <row r="286" spans="1:9" hidden="1" x14ac:dyDescent="0.55000000000000004">
      <c r="A286">
        <v>209</v>
      </c>
      <c r="B286" t="s">
        <v>1601</v>
      </c>
      <c r="C286" t="s">
        <v>3093</v>
      </c>
      <c r="D286" t="s">
        <v>3907</v>
      </c>
      <c r="E286" t="s">
        <v>3908</v>
      </c>
      <c r="F286" t="s">
        <v>3909</v>
      </c>
      <c r="G286" t="e">
        <f t="shared" si="14"/>
        <v>#VALUE!</v>
      </c>
      <c r="H286" t="str">
        <f t="shared" si="15"/>
        <v>https://media-ssl.musicradio.com/HeartNorfolk?</v>
      </c>
      <c r="I286" t="e">
        <f t="shared" si="16"/>
        <v>#VALUE!</v>
      </c>
    </row>
    <row r="287" spans="1:9" hidden="1" x14ac:dyDescent="0.55000000000000004">
      <c r="A287">
        <v>286</v>
      </c>
      <c r="B287" t="s">
        <v>3910</v>
      </c>
      <c r="C287" t="s">
        <v>3093</v>
      </c>
      <c r="D287" t="s">
        <v>3911</v>
      </c>
      <c r="E287" t="s">
        <v>3912</v>
      </c>
      <c r="F287" t="s">
        <v>3913</v>
      </c>
      <c r="G287" t="e">
        <f t="shared" si="14"/>
        <v>#VALUE!</v>
      </c>
      <c r="H287" t="str">
        <f t="shared" si="15"/>
        <v>https://media-ssl.musicradio.com/HeartNorthLancsCumbria?</v>
      </c>
      <c r="I287" t="e">
        <f t="shared" si="16"/>
        <v>#VALUE!</v>
      </c>
    </row>
    <row r="288" spans="1:9" hidden="1" x14ac:dyDescent="0.55000000000000004">
      <c r="A288">
        <v>231</v>
      </c>
      <c r="B288" t="s">
        <v>3914</v>
      </c>
      <c r="C288" t="s">
        <v>3093</v>
      </c>
      <c r="D288" t="s">
        <v>3915</v>
      </c>
      <c r="E288" t="s">
        <v>3916</v>
      </c>
      <c r="F288" t="s">
        <v>3917</v>
      </c>
      <c r="G288" t="e">
        <f t="shared" si="14"/>
        <v>#VALUE!</v>
      </c>
      <c r="H288" t="str">
        <f t="shared" si="15"/>
        <v>https://media-ssl.musicradio.com/HeartNorthWest?</v>
      </c>
      <c r="I288" t="e">
        <f t="shared" si="16"/>
        <v>#VALUE!</v>
      </c>
    </row>
    <row r="289" spans="1:9" hidden="1" x14ac:dyDescent="0.55000000000000004">
      <c r="A289">
        <v>223</v>
      </c>
      <c r="B289" t="s">
        <v>3918</v>
      </c>
      <c r="C289" t="s">
        <v>3093</v>
      </c>
      <c r="D289" t="s">
        <v>3919</v>
      </c>
      <c r="E289" t="s">
        <v>3920</v>
      </c>
      <c r="F289" t="s">
        <v>3921</v>
      </c>
      <c r="G289" t="e">
        <f t="shared" si="14"/>
        <v>#VALUE!</v>
      </c>
      <c r="H289" t="str">
        <f t="shared" si="15"/>
        <v>https://media-ssl.musicradio.com/HeartNorthamptonshire?</v>
      </c>
      <c r="I289" t="e">
        <f t="shared" si="16"/>
        <v>#VALUE!</v>
      </c>
    </row>
    <row r="290" spans="1:9" hidden="1" x14ac:dyDescent="0.55000000000000004">
      <c r="A290">
        <v>214</v>
      </c>
      <c r="B290" t="s">
        <v>3922</v>
      </c>
      <c r="C290" t="s">
        <v>3093</v>
      </c>
      <c r="D290" t="s">
        <v>3923</v>
      </c>
      <c r="E290" t="s">
        <v>3924</v>
      </c>
      <c r="F290" t="s">
        <v>3925</v>
      </c>
      <c r="G290" t="e">
        <f t="shared" si="14"/>
        <v>#VALUE!</v>
      </c>
      <c r="H290" t="str">
        <f t="shared" si="15"/>
        <v>https://media-ssl.musicradio.com/HeartOxfordshire?</v>
      </c>
      <c r="I290" t="e">
        <f t="shared" si="16"/>
        <v>#VALUE!</v>
      </c>
    </row>
    <row r="291" spans="1:9" hidden="1" x14ac:dyDescent="0.55000000000000004">
      <c r="A291">
        <v>219</v>
      </c>
      <c r="B291" t="s">
        <v>3926</v>
      </c>
      <c r="C291" t="s">
        <v>3093</v>
      </c>
      <c r="D291" t="s">
        <v>3927</v>
      </c>
      <c r="E291" t="s">
        <v>3928</v>
      </c>
      <c r="F291" t="s">
        <v>3929</v>
      </c>
      <c r="G291" t="e">
        <f t="shared" si="14"/>
        <v>#VALUE!</v>
      </c>
      <c r="H291" t="str">
        <f t="shared" si="15"/>
        <v>https://media-ssl.musicradio.com/HeartPeterborough?</v>
      </c>
      <c r="I291" t="e">
        <f t="shared" si="16"/>
        <v>#VALUE!</v>
      </c>
    </row>
    <row r="292" spans="1:9" hidden="1" x14ac:dyDescent="0.55000000000000004">
      <c r="A292">
        <v>206</v>
      </c>
      <c r="B292" t="s">
        <v>3930</v>
      </c>
      <c r="C292" t="s">
        <v>3093</v>
      </c>
      <c r="D292" t="s">
        <v>3931</v>
      </c>
      <c r="E292" t="s">
        <v>3932</v>
      </c>
      <c r="F292" t="s">
        <v>3933</v>
      </c>
      <c r="G292" t="e">
        <f t="shared" si="14"/>
        <v>#VALUE!</v>
      </c>
      <c r="H292" t="str">
        <f t="shared" si="15"/>
        <v>https://media-ssl.musicradio.com/HeartPlymouth?</v>
      </c>
      <c r="I292" t="e">
        <f t="shared" si="16"/>
        <v>#VALUE!</v>
      </c>
    </row>
    <row r="293" spans="1:9" hidden="1" x14ac:dyDescent="0.55000000000000004">
      <c r="A293">
        <v>282</v>
      </c>
      <c r="B293" t="s">
        <v>3934</v>
      </c>
      <c r="C293" t="s">
        <v>3093</v>
      </c>
      <c r="D293" t="s">
        <v>3935</v>
      </c>
      <c r="E293" t="s">
        <v>3936</v>
      </c>
      <c r="F293" t="s">
        <v>3937</v>
      </c>
      <c r="G293" t="e">
        <f t="shared" si="14"/>
        <v>#VALUE!</v>
      </c>
      <c r="H293" t="str">
        <f t="shared" si="15"/>
        <v>https://media-ssl.musicradio.com/HeartEdinburgh?</v>
      </c>
      <c r="I293" t="e">
        <f t="shared" si="16"/>
        <v>#VALUE!</v>
      </c>
    </row>
    <row r="294" spans="1:9" hidden="1" x14ac:dyDescent="0.55000000000000004">
      <c r="A294">
        <v>281</v>
      </c>
      <c r="B294" t="s">
        <v>3938</v>
      </c>
      <c r="C294" t="s">
        <v>3093</v>
      </c>
      <c r="D294" t="s">
        <v>3939</v>
      </c>
      <c r="E294" t="s">
        <v>3940</v>
      </c>
      <c r="F294" t="s">
        <v>3941</v>
      </c>
      <c r="G294" t="e">
        <f t="shared" si="14"/>
        <v>#VALUE!</v>
      </c>
      <c r="H294" t="str">
        <f t="shared" si="15"/>
        <v>https://media-ssl.musicradio.com/HeartGlasgow?</v>
      </c>
      <c r="I294" t="e">
        <f t="shared" si="16"/>
        <v>#VALUE!</v>
      </c>
    </row>
    <row r="295" spans="1:9" hidden="1" x14ac:dyDescent="0.55000000000000004">
      <c r="A295">
        <v>225</v>
      </c>
      <c r="B295" t="s">
        <v>3942</v>
      </c>
      <c r="C295" t="s">
        <v>3093</v>
      </c>
      <c r="D295" t="s">
        <v>3943</v>
      </c>
      <c r="E295" t="s">
        <v>3944</v>
      </c>
      <c r="F295" t="s">
        <v>3945</v>
      </c>
      <c r="G295" t="e">
        <f t="shared" si="14"/>
        <v>#VALUE!</v>
      </c>
      <c r="H295" t="str">
        <f t="shared" si="15"/>
        <v>https://media-ssl.musicradio.com/HeartSomerset?</v>
      </c>
      <c r="I295" t="e">
        <f t="shared" si="16"/>
        <v>#VALUE!</v>
      </c>
    </row>
    <row r="296" spans="1:9" hidden="1" x14ac:dyDescent="0.55000000000000004">
      <c r="A296">
        <v>228</v>
      </c>
      <c r="B296" t="s">
        <v>3946</v>
      </c>
      <c r="C296" t="s">
        <v>3093</v>
      </c>
      <c r="D296" t="s">
        <v>3947</v>
      </c>
      <c r="E296" t="s">
        <v>3948</v>
      </c>
      <c r="F296" t="s">
        <v>3949</v>
      </c>
      <c r="G296" t="e">
        <f t="shared" si="14"/>
        <v>#VALUE!</v>
      </c>
      <c r="H296" t="str">
        <f t="shared" si="15"/>
        <v>https://media-ssl.musicradio.com/HeartSuffolk?</v>
      </c>
      <c r="I296" t="e">
        <f t="shared" si="16"/>
        <v>#VALUE!</v>
      </c>
    </row>
    <row r="297" spans="1:9" hidden="1" x14ac:dyDescent="0.55000000000000004">
      <c r="A297">
        <v>230</v>
      </c>
      <c r="B297" t="s">
        <v>3950</v>
      </c>
      <c r="C297" t="s">
        <v>3093</v>
      </c>
      <c r="D297" t="s">
        <v>3951</v>
      </c>
      <c r="E297" t="s">
        <v>3952</v>
      </c>
      <c r="F297" t="s">
        <v>3953</v>
      </c>
      <c r="G297" t="e">
        <f t="shared" si="14"/>
        <v>#VALUE!</v>
      </c>
      <c r="H297" t="str">
        <f t="shared" si="15"/>
        <v>https://media-ssl.musicradio.com/HeartSussex?</v>
      </c>
      <c r="I297" t="e">
        <f t="shared" si="16"/>
        <v>#VALUE!</v>
      </c>
    </row>
    <row r="298" spans="1:9" hidden="1" x14ac:dyDescent="0.55000000000000004">
      <c r="A298">
        <v>280</v>
      </c>
      <c r="B298" t="s">
        <v>3954</v>
      </c>
      <c r="C298" t="s">
        <v>3093</v>
      </c>
      <c r="D298" t="s">
        <v>3955</v>
      </c>
      <c r="E298" t="s">
        <v>3956</v>
      </c>
      <c r="F298" t="s">
        <v>3957</v>
      </c>
      <c r="G298" t="e">
        <f t="shared" si="14"/>
        <v>#VALUE!</v>
      </c>
      <c r="H298" t="str">
        <f t="shared" si="15"/>
        <v>https://media-ssl.musicradio.com/HeartTeesside?</v>
      </c>
      <c r="I298" t="e">
        <f t="shared" si="16"/>
        <v>#VALUE!</v>
      </c>
    </row>
    <row r="299" spans="1:9" hidden="1" x14ac:dyDescent="0.55000000000000004">
      <c r="A299">
        <v>215</v>
      </c>
      <c r="B299" t="s">
        <v>3958</v>
      </c>
      <c r="C299" t="s">
        <v>3093</v>
      </c>
      <c r="D299" t="s">
        <v>3959</v>
      </c>
      <c r="E299" t="s">
        <v>3960</v>
      </c>
      <c r="F299" t="s">
        <v>3961</v>
      </c>
      <c r="G299" t="e">
        <f t="shared" si="14"/>
        <v>#VALUE!</v>
      </c>
      <c r="H299" t="str">
        <f t="shared" si="15"/>
        <v>https://media-ssl.musicradio.com/HeartTorbay?</v>
      </c>
      <c r="I299" t="e">
        <f t="shared" si="16"/>
        <v>#VALUE!</v>
      </c>
    </row>
    <row r="300" spans="1:9" hidden="1" x14ac:dyDescent="0.55000000000000004">
      <c r="A300">
        <v>252</v>
      </c>
      <c r="B300" t="s">
        <v>1602</v>
      </c>
      <c r="C300" t="s">
        <v>3093</v>
      </c>
      <c r="D300" t="s">
        <v>3962</v>
      </c>
      <c r="E300" t="s">
        <v>3963</v>
      </c>
      <c r="F300" t="s">
        <v>3964</v>
      </c>
      <c r="G300" t="e">
        <f t="shared" si="14"/>
        <v>#VALUE!</v>
      </c>
      <c r="H300" t="str">
        <f t="shared" si="15"/>
        <v>https://media-ssl.musicradio.com/HeartTyneWear?</v>
      </c>
      <c r="I300" t="e">
        <f t="shared" si="16"/>
        <v>#VALUE!</v>
      </c>
    </row>
    <row r="301" spans="1:9" hidden="1" x14ac:dyDescent="0.55000000000000004">
      <c r="A301">
        <v>210</v>
      </c>
      <c r="B301" t="s">
        <v>3965</v>
      </c>
      <c r="C301" t="s">
        <v>3093</v>
      </c>
      <c r="D301" t="s">
        <v>3966</v>
      </c>
      <c r="E301" t="s">
        <v>3967</v>
      </c>
      <c r="F301" t="s">
        <v>3968</v>
      </c>
      <c r="G301" t="e">
        <f t="shared" si="14"/>
        <v>#VALUE!</v>
      </c>
      <c r="H301" t="str">
        <f t="shared" si="15"/>
        <v>https://media-ssl.musicradio.com/HeartNorthWales?</v>
      </c>
      <c r="I301" t="e">
        <f t="shared" si="16"/>
        <v>#VALUE!</v>
      </c>
    </row>
    <row r="302" spans="1:9" hidden="1" x14ac:dyDescent="0.55000000000000004">
      <c r="A302">
        <v>222</v>
      </c>
      <c r="B302" t="s">
        <v>3969</v>
      </c>
      <c r="C302" t="s">
        <v>3093</v>
      </c>
      <c r="D302" t="s">
        <v>3970</v>
      </c>
      <c r="E302" t="s">
        <v>3971</v>
      </c>
      <c r="F302" t="s">
        <v>3972</v>
      </c>
      <c r="G302" t="e">
        <f t="shared" si="14"/>
        <v>#VALUE!</v>
      </c>
      <c r="H302" t="str">
        <f t="shared" si="15"/>
        <v>https://media-ssl.musicradio.com/HeartSouthWales?</v>
      </c>
      <c r="I302" t="e">
        <f t="shared" si="16"/>
        <v>#VALUE!</v>
      </c>
    </row>
    <row r="303" spans="1:9" hidden="1" x14ac:dyDescent="0.55000000000000004">
      <c r="A303">
        <v>211</v>
      </c>
      <c r="B303" t="s">
        <v>3973</v>
      </c>
      <c r="C303" t="s">
        <v>3093</v>
      </c>
      <c r="D303" t="s">
        <v>3974</v>
      </c>
      <c r="E303" t="s">
        <v>3975</v>
      </c>
      <c r="F303" t="s">
        <v>3976</v>
      </c>
      <c r="G303" t="e">
        <f t="shared" si="14"/>
        <v>#VALUE!</v>
      </c>
      <c r="H303" t="str">
        <f t="shared" si="15"/>
        <v>https://media-ssl.musicradio.com/HeartWestWales?</v>
      </c>
      <c r="I303" t="e">
        <f t="shared" si="16"/>
        <v>#VALUE!</v>
      </c>
    </row>
    <row r="304" spans="1:9" hidden="1" x14ac:dyDescent="0.55000000000000004">
      <c r="A304">
        <v>233</v>
      </c>
      <c r="B304" t="s">
        <v>661</v>
      </c>
      <c r="C304" t="s">
        <v>3093</v>
      </c>
      <c r="D304" t="s">
        <v>3977</v>
      </c>
      <c r="E304" t="s">
        <v>3978</v>
      </c>
      <c r="F304" t="s">
        <v>3979</v>
      </c>
      <c r="G304" t="e">
        <f t="shared" si="14"/>
        <v>#VALUE!</v>
      </c>
      <c r="H304" t="str">
        <f t="shared" si="15"/>
        <v>https://media-ssl.musicradio.com/HeartWestMids?</v>
      </c>
      <c r="I304" t="e">
        <f t="shared" si="16"/>
        <v>#VALUE!</v>
      </c>
    </row>
    <row r="305" spans="1:9" hidden="1" x14ac:dyDescent="0.55000000000000004">
      <c r="A305">
        <v>218</v>
      </c>
      <c r="B305" t="s">
        <v>1603</v>
      </c>
      <c r="C305" t="s">
        <v>3093</v>
      </c>
      <c r="D305" t="s">
        <v>3980</v>
      </c>
      <c r="E305" t="s">
        <v>3981</v>
      </c>
      <c r="F305" t="s">
        <v>3982</v>
      </c>
      <c r="G305" t="e">
        <f t="shared" si="14"/>
        <v>#VALUE!</v>
      </c>
      <c r="H305" t="str">
        <f t="shared" si="15"/>
        <v>https://media-ssl.musicradio.com/HeartWiltshire?</v>
      </c>
      <c r="I305" t="e">
        <f t="shared" si="16"/>
        <v>#VALUE!</v>
      </c>
    </row>
    <row r="306" spans="1:9" hidden="1" x14ac:dyDescent="0.55000000000000004">
      <c r="A306">
        <v>235</v>
      </c>
      <c r="B306" t="s">
        <v>663</v>
      </c>
      <c r="C306" t="s">
        <v>3093</v>
      </c>
      <c r="D306" t="s">
        <v>3983</v>
      </c>
      <c r="E306" t="s">
        <v>3984</v>
      </c>
      <c r="F306" t="s">
        <v>3985</v>
      </c>
      <c r="G306" t="e">
        <f t="shared" si="14"/>
        <v>#VALUE!</v>
      </c>
      <c r="H306" t="str">
        <f t="shared" si="15"/>
        <v>https://media-ssl.musicradio.com/HeartYorkshire?</v>
      </c>
      <c r="I306" t="e">
        <f t="shared" si="16"/>
        <v>#VALUE!</v>
      </c>
    </row>
    <row r="307" spans="1:9" hidden="1" x14ac:dyDescent="0.55000000000000004">
      <c r="A307">
        <v>567</v>
      </c>
      <c r="B307" t="s">
        <v>681</v>
      </c>
      <c r="C307" t="s">
        <v>3093</v>
      </c>
      <c r="D307" t="s">
        <v>3986</v>
      </c>
      <c r="E307" t="s">
        <v>3987</v>
      </c>
      <c r="F307" t="s">
        <v>3988</v>
      </c>
      <c r="G307" t="str">
        <f t="shared" si="14"/>
        <v>1667146447</v>
      </c>
      <c r="H307" t="str">
        <f t="shared" si="15"/>
        <v>https://stream-al.planetradio.co.uk/heat.aac?</v>
      </c>
      <c r="I307" t="str">
        <f t="shared" si="16"/>
        <v>https://stream-al.planetradio.co.uk/heat.aac?aw_0_1st.skey=1667146447&amp;aw_0_1st.playerid=BMUK_ukrp</v>
      </c>
    </row>
    <row r="308" spans="1:9" x14ac:dyDescent="0.55000000000000004">
      <c r="A308">
        <v>637</v>
      </c>
      <c r="B308" t="s">
        <v>3989</v>
      </c>
      <c r="C308" t="s">
        <v>3093</v>
      </c>
      <c r="D308" t="s">
        <v>3990</v>
      </c>
      <c r="E308" t="s">
        <v>3991</v>
      </c>
      <c r="F308" t="s">
        <v>3992</v>
      </c>
      <c r="G308" t="str">
        <f t="shared" si="14"/>
        <v>1667146450</v>
      </c>
      <c r="H308" t="str">
        <f t="shared" si="15"/>
        <v>https://stream-mz.planetradio.co.uk/net1bournemouth.aac?</v>
      </c>
      <c r="I308" t="str">
        <f t="shared" si="16"/>
        <v>https://stream-mz.planetradio.co.uk/net1bournemouth.aac?aw_0_1st.skey=1667146450&amp;aw_0_1st.playerid=BMUK_ukrp</v>
      </c>
    </row>
    <row r="309" spans="1:9" x14ac:dyDescent="0.55000000000000004">
      <c r="A309">
        <v>636</v>
      </c>
      <c r="B309" t="s">
        <v>3993</v>
      </c>
      <c r="C309" t="s">
        <v>3093</v>
      </c>
      <c r="D309" t="s">
        <v>3994</v>
      </c>
      <c r="E309" t="s">
        <v>3995</v>
      </c>
      <c r="F309" t="s">
        <v>3996</v>
      </c>
      <c r="G309" t="str">
        <f t="shared" si="14"/>
        <v>1667146452</v>
      </c>
      <c r="H309" t="str">
        <f t="shared" si="15"/>
        <v>https://stream-mz.planetradio.co.uk/net1bristol.aac?</v>
      </c>
      <c r="I309" t="str">
        <f t="shared" si="16"/>
        <v>https://stream-mz.planetradio.co.uk/net1bristol.aac?aw_0_1st.skey=1667146452&amp;aw_0_1st.playerid=BMUK_ukrp</v>
      </c>
    </row>
    <row r="310" spans="1:9" x14ac:dyDescent="0.55000000000000004">
      <c r="A310">
        <v>527</v>
      </c>
      <c r="B310" t="s">
        <v>1605</v>
      </c>
      <c r="C310" t="s">
        <v>3093</v>
      </c>
      <c r="D310" t="s">
        <v>3997</v>
      </c>
      <c r="E310" t="s">
        <v>3998</v>
      </c>
      <c r="F310" t="s">
        <v>3999</v>
      </c>
      <c r="G310" t="str">
        <f t="shared" si="14"/>
        <v>1667146453</v>
      </c>
      <c r="H310" t="str">
        <f t="shared" si="15"/>
        <v>https://stream-al.planetradio.co.uk/key.aac?</v>
      </c>
      <c r="I310" t="str">
        <f t="shared" si="16"/>
        <v>https://stream-al.planetradio.co.uk/key.aac?aw_0_1st.skey=1667146453&amp;aw_0_1st.playerid=BMUK_ukrp</v>
      </c>
    </row>
    <row r="311" spans="1:9" x14ac:dyDescent="0.55000000000000004">
      <c r="A311">
        <v>632</v>
      </c>
      <c r="B311" t="s">
        <v>702</v>
      </c>
      <c r="C311" t="s">
        <v>3093</v>
      </c>
      <c r="D311" t="s">
        <v>4000</v>
      </c>
      <c r="E311" t="s">
        <v>4001</v>
      </c>
      <c r="F311" t="s">
        <v>4002</v>
      </c>
      <c r="G311" t="str">
        <f t="shared" si="14"/>
        <v>1667146457</v>
      </c>
      <c r="H311" t="str">
        <f t="shared" si="15"/>
        <v>https://stream-al.planetradio.co.uk/hitsradiopride.aac?</v>
      </c>
      <c r="I311" t="str">
        <f t="shared" si="16"/>
        <v>https://stream-al.planetradio.co.uk/hitsradiopride.aac?aw_0_1st.skey=1667146457&amp;aw_0_1st.playerid=BMUK_ukrp</v>
      </c>
    </row>
    <row r="312" spans="1:9" x14ac:dyDescent="0.55000000000000004">
      <c r="A312">
        <v>630</v>
      </c>
      <c r="B312" t="s">
        <v>1607</v>
      </c>
      <c r="C312" t="s">
        <v>3093</v>
      </c>
      <c r="D312" t="s">
        <v>4003</v>
      </c>
      <c r="E312" t="s">
        <v>4004</v>
      </c>
      <c r="F312" t="s">
        <v>4005</v>
      </c>
      <c r="G312" t="str">
        <f t="shared" si="14"/>
        <v>1667146459</v>
      </c>
      <c r="H312" t="str">
        <f t="shared" si="15"/>
        <v>https://stream-mz.planetradio.co.uk/net1southcoast.aac?</v>
      </c>
      <c r="I312" t="str">
        <f t="shared" si="16"/>
        <v>https://stream-mz.planetradio.co.uk/net1southcoast.aac?aw_0_1st.skey=1667146459&amp;aw_0_1st.playerid=BMUK_ukrp</v>
      </c>
    </row>
    <row r="313" spans="1:9" x14ac:dyDescent="0.55000000000000004">
      <c r="A313">
        <v>528</v>
      </c>
      <c r="B313" t="s">
        <v>1608</v>
      </c>
      <c r="C313" t="s">
        <v>3093</v>
      </c>
      <c r="D313" t="s">
        <v>4006</v>
      </c>
      <c r="E313" t="s">
        <v>4007</v>
      </c>
      <c r="F313" t="s">
        <v>4008</v>
      </c>
      <c r="G313" t="str">
        <f t="shared" si="14"/>
        <v>1667146462</v>
      </c>
      <c r="H313" t="str">
        <f t="shared" si="15"/>
        <v>https://stream.apollo.audio/hit/hi/aac/?</v>
      </c>
      <c r="I313" t="str">
        <f t="shared" si="16"/>
        <v>https://stream.apollo.audio/hit/hi/aac/?aw_0_1st.skey=1667146462&amp;aw_0_1st.playerid=BMUK_ukrp</v>
      </c>
    </row>
    <row r="314" spans="1:9" hidden="1" x14ac:dyDescent="0.55000000000000004">
      <c r="A314">
        <v>1313</v>
      </c>
      <c r="B314" t="s">
        <v>4009</v>
      </c>
      <c r="C314" t="s">
        <v>3093</v>
      </c>
      <c r="D314" t="s">
        <v>4010</v>
      </c>
      <c r="E314" t="s">
        <v>4011</v>
      </c>
      <c r="F314" t="s">
        <v>4012</v>
      </c>
      <c r="G314" t="e">
        <f t="shared" si="14"/>
        <v>#VALUE!</v>
      </c>
      <c r="H314" t="str">
        <f t="shared" si="15"/>
        <v>https://globalfeed.ipswichcommunityradio.com/ICR?</v>
      </c>
      <c r="I314" t="e">
        <f t="shared" si="16"/>
        <v>#VALUE!</v>
      </c>
    </row>
    <row r="315" spans="1:9" hidden="1" x14ac:dyDescent="0.55000000000000004">
      <c r="A315">
        <v>1313</v>
      </c>
      <c r="B315" t="s">
        <v>4009</v>
      </c>
      <c r="C315" t="s">
        <v>3093</v>
      </c>
      <c r="D315" t="s">
        <v>4013</v>
      </c>
      <c r="E315" t="s">
        <v>4011</v>
      </c>
      <c r="F315" t="s">
        <v>4012</v>
      </c>
      <c r="G315" t="e">
        <f t="shared" si="14"/>
        <v>#VALUE!</v>
      </c>
      <c r="H315" t="str">
        <f t="shared" si="15"/>
        <v>https://streams.happyhits.co.uk/ICR?</v>
      </c>
      <c r="I315" t="e">
        <f t="shared" si="16"/>
        <v>#VALUE!</v>
      </c>
    </row>
    <row r="316" spans="1:9" hidden="1" x14ac:dyDescent="0.55000000000000004">
      <c r="A316">
        <v>1034</v>
      </c>
      <c r="B316" t="s">
        <v>718</v>
      </c>
      <c r="C316" t="s">
        <v>3093</v>
      </c>
      <c r="D316" t="s">
        <v>4014</v>
      </c>
      <c r="E316" t="s">
        <v>4015</v>
      </c>
      <c r="F316" t="s">
        <v>4016</v>
      </c>
      <c r="G316" t="e">
        <f t="shared" si="14"/>
        <v>#VALUE!</v>
      </c>
      <c r="H316" t="str">
        <f t="shared" si="15"/>
        <v>https://stream.rcs.revma.com/epatpyebanzuv?</v>
      </c>
      <c r="I316" t="e">
        <f t="shared" si="16"/>
        <v>#VALUE!</v>
      </c>
    </row>
    <row r="317" spans="1:9" hidden="1" x14ac:dyDescent="0.55000000000000004">
      <c r="A317">
        <v>1117</v>
      </c>
      <c r="B317" t="s">
        <v>720</v>
      </c>
      <c r="C317" t="s">
        <v>3093</v>
      </c>
      <c r="D317" t="s">
        <v>4017</v>
      </c>
      <c r="E317" t="s">
        <v>4018</v>
      </c>
      <c r="F317" t="s">
        <v>4019</v>
      </c>
      <c r="G317" t="e">
        <f t="shared" si="14"/>
        <v>#VALUE!</v>
      </c>
      <c r="H317" t="str">
        <f t="shared" si="15"/>
        <v>https://securestreams4.autopo.st:1600?</v>
      </c>
      <c r="I317" t="e">
        <f t="shared" si="16"/>
        <v>#VALUE!</v>
      </c>
    </row>
    <row r="318" spans="1:9" hidden="1" x14ac:dyDescent="0.55000000000000004">
      <c r="A318">
        <v>1117</v>
      </c>
      <c r="B318" t="s">
        <v>720</v>
      </c>
      <c r="C318" t="s">
        <v>3093</v>
      </c>
      <c r="D318" t="s">
        <v>4020</v>
      </c>
      <c r="E318" t="s">
        <v>4018</v>
      </c>
      <c r="F318" t="s">
        <v>4019</v>
      </c>
      <c r="G318" t="e">
        <f t="shared" si="14"/>
        <v>#VALUE!</v>
      </c>
      <c r="H318" t="str">
        <f t="shared" si="15"/>
        <v>https://s2.xrad.io:9598/listen.mp3?</v>
      </c>
      <c r="I318" t="e">
        <f t="shared" si="16"/>
        <v>#VALUE!</v>
      </c>
    </row>
    <row r="319" spans="1:9" hidden="1" x14ac:dyDescent="0.55000000000000004">
      <c r="A319">
        <v>1066</v>
      </c>
      <c r="B319" t="s">
        <v>728</v>
      </c>
      <c r="C319" t="s">
        <v>3093</v>
      </c>
      <c r="D319" t="s">
        <v>4021</v>
      </c>
      <c r="E319" t="s">
        <v>4022</v>
      </c>
      <c r="F319" t="s">
        <v>4023</v>
      </c>
      <c r="G319" t="e">
        <f t="shared" si="14"/>
        <v>#VALUE!</v>
      </c>
      <c r="H319" t="str">
        <f t="shared" si="15"/>
        <v>https://listen-jackmedia.sharp-stream.com/390_jack_2_64_aac?</v>
      </c>
      <c r="I319" t="e">
        <f t="shared" si="16"/>
        <v>#VALUE!</v>
      </c>
    </row>
    <row r="320" spans="1:9" hidden="1" x14ac:dyDescent="0.55000000000000004">
      <c r="A320">
        <v>1066</v>
      </c>
      <c r="B320" t="s">
        <v>728</v>
      </c>
      <c r="C320" t="s">
        <v>3093</v>
      </c>
      <c r="D320" t="s">
        <v>4024</v>
      </c>
      <c r="E320" t="s">
        <v>4022</v>
      </c>
      <c r="F320" t="s">
        <v>4023</v>
      </c>
      <c r="G320" t="e">
        <f t="shared" si="14"/>
        <v>#VALUE!</v>
      </c>
      <c r="H320" t="str">
        <f t="shared" si="15"/>
        <v>https://listen-jackmedia.sharp-stream.com/390_jack_2_128_mp3?</v>
      </c>
      <c r="I320" t="e">
        <f t="shared" si="16"/>
        <v>#VALUE!</v>
      </c>
    </row>
    <row r="321" spans="1:9" hidden="1" x14ac:dyDescent="0.55000000000000004">
      <c r="A321">
        <v>1388</v>
      </c>
      <c r="B321" t="s">
        <v>731</v>
      </c>
      <c r="C321" t="s">
        <v>3093</v>
      </c>
      <c r="D321" t="s">
        <v>4025</v>
      </c>
      <c r="E321" t="s">
        <v>4026</v>
      </c>
      <c r="F321" t="s">
        <v>4027</v>
      </c>
      <c r="G321" t="e">
        <f t="shared" si="14"/>
        <v>#VALUE!</v>
      </c>
      <c r="H321" t="str">
        <f t="shared" si="15"/>
        <v>https://listen-jackmedia.sharp-stream.com/390_jack_3_64_aac?</v>
      </c>
      <c r="I321" t="e">
        <f t="shared" si="16"/>
        <v>#VALUE!</v>
      </c>
    </row>
    <row r="322" spans="1:9" hidden="1" x14ac:dyDescent="0.55000000000000004">
      <c r="A322">
        <v>1388</v>
      </c>
      <c r="B322" t="s">
        <v>731</v>
      </c>
      <c r="C322" t="s">
        <v>3093</v>
      </c>
      <c r="D322" t="s">
        <v>4028</v>
      </c>
      <c r="E322" t="s">
        <v>4026</v>
      </c>
      <c r="F322" t="s">
        <v>4027</v>
      </c>
      <c r="G322" t="e">
        <f t="shared" si="14"/>
        <v>#VALUE!</v>
      </c>
      <c r="H322" t="str">
        <f t="shared" si="15"/>
        <v>https://listen-jackmedia.sharp-stream.com/390_jack_3_128_mp3?</v>
      </c>
      <c r="I322" t="e">
        <f t="shared" si="16"/>
        <v>#VALUE!</v>
      </c>
    </row>
    <row r="323" spans="1:9" hidden="1" x14ac:dyDescent="0.55000000000000004">
      <c r="A323">
        <v>1001</v>
      </c>
      <c r="B323" t="s">
        <v>4029</v>
      </c>
      <c r="C323" t="s">
        <v>3093</v>
      </c>
      <c r="D323" t="s">
        <v>4030</v>
      </c>
      <c r="E323" t="s">
        <v>4031</v>
      </c>
      <c r="F323" t="s">
        <v>4032</v>
      </c>
      <c r="G323" t="e">
        <f t="shared" ref="G323:G386" si="17">MID(D323,
FIND("1st.skey=",D323,1)+9,10)</f>
        <v>#VALUE!</v>
      </c>
      <c r="H323" t="str">
        <f t="shared" ref="H323:H386" si="18">LEFT(D323,
FIND("?",D323,1))</f>
        <v>https://listen-jackmedia.sharp-stream.com/390_jack_fm_64_aac?</v>
      </c>
      <c r="I323" t="e">
        <f t="shared" ref="I323:I386" si="19">H323&amp;"aw_0_1st.skey="&amp;G323&amp;"&amp;aw_0_1st.playerid=BMUK_ukrp"</f>
        <v>#VALUE!</v>
      </c>
    </row>
    <row r="324" spans="1:9" hidden="1" x14ac:dyDescent="0.55000000000000004">
      <c r="A324">
        <v>1001</v>
      </c>
      <c r="B324" t="s">
        <v>4029</v>
      </c>
      <c r="C324" t="s">
        <v>3093</v>
      </c>
      <c r="D324" t="s">
        <v>4033</v>
      </c>
      <c r="E324" t="s">
        <v>4031</v>
      </c>
      <c r="F324" t="s">
        <v>4032</v>
      </c>
      <c r="G324" t="e">
        <f t="shared" si="17"/>
        <v>#VALUE!</v>
      </c>
      <c r="H324" t="str">
        <f t="shared" si="18"/>
        <v>https://listen-jackmedia.sharp-stream.com/390_jack_fm_48_aac?</v>
      </c>
      <c r="I324" t="e">
        <f t="shared" si="19"/>
        <v>#VALUE!</v>
      </c>
    </row>
    <row r="325" spans="1:9" hidden="1" x14ac:dyDescent="0.55000000000000004">
      <c r="A325">
        <v>1001</v>
      </c>
      <c r="B325" t="s">
        <v>4029</v>
      </c>
      <c r="C325" t="s">
        <v>3093</v>
      </c>
      <c r="D325" t="s">
        <v>4034</v>
      </c>
      <c r="E325" t="s">
        <v>4031</v>
      </c>
      <c r="F325" t="s">
        <v>4032</v>
      </c>
      <c r="G325" t="e">
        <f t="shared" si="17"/>
        <v>#VALUE!</v>
      </c>
      <c r="H325" t="str">
        <f t="shared" si="18"/>
        <v>https://listen-jackmedia.sharp-stream.com/390_jack_fm_128_mp3?</v>
      </c>
      <c r="I325" t="e">
        <f t="shared" si="19"/>
        <v>#VALUE!</v>
      </c>
    </row>
    <row r="326" spans="1:9" hidden="1" x14ac:dyDescent="0.55000000000000004">
      <c r="A326">
        <v>1064</v>
      </c>
      <c r="B326" t="s">
        <v>736</v>
      </c>
      <c r="C326" t="s">
        <v>3093</v>
      </c>
      <c r="D326" t="s">
        <v>4035</v>
      </c>
      <c r="E326" t="s">
        <v>4036</v>
      </c>
      <c r="F326" t="s">
        <v>4037</v>
      </c>
      <c r="G326" t="str">
        <f t="shared" si="17"/>
        <v>1667146483</v>
      </c>
      <c r="H326" t="str">
        <f t="shared" si="18"/>
        <v>https://stream-al.planetradio.co.uk/jazzhigh.aac?</v>
      </c>
      <c r="I326" t="str">
        <f t="shared" si="19"/>
        <v>https://stream-al.planetradio.co.uk/jazzhigh.aac?aw_0_1st.skey=1667146483&amp;aw_0_1st.playerid=BMUK_ukrp</v>
      </c>
    </row>
    <row r="327" spans="1:9" hidden="1" x14ac:dyDescent="0.55000000000000004">
      <c r="A327">
        <v>1439</v>
      </c>
      <c r="B327" t="s">
        <v>4038</v>
      </c>
      <c r="C327" t="s">
        <v>3093</v>
      </c>
      <c r="D327" t="s">
        <v>4039</v>
      </c>
      <c r="E327" t="s">
        <v>4040</v>
      </c>
      <c r="F327" t="s">
        <v>4041</v>
      </c>
      <c r="G327" t="e">
        <f t="shared" si="17"/>
        <v>#VALUE!</v>
      </c>
      <c r="H327" t="str">
        <f t="shared" si="18"/>
        <v>http://stream.kennetradio.com/128.mp3?</v>
      </c>
      <c r="I327" t="e">
        <f t="shared" si="19"/>
        <v>#VALUE!</v>
      </c>
    </row>
    <row r="328" spans="1:9" hidden="1" x14ac:dyDescent="0.55000000000000004">
      <c r="A328">
        <v>570</v>
      </c>
      <c r="B328" t="s">
        <v>740</v>
      </c>
      <c r="C328" t="s">
        <v>3093</v>
      </c>
      <c r="D328" t="s">
        <v>4042</v>
      </c>
      <c r="E328" t="s">
        <v>4043</v>
      </c>
      <c r="F328" t="s">
        <v>4044</v>
      </c>
      <c r="G328" t="str">
        <f t="shared" si="17"/>
        <v>1667146486</v>
      </c>
      <c r="H328" t="str">
        <f t="shared" si="18"/>
        <v>https://stream-al.planetradio.co.uk/kerrang.aac?</v>
      </c>
      <c r="I328" t="str">
        <f t="shared" si="19"/>
        <v>https://stream-al.planetradio.co.uk/kerrang.aac?aw_0_1st.skey=1667146486&amp;aw_0_1st.playerid=BMUK_ukrp</v>
      </c>
    </row>
    <row r="329" spans="1:9" hidden="1" x14ac:dyDescent="0.55000000000000004">
      <c r="A329">
        <v>1141</v>
      </c>
      <c r="B329" t="s">
        <v>742</v>
      </c>
      <c r="C329" t="s">
        <v>3093</v>
      </c>
      <c r="D329" t="s">
        <v>4045</v>
      </c>
      <c r="E329" t="s">
        <v>4046</v>
      </c>
      <c r="F329" t="s">
        <v>4047</v>
      </c>
      <c r="G329" t="e">
        <f t="shared" si="17"/>
        <v>#VALUE!</v>
      </c>
      <c r="H329" t="str">
        <f t="shared" si="18"/>
        <v>https://listen-kingdomfm.sharp-stream.com/kingdomfm.mp3?</v>
      </c>
      <c r="I329" t="e">
        <f t="shared" si="19"/>
        <v>#VALUE!</v>
      </c>
    </row>
    <row r="330" spans="1:9" hidden="1" x14ac:dyDescent="0.55000000000000004">
      <c r="A330">
        <v>550</v>
      </c>
      <c r="B330" t="s">
        <v>1616</v>
      </c>
      <c r="C330" t="s">
        <v>3093</v>
      </c>
      <c r="D330" t="s">
        <v>4048</v>
      </c>
      <c r="E330" t="s">
        <v>4049</v>
      </c>
      <c r="F330" t="s">
        <v>4050</v>
      </c>
      <c r="G330" t="str">
        <f t="shared" si="17"/>
        <v>1667146490</v>
      </c>
      <c r="H330" t="str">
        <f t="shared" si="18"/>
        <v>https://stream-kiss.planetradio.co.uk/kissnational.aac?</v>
      </c>
      <c r="I330" t="str">
        <f t="shared" si="19"/>
        <v>https://stream-kiss.planetradio.co.uk/kissnational.aac?aw_0_1st.skey=1667146490&amp;aw_0_1st.playerid=BMUK_ukrp</v>
      </c>
    </row>
    <row r="331" spans="1:9" hidden="1" x14ac:dyDescent="0.55000000000000004">
      <c r="A331">
        <v>1258</v>
      </c>
      <c r="B331" t="s">
        <v>749</v>
      </c>
      <c r="C331" t="s">
        <v>3093</v>
      </c>
      <c r="D331" t="s">
        <v>4051</v>
      </c>
      <c r="E331" t="s">
        <v>4052</v>
      </c>
      <c r="F331" t="s">
        <v>4053</v>
      </c>
      <c r="G331" t="str">
        <f t="shared" si="17"/>
        <v>1667146492</v>
      </c>
      <c r="H331" t="str">
        <f t="shared" si="18"/>
        <v>https://stream-kiss.planetradio.co.uk/kissfresh.aac?</v>
      </c>
      <c r="I331" t="str">
        <f t="shared" si="19"/>
        <v>https://stream-kiss.planetradio.co.uk/kissfresh.aac?aw_0_1st.skey=1667146492&amp;aw_0_1st.playerid=BMUK_ukrp</v>
      </c>
    </row>
    <row r="332" spans="1:9" hidden="1" x14ac:dyDescent="0.55000000000000004">
      <c r="A332">
        <v>1257</v>
      </c>
      <c r="B332" t="s">
        <v>751</v>
      </c>
      <c r="C332" t="s">
        <v>3093</v>
      </c>
      <c r="D332" t="s">
        <v>4054</v>
      </c>
      <c r="E332" t="s">
        <v>4055</v>
      </c>
      <c r="F332" t="s">
        <v>4056</v>
      </c>
      <c r="G332" t="str">
        <f t="shared" si="17"/>
        <v>1667146494</v>
      </c>
      <c r="H332" t="str">
        <f t="shared" si="18"/>
        <v>https://stream-kiss.planetradio.co.uk/kisstory.aac?</v>
      </c>
      <c r="I332" t="str">
        <f t="shared" si="19"/>
        <v>https://stream-kiss.planetradio.co.uk/kisstory.aac?aw_0_1st.skey=1667146494&amp;aw_0_1st.playerid=BMUK_ukrp</v>
      </c>
    </row>
    <row r="333" spans="1:9" hidden="1" x14ac:dyDescent="0.55000000000000004">
      <c r="A333">
        <v>1457</v>
      </c>
      <c r="B333" t="s">
        <v>753</v>
      </c>
      <c r="C333" t="s">
        <v>3093</v>
      </c>
      <c r="D333" t="s">
        <v>4057</v>
      </c>
      <c r="E333" t="s">
        <v>4058</v>
      </c>
      <c r="F333" t="s">
        <v>4059</v>
      </c>
      <c r="G333" t="e">
        <f t="shared" si="17"/>
        <v>#VALUE!</v>
      </c>
      <c r="H333" t="str">
        <f t="shared" si="18"/>
        <v>https://listen-kmfm.sharp-stream.com/kmfmashford.mp3?</v>
      </c>
      <c r="I333" t="e">
        <f t="shared" si="19"/>
        <v>#VALUE!</v>
      </c>
    </row>
    <row r="334" spans="1:9" hidden="1" x14ac:dyDescent="0.55000000000000004">
      <c r="A334">
        <v>1458</v>
      </c>
      <c r="B334" t="s">
        <v>4060</v>
      </c>
      <c r="C334" t="s">
        <v>3093</v>
      </c>
      <c r="D334" t="s">
        <v>4061</v>
      </c>
      <c r="E334" t="s">
        <v>4062</v>
      </c>
      <c r="F334" t="s">
        <v>4063</v>
      </c>
      <c r="G334" t="e">
        <f t="shared" si="17"/>
        <v>#VALUE!</v>
      </c>
      <c r="H334" t="str">
        <f t="shared" si="18"/>
        <v>https://listen-kmfm.sharp-stream.com/kmfmcanterbury.mp3?</v>
      </c>
      <c r="I334" t="e">
        <f t="shared" si="19"/>
        <v>#VALUE!</v>
      </c>
    </row>
    <row r="335" spans="1:9" hidden="1" x14ac:dyDescent="0.55000000000000004">
      <c r="A335">
        <v>1459</v>
      </c>
      <c r="B335" t="s">
        <v>4064</v>
      </c>
      <c r="C335" t="s">
        <v>3093</v>
      </c>
      <c r="D335" t="s">
        <v>4065</v>
      </c>
      <c r="E335" t="s">
        <v>4066</v>
      </c>
      <c r="F335" t="s">
        <v>4067</v>
      </c>
      <c r="G335" t="e">
        <f t="shared" si="17"/>
        <v>#VALUE!</v>
      </c>
      <c r="H335" t="str">
        <f t="shared" si="18"/>
        <v>https://listen-kmfm.sharp-stream.com/kmfmdoverfolkestone.mp3?</v>
      </c>
      <c r="I335" t="e">
        <f t="shared" si="19"/>
        <v>#VALUE!</v>
      </c>
    </row>
    <row r="336" spans="1:9" hidden="1" x14ac:dyDescent="0.55000000000000004">
      <c r="A336">
        <v>1460</v>
      </c>
      <c r="B336" t="s">
        <v>757</v>
      </c>
      <c r="C336" t="s">
        <v>3093</v>
      </c>
      <c r="D336" t="s">
        <v>4068</v>
      </c>
      <c r="E336" t="s">
        <v>4069</v>
      </c>
      <c r="F336" t="s">
        <v>4070</v>
      </c>
      <c r="G336" t="e">
        <f t="shared" si="17"/>
        <v>#VALUE!</v>
      </c>
      <c r="H336" t="str">
        <f t="shared" si="18"/>
        <v>https://listen-kmfm.sharp-stream.com/kmfmmaidstone.mp3?</v>
      </c>
      <c r="I336" t="e">
        <f t="shared" si="19"/>
        <v>#VALUE!</v>
      </c>
    </row>
    <row r="337" spans="1:9" hidden="1" x14ac:dyDescent="0.55000000000000004">
      <c r="A337">
        <v>1461</v>
      </c>
      <c r="B337" t="s">
        <v>759</v>
      </c>
      <c r="C337" t="s">
        <v>3093</v>
      </c>
      <c r="D337" t="s">
        <v>4071</v>
      </c>
      <c r="E337" t="s">
        <v>4072</v>
      </c>
      <c r="F337" t="s">
        <v>4073</v>
      </c>
      <c r="G337" t="e">
        <f t="shared" si="17"/>
        <v>#VALUE!</v>
      </c>
      <c r="H337" t="str">
        <f t="shared" si="18"/>
        <v>https://listen-kmfm.sharp-stream.com/kmfmmedway.mp3?</v>
      </c>
      <c r="I337" t="e">
        <f t="shared" si="19"/>
        <v>#VALUE!</v>
      </c>
    </row>
    <row r="338" spans="1:9" hidden="1" x14ac:dyDescent="0.55000000000000004">
      <c r="A338">
        <v>1462</v>
      </c>
      <c r="B338" t="s">
        <v>763</v>
      </c>
      <c r="C338" t="s">
        <v>3093</v>
      </c>
      <c r="D338" t="s">
        <v>4074</v>
      </c>
      <c r="E338" t="s">
        <v>4075</v>
      </c>
      <c r="F338" t="s">
        <v>4076</v>
      </c>
      <c r="G338" t="e">
        <f t="shared" si="17"/>
        <v>#VALUE!</v>
      </c>
      <c r="H338" t="str">
        <f t="shared" si="18"/>
        <v>https://listen-kmfm.sharp-stream.com/kmfmthanet.mp3?</v>
      </c>
      <c r="I338" t="e">
        <f t="shared" si="19"/>
        <v>#VALUE!</v>
      </c>
    </row>
    <row r="339" spans="1:9" hidden="1" x14ac:dyDescent="0.55000000000000004">
      <c r="A339">
        <v>1463</v>
      </c>
      <c r="B339" t="s">
        <v>765</v>
      </c>
      <c r="C339" t="s">
        <v>3093</v>
      </c>
      <c r="D339" t="s">
        <v>4077</v>
      </c>
      <c r="E339" t="s">
        <v>4078</v>
      </c>
      <c r="F339" t="s">
        <v>4079</v>
      </c>
      <c r="G339" t="e">
        <f t="shared" si="17"/>
        <v>#VALUE!</v>
      </c>
      <c r="H339" t="str">
        <f t="shared" si="18"/>
        <v>https://listen-kmfm.sharp-stream.com/kmfmwestkent.mp3?</v>
      </c>
      <c r="I339" t="e">
        <f t="shared" si="19"/>
        <v>#VALUE!</v>
      </c>
    </row>
    <row r="340" spans="1:9" hidden="1" x14ac:dyDescent="0.55000000000000004">
      <c r="A340">
        <v>258</v>
      </c>
      <c r="B340" t="s">
        <v>767</v>
      </c>
      <c r="C340" t="s">
        <v>3093</v>
      </c>
      <c r="D340" t="s">
        <v>4080</v>
      </c>
      <c r="E340" t="s">
        <v>4081</v>
      </c>
      <c r="F340" t="s">
        <v>4082</v>
      </c>
      <c r="G340" t="e">
        <f t="shared" si="17"/>
        <v>#VALUE!</v>
      </c>
      <c r="H340" t="str">
        <f t="shared" si="18"/>
        <v>https://media-ssl.musicradio.com/LBCLondon?</v>
      </c>
      <c r="I340" t="e">
        <f t="shared" si="19"/>
        <v>#VALUE!</v>
      </c>
    </row>
    <row r="341" spans="1:9" hidden="1" x14ac:dyDescent="0.55000000000000004">
      <c r="A341">
        <v>259</v>
      </c>
      <c r="B341" t="s">
        <v>772</v>
      </c>
      <c r="C341" t="s">
        <v>3093</v>
      </c>
      <c r="D341" t="s">
        <v>4083</v>
      </c>
      <c r="E341" t="s">
        <v>4084</v>
      </c>
      <c r="F341" t="s">
        <v>4085</v>
      </c>
      <c r="G341" t="e">
        <f t="shared" si="17"/>
        <v>#VALUE!</v>
      </c>
      <c r="H341" t="str">
        <f t="shared" si="18"/>
        <v>https://media-ssl.musicradio.com/LBCNewsLondon?</v>
      </c>
      <c r="I341" t="e">
        <f t="shared" si="19"/>
        <v>#VALUE!</v>
      </c>
    </row>
    <row r="342" spans="1:9" hidden="1" x14ac:dyDescent="0.55000000000000004">
      <c r="A342">
        <v>261</v>
      </c>
      <c r="B342" t="s">
        <v>774</v>
      </c>
      <c r="C342" t="s">
        <v>3093</v>
      </c>
      <c r="D342" t="s">
        <v>4086</v>
      </c>
      <c r="E342" t="s">
        <v>4087</v>
      </c>
      <c r="F342" t="s">
        <v>4088</v>
      </c>
      <c r="G342" t="e">
        <f t="shared" si="17"/>
        <v>#VALUE!</v>
      </c>
      <c r="H342" t="str">
        <f t="shared" si="18"/>
        <v>https://media-ssl.musicradio.com/LBCNewsUK?</v>
      </c>
      <c r="I342" t="e">
        <f t="shared" si="19"/>
        <v>#VALUE!</v>
      </c>
    </row>
    <row r="343" spans="1:9" hidden="1" x14ac:dyDescent="0.55000000000000004">
      <c r="A343">
        <v>260</v>
      </c>
      <c r="B343" t="s">
        <v>770</v>
      </c>
      <c r="C343" t="s">
        <v>3093</v>
      </c>
      <c r="D343" t="s">
        <v>4089</v>
      </c>
      <c r="E343" t="s">
        <v>4090</v>
      </c>
      <c r="F343" t="s">
        <v>4091</v>
      </c>
      <c r="G343" t="e">
        <f t="shared" si="17"/>
        <v>#VALUE!</v>
      </c>
      <c r="H343" t="str">
        <f t="shared" si="18"/>
        <v>https://media-ssl.musicradio.com/LBCUK?</v>
      </c>
      <c r="I343" t="e">
        <f t="shared" si="19"/>
        <v>#VALUE!</v>
      </c>
    </row>
    <row r="344" spans="1:9" hidden="1" x14ac:dyDescent="0.55000000000000004">
      <c r="A344">
        <v>1547</v>
      </c>
      <c r="B344" t="s">
        <v>778</v>
      </c>
      <c r="C344" t="s">
        <v>3093</v>
      </c>
      <c r="D344" t="s">
        <v>4092</v>
      </c>
      <c r="E344" t="s">
        <v>4093</v>
      </c>
      <c r="F344" t="s">
        <v>4094</v>
      </c>
      <c r="G344" t="e">
        <f t="shared" si="17"/>
        <v>#VALUE!</v>
      </c>
      <c r="H344" t="str">
        <f t="shared" si="18"/>
        <v>https://ukliferadio.radioca.st/stream?</v>
      </c>
      <c r="I344" t="e">
        <f t="shared" si="19"/>
        <v>#VALUE!</v>
      </c>
    </row>
    <row r="345" spans="1:9" hidden="1" x14ac:dyDescent="0.55000000000000004">
      <c r="A345">
        <v>1547</v>
      </c>
      <c r="B345" t="s">
        <v>778</v>
      </c>
      <c r="C345" t="s">
        <v>3093</v>
      </c>
      <c r="D345" t="s">
        <v>4095</v>
      </c>
      <c r="E345" t="s">
        <v>4093</v>
      </c>
      <c r="F345" t="s">
        <v>4094</v>
      </c>
      <c r="G345" t="e">
        <f t="shared" si="17"/>
        <v>#VALUE!</v>
      </c>
      <c r="H345" t="str">
        <f t="shared" si="18"/>
        <v>https://ukliferadio.radioca.st/stream?</v>
      </c>
      <c r="I345" t="e">
        <f t="shared" si="19"/>
        <v>#VALUE!</v>
      </c>
    </row>
    <row r="346" spans="1:9" hidden="1" x14ac:dyDescent="0.55000000000000004">
      <c r="A346">
        <v>1538</v>
      </c>
      <c r="B346" t="s">
        <v>4096</v>
      </c>
      <c r="C346" t="s">
        <v>3093</v>
      </c>
      <c r="D346" t="s">
        <v>4097</v>
      </c>
      <c r="E346" t="s">
        <v>4098</v>
      </c>
      <c r="F346" t="s">
        <v>4099</v>
      </c>
      <c r="G346" t="e">
        <f t="shared" si="17"/>
        <v>#VALUE!</v>
      </c>
      <c r="H346" t="str">
        <f t="shared" si="18"/>
        <v>https://likeradiostream.com/likeoneuk?</v>
      </c>
      <c r="I346" t="e">
        <f t="shared" si="19"/>
        <v>#VALUE!</v>
      </c>
    </row>
    <row r="347" spans="1:9" hidden="1" x14ac:dyDescent="0.55000000000000004">
      <c r="A347">
        <v>1538</v>
      </c>
      <c r="B347" t="s">
        <v>4096</v>
      </c>
      <c r="C347" t="s">
        <v>3093</v>
      </c>
      <c r="D347" t="s">
        <v>4100</v>
      </c>
      <c r="E347" t="s">
        <v>4098</v>
      </c>
      <c r="F347" t="s">
        <v>4099</v>
      </c>
      <c r="G347" t="e">
        <f t="shared" si="17"/>
        <v>#VALUE!</v>
      </c>
      <c r="H347" t="str">
        <f t="shared" si="18"/>
        <v>https://likeradiostream.com/likeoneukaac?</v>
      </c>
      <c r="I347" t="e">
        <f t="shared" si="19"/>
        <v>#VALUE!</v>
      </c>
    </row>
    <row r="348" spans="1:9" hidden="1" x14ac:dyDescent="0.55000000000000004">
      <c r="A348">
        <v>1036</v>
      </c>
      <c r="B348" t="s">
        <v>787</v>
      </c>
      <c r="C348" t="s">
        <v>3093</v>
      </c>
      <c r="D348" t="s">
        <v>4101</v>
      </c>
      <c r="E348" t="s">
        <v>4102</v>
      </c>
      <c r="F348" t="s">
        <v>4103</v>
      </c>
      <c r="G348" t="str">
        <f t="shared" si="17"/>
        <v>1667146519</v>
      </c>
      <c r="H348" t="str">
        <f t="shared" si="18"/>
        <v>https://stream-mz.planetradio.co.uk/net1lincoln.aac?</v>
      </c>
      <c r="I348" t="str">
        <f t="shared" si="19"/>
        <v>https://stream-mz.planetradio.co.uk/net1lincoln.aac?aw_0_1st.skey=1667146519&amp;aw_0_1st.playerid=BMUK_ukrp</v>
      </c>
    </row>
    <row r="349" spans="1:9" hidden="1" x14ac:dyDescent="0.55000000000000004">
      <c r="A349">
        <v>1382</v>
      </c>
      <c r="B349" t="s">
        <v>799</v>
      </c>
      <c r="C349" t="s">
        <v>3093</v>
      </c>
      <c r="D349" t="s">
        <v>4104</v>
      </c>
      <c r="E349" t="s">
        <v>4105</v>
      </c>
      <c r="F349" t="s">
        <v>4106</v>
      </c>
      <c r="G349" t="e">
        <f t="shared" si="17"/>
        <v>#VALUE!</v>
      </c>
      <c r="H349" t="str">
        <f t="shared" si="18"/>
        <v>https://streamingv2.shoutcast.com/love-eighties-radio?</v>
      </c>
      <c r="I349" t="e">
        <f t="shared" si="19"/>
        <v>#VALUE!</v>
      </c>
    </row>
    <row r="350" spans="1:9" hidden="1" x14ac:dyDescent="0.55000000000000004">
      <c r="A350">
        <v>1284</v>
      </c>
      <c r="B350" t="s">
        <v>4107</v>
      </c>
      <c r="C350" t="s">
        <v>3093</v>
      </c>
      <c r="D350" t="s">
        <v>4108</v>
      </c>
      <c r="E350" t="s">
        <v>4109</v>
      </c>
      <c r="F350" t="s">
        <v>4110</v>
      </c>
      <c r="G350" t="e">
        <f t="shared" si="17"/>
        <v>#VALUE!</v>
      </c>
      <c r="H350" t="str">
        <f t="shared" si="18"/>
        <v>https://listen-lycaradio.sharp-stream.com/1458.mp3?</v>
      </c>
      <c r="I350" t="e">
        <f t="shared" si="19"/>
        <v>#VALUE!</v>
      </c>
    </row>
    <row r="351" spans="1:9" hidden="1" x14ac:dyDescent="0.55000000000000004">
      <c r="A351">
        <v>1285</v>
      </c>
      <c r="B351" t="s">
        <v>801</v>
      </c>
      <c r="C351" t="s">
        <v>3093</v>
      </c>
      <c r="D351" t="s">
        <v>4111</v>
      </c>
      <c r="E351" t="s">
        <v>4112</v>
      </c>
      <c r="F351" t="s">
        <v>4113</v>
      </c>
      <c r="G351" t="e">
        <f t="shared" si="17"/>
        <v>#VALUE!</v>
      </c>
      <c r="H351" t="str">
        <f t="shared" si="18"/>
        <v>https://listen-dilse.sharp-stream.com/1035.mp3?</v>
      </c>
      <c r="I351" t="e">
        <f t="shared" si="19"/>
        <v>#VALUE!</v>
      </c>
    </row>
    <row r="352" spans="1:9" hidden="1" x14ac:dyDescent="0.55000000000000004">
      <c r="A352">
        <v>553</v>
      </c>
      <c r="B352" t="s">
        <v>4114</v>
      </c>
      <c r="C352" t="s">
        <v>3093</v>
      </c>
      <c r="D352" t="s">
        <v>4115</v>
      </c>
      <c r="E352" t="s">
        <v>4116</v>
      </c>
      <c r="F352" t="s">
        <v>4117</v>
      </c>
      <c r="G352" t="str">
        <f t="shared" si="17"/>
        <v>1667146531</v>
      </c>
      <c r="H352" t="str">
        <f t="shared" si="18"/>
        <v>https://stream.apollo.audio/mag/hi/aac/?</v>
      </c>
      <c r="I352" t="str">
        <f t="shared" si="19"/>
        <v>https://stream.apollo.audio/mag/hi/aac/?aw_0_1st.skey=1667146531&amp;aw_0_1st.playerid=BMUK_ukrp</v>
      </c>
    </row>
    <row r="353" spans="1:9" hidden="1" x14ac:dyDescent="0.55000000000000004">
      <c r="A353">
        <v>548</v>
      </c>
      <c r="B353" t="s">
        <v>811</v>
      </c>
      <c r="C353" t="s">
        <v>3093</v>
      </c>
      <c r="D353" t="s">
        <v>4118</v>
      </c>
      <c r="E353" t="s">
        <v>4119</v>
      </c>
      <c r="F353" t="s">
        <v>4120</v>
      </c>
      <c r="G353" t="str">
        <f t="shared" si="17"/>
        <v>1667146532</v>
      </c>
      <c r="H353" t="str">
        <f t="shared" si="18"/>
        <v>https://stream-mz.planetradio.co.uk/magicchilled.aac?</v>
      </c>
      <c r="I353" t="str">
        <f t="shared" si="19"/>
        <v>https://stream-mz.planetradio.co.uk/magicchilled.aac?aw_0_1st.skey=1667146532&amp;aw_0_1st.playerid=BMUK_ukrp</v>
      </c>
    </row>
    <row r="354" spans="1:9" hidden="1" x14ac:dyDescent="0.55000000000000004">
      <c r="A354">
        <v>524</v>
      </c>
      <c r="B354" t="s">
        <v>809</v>
      </c>
      <c r="C354" t="s">
        <v>3093</v>
      </c>
      <c r="D354" t="s">
        <v>4121</v>
      </c>
      <c r="E354" t="s">
        <v>4122</v>
      </c>
      <c r="F354" t="s">
        <v>4123</v>
      </c>
      <c r="G354" t="str">
        <f t="shared" si="17"/>
        <v>1667146534</v>
      </c>
      <c r="H354" t="str">
        <f t="shared" si="18"/>
        <v>https://stream-mz.planetradio.co.uk/magicmusicalshigh.aac?</v>
      </c>
      <c r="I354" t="str">
        <f t="shared" si="19"/>
        <v>https://stream-mz.planetradio.co.uk/magicmusicalshigh.aac?aw_0_1st.skey=1667146534&amp;aw_0_1st.playerid=BMUK_ukrp</v>
      </c>
    </row>
    <row r="355" spans="1:9" hidden="1" x14ac:dyDescent="0.55000000000000004">
      <c r="A355">
        <v>549</v>
      </c>
      <c r="B355" t="s">
        <v>813</v>
      </c>
      <c r="C355" t="s">
        <v>3093</v>
      </c>
      <c r="D355" t="s">
        <v>4124</v>
      </c>
      <c r="E355" t="s">
        <v>4125</v>
      </c>
      <c r="F355" t="s">
        <v>4126</v>
      </c>
      <c r="G355" t="str">
        <f t="shared" si="17"/>
        <v>1667146536</v>
      </c>
      <c r="H355" t="str">
        <f t="shared" si="18"/>
        <v>https://stream-mz.planetradio.co.uk/magicsoul.aac?</v>
      </c>
      <c r="I355" t="str">
        <f t="shared" si="19"/>
        <v>https://stream-mz.planetradio.co.uk/magicsoul.aac?aw_0_1st.skey=1667146536&amp;aw_0_1st.playerid=BMUK_ukrp</v>
      </c>
    </row>
    <row r="356" spans="1:9" hidden="1" x14ac:dyDescent="0.55000000000000004">
      <c r="A356">
        <v>1002</v>
      </c>
      <c r="B356" t="s">
        <v>817</v>
      </c>
      <c r="C356" t="s">
        <v>3093</v>
      </c>
      <c r="D356" t="s">
        <v>4127</v>
      </c>
      <c r="E356" t="s">
        <v>4128</v>
      </c>
      <c r="F356" t="s">
        <v>4129</v>
      </c>
      <c r="G356" t="e">
        <f t="shared" si="17"/>
        <v>#VALUE!</v>
      </c>
      <c r="H356" t="str">
        <f t="shared" si="18"/>
        <v>https://listen-manxradio.sharp-stream.com/manxradioam.aac?</v>
      </c>
      <c r="I356" t="e">
        <f t="shared" si="19"/>
        <v>#VALUE!</v>
      </c>
    </row>
    <row r="357" spans="1:9" hidden="1" x14ac:dyDescent="0.55000000000000004">
      <c r="A357">
        <v>1003</v>
      </c>
      <c r="B357" t="s">
        <v>1617</v>
      </c>
      <c r="C357" t="s">
        <v>3093</v>
      </c>
      <c r="D357" t="s">
        <v>4130</v>
      </c>
      <c r="E357" t="s">
        <v>4131</v>
      </c>
      <c r="F357" t="s">
        <v>4132</v>
      </c>
      <c r="G357" t="e">
        <f t="shared" si="17"/>
        <v>#VALUE!</v>
      </c>
      <c r="H357" t="str">
        <f t="shared" si="18"/>
        <v>https://listen-manxradio.sharp-stream.com/manxradiofm.aac?</v>
      </c>
      <c r="I357" t="e">
        <f t="shared" si="19"/>
        <v>#VALUE!</v>
      </c>
    </row>
    <row r="358" spans="1:9" hidden="1" x14ac:dyDescent="0.55000000000000004">
      <c r="A358">
        <v>1207</v>
      </c>
      <c r="B358" t="s">
        <v>4133</v>
      </c>
      <c r="C358" t="s">
        <v>3093</v>
      </c>
      <c r="D358" t="s">
        <v>4134</v>
      </c>
      <c r="E358" t="s">
        <v>4135</v>
      </c>
      <c r="F358" t="s">
        <v>4136</v>
      </c>
      <c r="G358" t="e">
        <f t="shared" si="17"/>
        <v>#VALUE!</v>
      </c>
      <c r="H358" t="str">
        <f t="shared" si="18"/>
        <v>http://audio.marlowfm.co.uk:8019/;stream.mp3?</v>
      </c>
      <c r="I358" t="e">
        <f t="shared" si="19"/>
        <v>#VALUE!</v>
      </c>
    </row>
    <row r="359" spans="1:9" hidden="1" x14ac:dyDescent="0.55000000000000004">
      <c r="A359">
        <v>1207</v>
      </c>
      <c r="B359" t="s">
        <v>4133</v>
      </c>
      <c r="C359" t="s">
        <v>3093</v>
      </c>
      <c r="D359" t="s">
        <v>4137</v>
      </c>
      <c r="E359" t="s">
        <v>4135</v>
      </c>
      <c r="F359" t="s">
        <v>4136</v>
      </c>
      <c r="G359" t="e">
        <f t="shared" si="17"/>
        <v>#VALUE!</v>
      </c>
      <c r="H359" t="str">
        <f t="shared" si="18"/>
        <v>http://audio.marlowfm.co.uk:8019/;stream.mp3?</v>
      </c>
      <c r="I359" t="e">
        <f t="shared" si="19"/>
        <v>#VALUE!</v>
      </c>
    </row>
    <row r="360" spans="1:9" hidden="1" x14ac:dyDescent="0.55000000000000004">
      <c r="A360">
        <v>1472</v>
      </c>
      <c r="B360" t="s">
        <v>4138</v>
      </c>
      <c r="C360" t="s">
        <v>3093</v>
      </c>
      <c r="D360" t="s">
        <v>4139</v>
      </c>
      <c r="E360" t="s">
        <v>4140</v>
      </c>
      <c r="F360" t="s">
        <v>4141</v>
      </c>
      <c r="G360" t="e">
        <f t="shared" si="17"/>
        <v>#VALUE!</v>
      </c>
      <c r="H360" t="str">
        <f t="shared" si="18"/>
        <v>http://213.159.214.57:8000/matr128?</v>
      </c>
      <c r="I360" t="e">
        <f t="shared" si="19"/>
        <v>#VALUE!</v>
      </c>
    </row>
    <row r="361" spans="1:9" hidden="1" x14ac:dyDescent="0.55000000000000004">
      <c r="A361">
        <v>547</v>
      </c>
      <c r="B361" t="s">
        <v>821</v>
      </c>
      <c r="C361" t="s">
        <v>3093</v>
      </c>
      <c r="D361" t="s">
        <v>4142</v>
      </c>
      <c r="E361" t="s">
        <v>4143</v>
      </c>
      <c r="F361" t="s">
        <v>4144</v>
      </c>
      <c r="G361" t="str">
        <f t="shared" si="17"/>
        <v>1667146544</v>
      </c>
      <c r="H361" t="str">
        <f t="shared" si="18"/>
        <v>https://stream-mz.planetradio.co.uk/magicmellow.aac?</v>
      </c>
      <c r="I361" t="str">
        <f t="shared" si="19"/>
        <v>https://stream-mz.planetradio.co.uk/magicmellow.aac?aw_0_1st.skey=1667146544&amp;aw_0_1st.playerid=BMUK_ukrp</v>
      </c>
    </row>
    <row r="362" spans="1:9" hidden="1" x14ac:dyDescent="0.55000000000000004">
      <c r="A362">
        <v>579</v>
      </c>
      <c r="B362" t="s">
        <v>825</v>
      </c>
      <c r="C362" t="s">
        <v>3093</v>
      </c>
      <c r="D362" t="s">
        <v>4145</v>
      </c>
      <c r="E362" t="s">
        <v>4146</v>
      </c>
      <c r="F362" t="s">
        <v>4147</v>
      </c>
      <c r="G362" t="str">
        <f t="shared" si="17"/>
        <v>1667146546</v>
      </c>
      <c r="H362" t="str">
        <f t="shared" si="18"/>
        <v>https://stream-mz.planetradio.co.uk/metro.aac?</v>
      </c>
      <c r="I362" t="str">
        <f t="shared" si="19"/>
        <v>https://stream-mz.planetradio.co.uk/metro.aac?aw_0_1st.skey=1667146546&amp;aw_0_1st.playerid=BMUK_ukrp</v>
      </c>
    </row>
    <row r="363" spans="1:9" hidden="1" x14ac:dyDescent="0.55000000000000004">
      <c r="A363">
        <v>580</v>
      </c>
      <c r="B363" t="s">
        <v>827</v>
      </c>
      <c r="C363" t="s">
        <v>3093</v>
      </c>
      <c r="D363" t="s">
        <v>4148</v>
      </c>
      <c r="E363" t="s">
        <v>4149</v>
      </c>
      <c r="F363" t="s">
        <v>4150</v>
      </c>
      <c r="G363" t="str">
        <f t="shared" si="17"/>
        <v>1667146548</v>
      </c>
      <c r="H363" t="str">
        <f t="shared" si="18"/>
        <v>https://stream-mz.planetradio.co.uk/mfrfm.aac?</v>
      </c>
      <c r="I363" t="str">
        <f t="shared" si="19"/>
        <v>https://stream-mz.planetradio.co.uk/mfrfm.aac?aw_0_1st.skey=1667146548&amp;aw_0_1st.playerid=BMUK_ukrp</v>
      </c>
    </row>
    <row r="364" spans="1:9" hidden="1" x14ac:dyDescent="0.55000000000000004">
      <c r="A364">
        <v>537</v>
      </c>
      <c r="B364" t="s">
        <v>829</v>
      </c>
      <c r="C364" t="s">
        <v>3093</v>
      </c>
      <c r="D364" t="s">
        <v>4151</v>
      </c>
      <c r="E364" t="s">
        <v>4152</v>
      </c>
      <c r="F364" t="s">
        <v>4153</v>
      </c>
      <c r="G364" t="str">
        <f t="shared" si="17"/>
        <v>1667146550</v>
      </c>
      <c r="H364" t="str">
        <f t="shared" si="18"/>
        <v>https://stream-mz.planetradio.co.uk/mfram.aac?</v>
      </c>
      <c r="I364" t="str">
        <f t="shared" si="19"/>
        <v>https://stream-mz.planetradio.co.uk/mfram.aac?aw_0_1st.skey=1667146550&amp;aw_0_1st.playerid=BMUK_ukrp</v>
      </c>
    </row>
    <row r="365" spans="1:9" hidden="1" x14ac:dyDescent="0.55000000000000004">
      <c r="A365">
        <v>1314</v>
      </c>
      <c r="B365" t="s">
        <v>834</v>
      </c>
      <c r="C365" t="s">
        <v>3093</v>
      </c>
      <c r="D365" t="s">
        <v>4154</v>
      </c>
      <c r="E365" t="s">
        <v>4155</v>
      </c>
      <c r="F365" t="s">
        <v>4156</v>
      </c>
      <c r="G365" t="e">
        <f t="shared" si="17"/>
        <v>#VALUE!</v>
      </c>
      <c r="H365" t="str">
        <f t="shared" si="18"/>
        <v>https://listen-misoul.sharp-stream.com/462_mi_soul_128_mp3?</v>
      </c>
      <c r="I365" t="e">
        <f t="shared" si="19"/>
        <v>#VALUE!</v>
      </c>
    </row>
    <row r="366" spans="1:9" hidden="1" x14ac:dyDescent="0.55000000000000004">
      <c r="A366">
        <v>1094</v>
      </c>
      <c r="B366" t="s">
        <v>4157</v>
      </c>
      <c r="C366" t="s">
        <v>3093</v>
      </c>
      <c r="D366" t="s">
        <v>4158</v>
      </c>
      <c r="E366" t="s">
        <v>4159</v>
      </c>
      <c r="F366" t="s">
        <v>4160</v>
      </c>
      <c r="G366" t="e">
        <f t="shared" si="17"/>
        <v>#VALUE!</v>
      </c>
      <c r="H366" t="str">
        <f t="shared" si="18"/>
        <v>https://stream4.hippynet.co.uk:8012/stream?</v>
      </c>
      <c r="I366" t="e">
        <f t="shared" si="19"/>
        <v>#VALUE!</v>
      </c>
    </row>
    <row r="367" spans="1:9" hidden="1" x14ac:dyDescent="0.55000000000000004">
      <c r="A367">
        <v>1252</v>
      </c>
      <c r="B367" t="s">
        <v>837</v>
      </c>
      <c r="C367" t="s">
        <v>3093</v>
      </c>
      <c r="D367" t="s">
        <v>4161</v>
      </c>
      <c r="E367" t="s">
        <v>4162</v>
      </c>
      <c r="F367" t="s">
        <v>4163</v>
      </c>
      <c r="G367" t="e">
        <f t="shared" si="17"/>
        <v>#VALUE!</v>
      </c>
      <c r="H367" t="str">
        <f t="shared" si="18"/>
        <v>https://mkfmradioplayer2.radioca.st/;stream.nsv?</v>
      </c>
      <c r="I367" t="e">
        <f t="shared" si="19"/>
        <v>#VALUE!</v>
      </c>
    </row>
    <row r="368" spans="1:9" hidden="1" x14ac:dyDescent="0.55000000000000004">
      <c r="A368">
        <v>1467</v>
      </c>
      <c r="B368" t="s">
        <v>4164</v>
      </c>
      <c r="C368" t="s">
        <v>3093</v>
      </c>
      <c r="D368" t="s">
        <v>4165</v>
      </c>
      <c r="E368" t="s">
        <v>4166</v>
      </c>
      <c r="F368" t="s">
        <v>4167</v>
      </c>
      <c r="G368" t="e">
        <f t="shared" si="17"/>
        <v>#VALUE!</v>
      </c>
      <c r="H368" t="str">
        <f t="shared" si="18"/>
        <v>https://stream.galaxywebsolutions.com/proxy/moorland?</v>
      </c>
      <c r="I368" t="e">
        <f t="shared" si="19"/>
        <v>#VALUE!</v>
      </c>
    </row>
    <row r="369" spans="1:9" hidden="1" x14ac:dyDescent="0.55000000000000004">
      <c r="A369">
        <v>1467</v>
      </c>
      <c r="B369" t="s">
        <v>4164</v>
      </c>
      <c r="C369" t="s">
        <v>3093</v>
      </c>
      <c r="D369" t="s">
        <v>4168</v>
      </c>
      <c r="E369" t="s">
        <v>4166</v>
      </c>
      <c r="F369" t="s">
        <v>4167</v>
      </c>
      <c r="G369" t="e">
        <f t="shared" si="17"/>
        <v>#VALUE!</v>
      </c>
      <c r="H369" t="str">
        <f t="shared" si="18"/>
        <v>http://46.28.49.164:7722/stream?</v>
      </c>
      <c r="I369" t="e">
        <f t="shared" si="19"/>
        <v>#VALUE!</v>
      </c>
    </row>
    <row r="370" spans="1:9" hidden="1" x14ac:dyDescent="0.55000000000000004">
      <c r="A370">
        <v>1086</v>
      </c>
      <c r="B370" t="s">
        <v>849</v>
      </c>
      <c r="C370" t="s">
        <v>3093</v>
      </c>
      <c r="D370" t="s">
        <v>4169</v>
      </c>
      <c r="E370" t="s">
        <v>4170</v>
      </c>
      <c r="F370" t="s">
        <v>4171</v>
      </c>
      <c r="G370" t="e">
        <f t="shared" si="17"/>
        <v>#VALUE!</v>
      </c>
      <c r="H370" t="str">
        <f t="shared" si="18"/>
        <v>https://s2.xrad.io:9596/listen.mp3?</v>
      </c>
      <c r="I370" t="e">
        <f t="shared" si="19"/>
        <v>#VALUE!</v>
      </c>
    </row>
    <row r="371" spans="1:9" hidden="1" x14ac:dyDescent="0.55000000000000004">
      <c r="A371">
        <v>1086</v>
      </c>
      <c r="B371" t="s">
        <v>849</v>
      </c>
      <c r="C371" t="s">
        <v>3093</v>
      </c>
      <c r="D371" t="s">
        <v>4172</v>
      </c>
      <c r="E371" t="s">
        <v>4170</v>
      </c>
      <c r="F371" t="s">
        <v>4171</v>
      </c>
      <c r="G371" t="e">
        <f t="shared" si="17"/>
        <v>#VALUE!</v>
      </c>
      <c r="H371" t="str">
        <f t="shared" si="18"/>
        <v>https://s2.xrad.io:9596/listen.mp3?</v>
      </c>
      <c r="I371" t="e">
        <f t="shared" si="19"/>
        <v>#VALUE!</v>
      </c>
    </row>
    <row r="372" spans="1:9" hidden="1" x14ac:dyDescent="0.55000000000000004">
      <c r="A372">
        <v>1087</v>
      </c>
      <c r="B372" t="s">
        <v>4173</v>
      </c>
      <c r="C372" t="s">
        <v>3093</v>
      </c>
      <c r="D372" t="s">
        <v>4174</v>
      </c>
      <c r="E372" t="s">
        <v>4175</v>
      </c>
      <c r="F372" t="s">
        <v>4176</v>
      </c>
      <c r="G372" t="e">
        <f t="shared" si="17"/>
        <v>#VALUE!</v>
      </c>
      <c r="H372" t="str">
        <f t="shared" si="18"/>
        <v>https://s2.xrad.io:9594/listen.mp3?</v>
      </c>
      <c r="I372" t="e">
        <f t="shared" si="19"/>
        <v>#VALUE!</v>
      </c>
    </row>
    <row r="373" spans="1:9" hidden="1" x14ac:dyDescent="0.55000000000000004">
      <c r="A373">
        <v>1087</v>
      </c>
      <c r="B373" t="s">
        <v>4173</v>
      </c>
      <c r="C373" t="s">
        <v>3093</v>
      </c>
      <c r="D373" t="s">
        <v>4177</v>
      </c>
      <c r="E373" t="s">
        <v>4175</v>
      </c>
      <c r="F373" t="s">
        <v>4176</v>
      </c>
      <c r="G373" t="e">
        <f t="shared" si="17"/>
        <v>#VALUE!</v>
      </c>
      <c r="H373" t="str">
        <f t="shared" si="18"/>
        <v>https://s2.xrad.io:9594/listen.mp3?</v>
      </c>
      <c r="I373" t="e">
        <f t="shared" si="19"/>
        <v>#VALUE!</v>
      </c>
    </row>
    <row r="374" spans="1:9" hidden="1" x14ac:dyDescent="0.55000000000000004">
      <c r="A374">
        <v>1089</v>
      </c>
      <c r="B374" t="s">
        <v>843</v>
      </c>
      <c r="C374" t="s">
        <v>3093</v>
      </c>
      <c r="D374" t="s">
        <v>4178</v>
      </c>
      <c r="E374" t="s">
        <v>4179</v>
      </c>
      <c r="F374" t="s">
        <v>4180</v>
      </c>
      <c r="G374" t="e">
        <f t="shared" si="17"/>
        <v>#VALUE!</v>
      </c>
      <c r="H374" t="str">
        <f t="shared" si="18"/>
        <v>https://s2.xrad.io:9592/listen.mp3?</v>
      </c>
      <c r="I374" t="e">
        <f t="shared" si="19"/>
        <v>#VALUE!</v>
      </c>
    </row>
    <row r="375" spans="1:9" hidden="1" x14ac:dyDescent="0.55000000000000004">
      <c r="A375">
        <v>1089</v>
      </c>
      <c r="B375" t="s">
        <v>843</v>
      </c>
      <c r="C375" t="s">
        <v>3093</v>
      </c>
      <c r="D375" t="s">
        <v>4181</v>
      </c>
      <c r="E375" t="s">
        <v>4179</v>
      </c>
      <c r="F375" t="s">
        <v>4180</v>
      </c>
      <c r="G375" t="e">
        <f t="shared" si="17"/>
        <v>#VALUE!</v>
      </c>
      <c r="H375" t="str">
        <f t="shared" si="18"/>
        <v>https://s2.xrad.io:9592/listen.mp3?</v>
      </c>
      <c r="I375" t="e">
        <f t="shared" si="19"/>
        <v>#VALUE!</v>
      </c>
    </row>
    <row r="376" spans="1:9" hidden="1" x14ac:dyDescent="0.55000000000000004">
      <c r="A376">
        <v>1088</v>
      </c>
      <c r="B376" t="s">
        <v>841</v>
      </c>
      <c r="C376" t="s">
        <v>3093</v>
      </c>
      <c r="D376" t="s">
        <v>4182</v>
      </c>
      <c r="E376" t="s">
        <v>4183</v>
      </c>
      <c r="F376" t="s">
        <v>4184</v>
      </c>
      <c r="G376" t="e">
        <f t="shared" si="17"/>
        <v>#VALUE!</v>
      </c>
      <c r="H376" t="str">
        <f t="shared" si="18"/>
        <v>https://s2.xrad.io:9590/listen.mp3?</v>
      </c>
      <c r="I376" t="e">
        <f t="shared" si="19"/>
        <v>#VALUE!</v>
      </c>
    </row>
    <row r="377" spans="1:9" hidden="1" x14ac:dyDescent="0.55000000000000004">
      <c r="A377">
        <v>1088</v>
      </c>
      <c r="B377" t="s">
        <v>841</v>
      </c>
      <c r="C377" t="s">
        <v>3093</v>
      </c>
      <c r="D377" t="s">
        <v>4185</v>
      </c>
      <c r="E377" t="s">
        <v>4183</v>
      </c>
      <c r="F377" t="s">
        <v>4184</v>
      </c>
      <c r="G377" t="e">
        <f t="shared" si="17"/>
        <v>#VALUE!</v>
      </c>
      <c r="H377" t="str">
        <f t="shared" si="18"/>
        <v>https://s2.xrad.io:9590/listen.mp3?</v>
      </c>
      <c r="I377" t="e">
        <f t="shared" si="19"/>
        <v>#VALUE!</v>
      </c>
    </row>
    <row r="378" spans="1:9" hidden="1" x14ac:dyDescent="0.55000000000000004">
      <c r="A378">
        <v>1519</v>
      </c>
      <c r="B378" t="s">
        <v>851</v>
      </c>
      <c r="C378" t="s">
        <v>3093</v>
      </c>
      <c r="D378" t="s">
        <v>4186</v>
      </c>
      <c r="E378" t="s">
        <v>4187</v>
      </c>
      <c r="F378" t="s">
        <v>4188</v>
      </c>
      <c r="G378" t="e">
        <f t="shared" si="17"/>
        <v>#VALUE!</v>
      </c>
      <c r="H378" t="str">
        <f t="shared" si="18"/>
        <v>https://s2.xrad.io:9730/listen.mp3?</v>
      </c>
      <c r="I378" t="e">
        <f t="shared" si="19"/>
        <v>#VALUE!</v>
      </c>
    </row>
    <row r="379" spans="1:9" hidden="1" x14ac:dyDescent="0.55000000000000004">
      <c r="A379">
        <v>1519</v>
      </c>
      <c r="B379" t="s">
        <v>851</v>
      </c>
      <c r="C379" t="s">
        <v>3093</v>
      </c>
      <c r="D379" t="s">
        <v>4189</v>
      </c>
      <c r="E379" t="s">
        <v>4187</v>
      </c>
      <c r="F379" t="s">
        <v>4188</v>
      </c>
      <c r="G379" t="e">
        <f t="shared" si="17"/>
        <v>#VALUE!</v>
      </c>
      <c r="H379" t="str">
        <f t="shared" si="18"/>
        <v>https://s2.xrad.io:9730/listen.mp3?</v>
      </c>
      <c r="I379" t="e">
        <f t="shared" si="19"/>
        <v>#VALUE!</v>
      </c>
    </row>
    <row r="380" spans="1:9" hidden="1" x14ac:dyDescent="0.55000000000000004">
      <c r="A380">
        <v>1556</v>
      </c>
      <c r="B380" t="s">
        <v>865</v>
      </c>
      <c r="C380" t="s">
        <v>3093</v>
      </c>
      <c r="D380" t="s">
        <v>4190</v>
      </c>
      <c r="E380" t="s">
        <v>4191</v>
      </c>
      <c r="F380" t="s">
        <v>4192</v>
      </c>
      <c r="G380" t="str">
        <f t="shared" si="17"/>
        <v>1667146566</v>
      </c>
      <c r="H380" t="str">
        <f t="shared" si="18"/>
        <v>https://listen-nation.sharp-stream.com/nationradio00s.mp3?</v>
      </c>
      <c r="I380" t="str">
        <f t="shared" si="19"/>
        <v>https://listen-nation.sharp-stream.com/nationradio00s.mp3?aw_0_1st.skey=1667146566&amp;aw_0_1st.playerid=BMUK_ukrp</v>
      </c>
    </row>
    <row r="381" spans="1:9" hidden="1" x14ac:dyDescent="0.55000000000000004">
      <c r="A381">
        <v>1556</v>
      </c>
      <c r="B381" t="s">
        <v>865</v>
      </c>
      <c r="C381" t="s">
        <v>3093</v>
      </c>
      <c r="D381" t="s">
        <v>4193</v>
      </c>
      <c r="E381" t="s">
        <v>4191</v>
      </c>
      <c r="F381" t="s">
        <v>4192</v>
      </c>
      <c r="G381" t="str">
        <f t="shared" si="17"/>
        <v>1667146566</v>
      </c>
      <c r="H381" t="str">
        <f t="shared" si="18"/>
        <v>https://listen-nation.sharp-stream.com/nationradio00s.aac?</v>
      </c>
      <c r="I381" t="str">
        <f t="shared" si="19"/>
        <v>https://listen-nation.sharp-stream.com/nationradio00s.aac?aw_0_1st.skey=1667146566&amp;aw_0_1st.playerid=BMUK_ukrp</v>
      </c>
    </row>
    <row r="382" spans="1:9" hidden="1" x14ac:dyDescent="0.55000000000000004">
      <c r="A382">
        <v>1556</v>
      </c>
      <c r="B382" t="s">
        <v>865</v>
      </c>
      <c r="C382" t="s">
        <v>3093</v>
      </c>
      <c r="D382" t="s">
        <v>4194</v>
      </c>
      <c r="E382" t="s">
        <v>4191</v>
      </c>
      <c r="F382" t="s">
        <v>4192</v>
      </c>
      <c r="G382" t="str">
        <f t="shared" si="17"/>
        <v>1667146566</v>
      </c>
      <c r="H382" t="str">
        <f t="shared" si="18"/>
        <v>https://listen-nation.sharp-stream.com/nationradio00s.mp3?</v>
      </c>
      <c r="I382" t="str">
        <f t="shared" si="19"/>
        <v>https://listen-nation.sharp-stream.com/nationradio00s.mp3?aw_0_1st.skey=1667146566&amp;aw_0_1st.playerid=BMUK_ukrp</v>
      </c>
    </row>
    <row r="383" spans="1:9" hidden="1" x14ac:dyDescent="0.55000000000000004">
      <c r="A383">
        <v>1540</v>
      </c>
      <c r="B383" t="s">
        <v>4195</v>
      </c>
      <c r="C383" t="s">
        <v>3093</v>
      </c>
      <c r="D383" t="s">
        <v>4196</v>
      </c>
      <c r="E383" t="s">
        <v>4197</v>
      </c>
      <c r="F383" t="s">
        <v>4198</v>
      </c>
      <c r="G383" t="str">
        <f t="shared" si="17"/>
        <v>1667146568</v>
      </c>
      <c r="H383" t="str">
        <f t="shared" si="18"/>
        <v>https://listen-nation.sharp-stream.com/nation60s.mp3?</v>
      </c>
      <c r="I383" t="str">
        <f t="shared" si="19"/>
        <v>https://listen-nation.sharp-stream.com/nation60s.mp3?aw_0_1st.skey=1667146568&amp;aw_0_1st.playerid=BMUK_ukrp</v>
      </c>
    </row>
    <row r="384" spans="1:9" hidden="1" x14ac:dyDescent="0.55000000000000004">
      <c r="A384">
        <v>1540</v>
      </c>
      <c r="B384" t="s">
        <v>4195</v>
      </c>
      <c r="C384" t="s">
        <v>3093</v>
      </c>
      <c r="D384" t="s">
        <v>4199</v>
      </c>
      <c r="E384" t="s">
        <v>4197</v>
      </c>
      <c r="F384" t="s">
        <v>4198</v>
      </c>
      <c r="G384" t="str">
        <f t="shared" si="17"/>
        <v>1667146568</v>
      </c>
      <c r="H384" t="str">
        <f t="shared" si="18"/>
        <v>https://listen-nation.sharp-stream.com/nation60s.aac?</v>
      </c>
      <c r="I384" t="str">
        <f t="shared" si="19"/>
        <v>https://listen-nation.sharp-stream.com/nation60s.aac?aw_0_1st.skey=1667146568&amp;aw_0_1st.playerid=BMUK_ukrp</v>
      </c>
    </row>
    <row r="385" spans="1:9" hidden="1" x14ac:dyDescent="0.55000000000000004">
      <c r="A385">
        <v>1540</v>
      </c>
      <c r="B385" t="s">
        <v>4195</v>
      </c>
      <c r="C385" t="s">
        <v>3093</v>
      </c>
      <c r="D385" t="s">
        <v>4200</v>
      </c>
      <c r="E385" t="s">
        <v>4197</v>
      </c>
      <c r="F385" t="s">
        <v>4198</v>
      </c>
      <c r="G385" t="str">
        <f t="shared" si="17"/>
        <v>1667146568</v>
      </c>
      <c r="H385" t="str">
        <f t="shared" si="18"/>
        <v>https://listen-nation.sharp-stream.com/nation60s.mp3?</v>
      </c>
      <c r="I385" t="str">
        <f t="shared" si="19"/>
        <v>https://listen-nation.sharp-stream.com/nation60s.mp3?aw_0_1st.skey=1667146568&amp;aw_0_1st.playerid=BMUK_ukrp</v>
      </c>
    </row>
    <row r="386" spans="1:9" hidden="1" x14ac:dyDescent="0.55000000000000004">
      <c r="A386">
        <v>1523</v>
      </c>
      <c r="B386" t="s">
        <v>868</v>
      </c>
      <c r="C386" t="s">
        <v>3093</v>
      </c>
      <c r="D386" t="s">
        <v>4201</v>
      </c>
      <c r="E386" t="s">
        <v>4202</v>
      </c>
      <c r="F386" t="s">
        <v>4203</v>
      </c>
      <c r="G386" t="str">
        <f t="shared" si="17"/>
        <v>1667146570</v>
      </c>
      <c r="H386" t="str">
        <f t="shared" si="18"/>
        <v>https://listen-nation.sharp-stream.com/clubnation.mp3?</v>
      </c>
      <c r="I386" t="str">
        <f t="shared" si="19"/>
        <v>https://listen-nation.sharp-stream.com/clubnation.mp3?aw_0_1st.skey=1667146570&amp;aw_0_1st.playerid=BMUK_ukrp</v>
      </c>
    </row>
    <row r="387" spans="1:9" hidden="1" x14ac:dyDescent="0.55000000000000004">
      <c r="A387">
        <v>1523</v>
      </c>
      <c r="B387" t="s">
        <v>868</v>
      </c>
      <c r="C387" t="s">
        <v>3093</v>
      </c>
      <c r="D387" t="s">
        <v>4204</v>
      </c>
      <c r="E387" t="s">
        <v>4202</v>
      </c>
      <c r="F387" t="s">
        <v>4203</v>
      </c>
      <c r="G387" t="str">
        <f t="shared" ref="G387:G450" si="20">MID(D387,
FIND("1st.skey=",D387,1)+9,10)</f>
        <v>1667146570</v>
      </c>
      <c r="H387" t="str">
        <f t="shared" ref="H387:H450" si="21">LEFT(D387,
FIND("?",D387,1))</f>
        <v>https://listen-nation.sharp-stream.com/clubnation.aac?</v>
      </c>
      <c r="I387" t="str">
        <f t="shared" ref="I387:I450" si="22">H387&amp;"aw_0_1st.skey="&amp;G387&amp;"&amp;aw_0_1st.playerid=BMUK_ukrp"</f>
        <v>https://listen-nation.sharp-stream.com/clubnation.aac?aw_0_1st.skey=1667146570&amp;aw_0_1st.playerid=BMUK_ukrp</v>
      </c>
    </row>
    <row r="388" spans="1:9" hidden="1" x14ac:dyDescent="0.55000000000000004">
      <c r="A388">
        <v>1523</v>
      </c>
      <c r="B388" t="s">
        <v>868</v>
      </c>
      <c r="C388" t="s">
        <v>3093</v>
      </c>
      <c r="D388" t="s">
        <v>4205</v>
      </c>
      <c r="E388" t="s">
        <v>4202</v>
      </c>
      <c r="F388" t="s">
        <v>4203</v>
      </c>
      <c r="G388" t="str">
        <f t="shared" si="20"/>
        <v>1667146570</v>
      </c>
      <c r="H388" t="str">
        <f t="shared" si="21"/>
        <v>https://listen-nation.sharp-stream.com/clubnation.mp3?</v>
      </c>
      <c r="I388" t="str">
        <f t="shared" si="22"/>
        <v>https://listen-nation.sharp-stream.com/clubnation.mp3?aw_0_1st.skey=1667146570&amp;aw_0_1st.playerid=BMUK_ukrp</v>
      </c>
    </row>
    <row r="389" spans="1:9" hidden="1" x14ac:dyDescent="0.55000000000000004">
      <c r="A389">
        <v>1539</v>
      </c>
      <c r="B389" t="s">
        <v>871</v>
      </c>
      <c r="C389" t="s">
        <v>3093</v>
      </c>
      <c r="D389" t="s">
        <v>4206</v>
      </c>
      <c r="E389" t="s">
        <v>4207</v>
      </c>
      <c r="F389" t="s">
        <v>4208</v>
      </c>
      <c r="G389" t="str">
        <f t="shared" si="20"/>
        <v>1667146571</v>
      </c>
      <c r="H389" t="str">
        <f t="shared" si="21"/>
        <v>https://listen-nation.sharp-stream.com/nationhits.aac?</v>
      </c>
      <c r="I389" t="str">
        <f t="shared" si="22"/>
        <v>https://listen-nation.sharp-stream.com/nationhits.aac?aw_0_1st.skey=1667146571&amp;aw_0_1st.playerid=BMUK_ukrp</v>
      </c>
    </row>
    <row r="390" spans="1:9" hidden="1" x14ac:dyDescent="0.55000000000000004">
      <c r="A390">
        <v>1539</v>
      </c>
      <c r="B390" t="s">
        <v>871</v>
      </c>
      <c r="C390" t="s">
        <v>3093</v>
      </c>
      <c r="D390" t="s">
        <v>4209</v>
      </c>
      <c r="E390" t="s">
        <v>4207</v>
      </c>
      <c r="F390" t="s">
        <v>4208</v>
      </c>
      <c r="G390" t="str">
        <f t="shared" si="20"/>
        <v>1667146571</v>
      </c>
      <c r="H390" t="str">
        <f t="shared" si="21"/>
        <v>https://listen-nation.sharp-stream.com/nationhits.mp3?</v>
      </c>
      <c r="I390" t="str">
        <f t="shared" si="22"/>
        <v>https://listen-nation.sharp-stream.com/nationhits.mp3?aw_0_1st.skey=1667146571&amp;aw_0_1st.playerid=BMUK_ukrp</v>
      </c>
    </row>
    <row r="391" spans="1:9" hidden="1" x14ac:dyDescent="0.55000000000000004">
      <c r="A391">
        <v>1539</v>
      </c>
      <c r="B391" t="s">
        <v>871</v>
      </c>
      <c r="C391" t="s">
        <v>3093</v>
      </c>
      <c r="D391" t="s">
        <v>4210</v>
      </c>
      <c r="E391" t="s">
        <v>4207</v>
      </c>
      <c r="F391" t="s">
        <v>4208</v>
      </c>
      <c r="G391" t="str">
        <f t="shared" si="20"/>
        <v>1667146571</v>
      </c>
      <c r="H391" t="str">
        <f t="shared" si="21"/>
        <v>https://listen-nation.sharp-stream.com/nationhits.mp3?</v>
      </c>
      <c r="I391" t="str">
        <f t="shared" si="22"/>
        <v>https://listen-nation.sharp-stream.com/nationhits.mp3?aw_0_1st.skey=1667146571&amp;aw_0_1st.playerid=BMUK_ukrp</v>
      </c>
    </row>
    <row r="392" spans="1:9" hidden="1" x14ac:dyDescent="0.55000000000000004">
      <c r="A392">
        <v>1363</v>
      </c>
      <c r="B392" t="s">
        <v>898</v>
      </c>
      <c r="C392" t="s">
        <v>3093</v>
      </c>
      <c r="D392" t="s">
        <v>4211</v>
      </c>
      <c r="E392" t="s">
        <v>4212</v>
      </c>
      <c r="F392" t="s">
        <v>4213</v>
      </c>
      <c r="G392" t="str">
        <f t="shared" si="20"/>
        <v>1667146573</v>
      </c>
      <c r="H392" t="str">
        <f t="shared" si="21"/>
        <v>https://listen-nation.sharp-stream.com/thamesradio.aac?</v>
      </c>
      <c r="I392" t="str">
        <f t="shared" si="22"/>
        <v>https://listen-nation.sharp-stream.com/thamesradio.aac?aw_0_1st.skey=1667146573&amp;aw_0_1st.playerid=BMUK_ukrp</v>
      </c>
    </row>
    <row r="393" spans="1:9" hidden="1" x14ac:dyDescent="0.55000000000000004">
      <c r="A393">
        <v>1363</v>
      </c>
      <c r="B393" t="s">
        <v>898</v>
      </c>
      <c r="C393" t="s">
        <v>3093</v>
      </c>
      <c r="D393" t="s">
        <v>4214</v>
      </c>
      <c r="E393" t="s">
        <v>4212</v>
      </c>
      <c r="F393" t="s">
        <v>4213</v>
      </c>
      <c r="G393" t="str">
        <f t="shared" si="20"/>
        <v>1667146573</v>
      </c>
      <c r="H393" t="str">
        <f t="shared" si="21"/>
        <v>https://listen-nation.sharp-stream.com/thamesradio.mp3?</v>
      </c>
      <c r="I393" t="str">
        <f t="shared" si="22"/>
        <v>https://listen-nation.sharp-stream.com/thamesradio.mp3?aw_0_1st.skey=1667146573&amp;aw_0_1st.playerid=BMUK_ukrp</v>
      </c>
    </row>
    <row r="394" spans="1:9" hidden="1" x14ac:dyDescent="0.55000000000000004">
      <c r="A394">
        <v>1363</v>
      </c>
      <c r="B394" t="s">
        <v>898</v>
      </c>
      <c r="C394" t="s">
        <v>3093</v>
      </c>
      <c r="D394" t="s">
        <v>4215</v>
      </c>
      <c r="E394" t="s">
        <v>4212</v>
      </c>
      <c r="F394" t="s">
        <v>4213</v>
      </c>
      <c r="G394" t="str">
        <f t="shared" si="20"/>
        <v>1667146573</v>
      </c>
      <c r="H394" t="str">
        <f t="shared" si="21"/>
        <v>https://listen-nation.sharp-stream.com/thamesradio.mp3?</v>
      </c>
      <c r="I394" t="str">
        <f t="shared" si="22"/>
        <v>https://listen-nation.sharp-stream.com/thamesradio.mp3?aw_0_1st.skey=1667146573&amp;aw_0_1st.playerid=BMUK_ukrp</v>
      </c>
    </row>
    <row r="395" spans="1:9" hidden="1" x14ac:dyDescent="0.55000000000000004">
      <c r="A395">
        <v>1522</v>
      </c>
      <c r="B395" t="s">
        <v>874</v>
      </c>
      <c r="C395" t="s">
        <v>3093</v>
      </c>
      <c r="D395" t="s">
        <v>4216</v>
      </c>
      <c r="E395" t="s">
        <v>4217</v>
      </c>
      <c r="F395" t="s">
        <v>4218</v>
      </c>
      <c r="G395" t="str">
        <f t="shared" si="20"/>
        <v>1667146575</v>
      </c>
      <c r="H395" t="str">
        <f t="shared" si="21"/>
        <v>https://listen-nation.sharp-stream.com/lovenation.aac?</v>
      </c>
      <c r="I395" t="str">
        <f t="shared" si="22"/>
        <v>https://listen-nation.sharp-stream.com/lovenation.aac?aw_0_1st.skey=1667146575&amp;aw_0_1st.playerid=BMUK_ukrp</v>
      </c>
    </row>
    <row r="396" spans="1:9" hidden="1" x14ac:dyDescent="0.55000000000000004">
      <c r="A396">
        <v>1522</v>
      </c>
      <c r="B396" t="s">
        <v>874</v>
      </c>
      <c r="C396" t="s">
        <v>3093</v>
      </c>
      <c r="D396" t="s">
        <v>4219</v>
      </c>
      <c r="E396" t="s">
        <v>4217</v>
      </c>
      <c r="F396" t="s">
        <v>4218</v>
      </c>
      <c r="G396" t="str">
        <f t="shared" si="20"/>
        <v>1667146575</v>
      </c>
      <c r="H396" t="str">
        <f t="shared" si="21"/>
        <v>https://listen-nation.sharp-stream.com/lovenation.mp3?</v>
      </c>
      <c r="I396" t="str">
        <f t="shared" si="22"/>
        <v>https://listen-nation.sharp-stream.com/lovenation.mp3?aw_0_1st.skey=1667146575&amp;aw_0_1st.playerid=BMUK_ukrp</v>
      </c>
    </row>
    <row r="397" spans="1:9" hidden="1" x14ac:dyDescent="0.55000000000000004">
      <c r="A397">
        <v>1522</v>
      </c>
      <c r="B397" t="s">
        <v>874</v>
      </c>
      <c r="C397" t="s">
        <v>3093</v>
      </c>
      <c r="D397" t="s">
        <v>4220</v>
      </c>
      <c r="E397" t="s">
        <v>4217</v>
      </c>
      <c r="F397" t="s">
        <v>4218</v>
      </c>
      <c r="G397" t="str">
        <f t="shared" si="20"/>
        <v>1667146575</v>
      </c>
      <c r="H397" t="str">
        <f t="shared" si="21"/>
        <v>https://listen-nation.sharp-stream.com/lovenation.mp3?</v>
      </c>
      <c r="I397" t="str">
        <f t="shared" si="22"/>
        <v>https://listen-nation.sharp-stream.com/lovenation.mp3?aw_0_1st.skey=1667146575&amp;aw_0_1st.playerid=BMUK_ukrp</v>
      </c>
    </row>
    <row r="398" spans="1:9" hidden="1" x14ac:dyDescent="0.55000000000000004">
      <c r="A398">
        <v>1557</v>
      </c>
      <c r="B398" t="s">
        <v>877</v>
      </c>
      <c r="C398" t="s">
        <v>3093</v>
      </c>
      <c r="D398" t="s">
        <v>4221</v>
      </c>
      <c r="E398" t="s">
        <v>4222</v>
      </c>
      <c r="F398" t="s">
        <v>4223</v>
      </c>
      <c r="G398" t="str">
        <f t="shared" si="20"/>
        <v>1667146576</v>
      </c>
      <c r="H398" t="str">
        <f t="shared" si="21"/>
        <v>https://listen-nation.sharp-stream.com/nationparty.aac?</v>
      </c>
      <c r="I398" t="str">
        <f t="shared" si="22"/>
        <v>https://listen-nation.sharp-stream.com/nationparty.aac?aw_0_1st.skey=1667146576&amp;aw_0_1st.playerid=BMUK_ukrp</v>
      </c>
    </row>
    <row r="399" spans="1:9" hidden="1" x14ac:dyDescent="0.55000000000000004">
      <c r="A399">
        <v>1557</v>
      </c>
      <c r="B399" t="s">
        <v>877</v>
      </c>
      <c r="C399" t="s">
        <v>3093</v>
      </c>
      <c r="D399" t="s">
        <v>4224</v>
      </c>
      <c r="E399" t="s">
        <v>4222</v>
      </c>
      <c r="F399" t="s">
        <v>4223</v>
      </c>
      <c r="G399" t="str">
        <f t="shared" si="20"/>
        <v>1667146576</v>
      </c>
      <c r="H399" t="str">
        <f t="shared" si="21"/>
        <v>https://listen-nation.sharp-stream.com/nationparty.mp3?</v>
      </c>
      <c r="I399" t="str">
        <f t="shared" si="22"/>
        <v>https://listen-nation.sharp-stream.com/nationparty.mp3?aw_0_1st.skey=1667146576&amp;aw_0_1st.playerid=BMUK_ukrp</v>
      </c>
    </row>
    <row r="400" spans="1:9" hidden="1" x14ac:dyDescent="0.55000000000000004">
      <c r="A400">
        <v>1557</v>
      </c>
      <c r="B400" t="s">
        <v>877</v>
      </c>
      <c r="C400" t="s">
        <v>3093</v>
      </c>
      <c r="D400" t="s">
        <v>4225</v>
      </c>
      <c r="E400" t="s">
        <v>4222</v>
      </c>
      <c r="F400" t="s">
        <v>4223</v>
      </c>
      <c r="G400" t="str">
        <f t="shared" si="20"/>
        <v>1667146576</v>
      </c>
      <c r="H400" t="str">
        <f t="shared" si="21"/>
        <v>https://listen-nation.sharp-stream.com/nationparty.mp3?</v>
      </c>
      <c r="I400" t="str">
        <f t="shared" si="22"/>
        <v>https://listen-nation.sharp-stream.com/nationparty.mp3?aw_0_1st.skey=1667146576&amp;aw_0_1st.playerid=BMUK_ukrp</v>
      </c>
    </row>
    <row r="401" spans="1:9" hidden="1" x14ac:dyDescent="0.55000000000000004">
      <c r="A401">
        <v>1061</v>
      </c>
      <c r="B401" t="s">
        <v>4226</v>
      </c>
      <c r="C401" t="s">
        <v>3093</v>
      </c>
      <c r="D401" t="s">
        <v>4227</v>
      </c>
      <c r="E401" t="s">
        <v>4228</v>
      </c>
      <c r="F401" t="s">
        <v>4229</v>
      </c>
      <c r="G401" t="str">
        <f t="shared" si="20"/>
        <v>1667146578</v>
      </c>
      <c r="H401" t="str">
        <f t="shared" si="21"/>
        <v>https://listen-nation.sharp-stream.com/tcnation.mp3?</v>
      </c>
      <c r="I401" t="str">
        <f t="shared" si="22"/>
        <v>https://listen-nation.sharp-stream.com/tcnation.mp3?aw_0_1st.skey=1667146578&amp;aw_0_1st.playerid=BMUK_ukrp</v>
      </c>
    </row>
    <row r="402" spans="1:9" hidden="1" x14ac:dyDescent="0.55000000000000004">
      <c r="A402">
        <v>1061</v>
      </c>
      <c r="B402" t="s">
        <v>4226</v>
      </c>
      <c r="C402" t="s">
        <v>3093</v>
      </c>
      <c r="D402" t="s">
        <v>4230</v>
      </c>
      <c r="E402" t="s">
        <v>4228</v>
      </c>
      <c r="F402" t="s">
        <v>4229</v>
      </c>
      <c r="G402" t="str">
        <f t="shared" si="20"/>
        <v>1667146578</v>
      </c>
      <c r="H402" t="str">
        <f t="shared" si="21"/>
        <v>https://listen-nation.sharp-stream.com/tcnation.aac?</v>
      </c>
      <c r="I402" t="str">
        <f t="shared" si="22"/>
        <v>https://listen-nation.sharp-stream.com/tcnation.aac?aw_0_1st.skey=1667146578&amp;aw_0_1st.playerid=BMUK_ukrp</v>
      </c>
    </row>
    <row r="403" spans="1:9" hidden="1" x14ac:dyDescent="0.55000000000000004">
      <c r="A403">
        <v>1061</v>
      </c>
      <c r="B403" t="s">
        <v>4226</v>
      </c>
      <c r="C403" t="s">
        <v>3093</v>
      </c>
      <c r="D403" t="s">
        <v>4231</v>
      </c>
      <c r="E403" t="s">
        <v>4228</v>
      </c>
      <c r="F403" t="s">
        <v>4229</v>
      </c>
      <c r="G403" t="str">
        <f t="shared" si="20"/>
        <v>1667146578</v>
      </c>
      <c r="H403" t="str">
        <f t="shared" si="21"/>
        <v>https://listen-nation.sharp-stream.com/tcnation.mp3?</v>
      </c>
      <c r="I403" t="str">
        <f t="shared" si="22"/>
        <v>https://listen-nation.sharp-stream.com/tcnation.mp3?aw_0_1st.skey=1667146578&amp;aw_0_1st.playerid=BMUK_ukrp</v>
      </c>
    </row>
    <row r="404" spans="1:9" hidden="1" x14ac:dyDescent="0.55000000000000004">
      <c r="A404">
        <v>1514</v>
      </c>
      <c r="B404" t="s">
        <v>4232</v>
      </c>
      <c r="C404" t="s">
        <v>3093</v>
      </c>
      <c r="D404" t="s">
        <v>4233</v>
      </c>
      <c r="E404" t="s">
        <v>4234</v>
      </c>
      <c r="F404" t="s">
        <v>4235</v>
      </c>
      <c r="G404" t="str">
        <f t="shared" si="20"/>
        <v>1667146580</v>
      </c>
      <c r="H404" t="str">
        <f t="shared" si="21"/>
        <v>http://listen-nation.sharp-stream.com/nationradio70s.mp3?</v>
      </c>
      <c r="I404" t="str">
        <f t="shared" si="22"/>
        <v>http://listen-nation.sharp-stream.com/nationradio70s.mp3?aw_0_1st.skey=1667146580&amp;aw_0_1st.playerid=BMUK_ukrp</v>
      </c>
    </row>
    <row r="405" spans="1:9" hidden="1" x14ac:dyDescent="0.55000000000000004">
      <c r="A405">
        <v>1514</v>
      </c>
      <c r="B405" t="s">
        <v>4232</v>
      </c>
      <c r="C405" t="s">
        <v>3093</v>
      </c>
      <c r="D405" t="s">
        <v>4236</v>
      </c>
      <c r="E405" t="s">
        <v>4234</v>
      </c>
      <c r="F405" t="s">
        <v>4235</v>
      </c>
      <c r="G405" t="str">
        <f t="shared" si="20"/>
        <v>1667146580</v>
      </c>
      <c r="H405" t="str">
        <f t="shared" si="21"/>
        <v>http://listen-nation.sharp-stream.com/nationradio70s.aac?</v>
      </c>
      <c r="I405" t="str">
        <f t="shared" si="22"/>
        <v>http://listen-nation.sharp-stream.com/nationradio70s.aac?aw_0_1st.skey=1667146580&amp;aw_0_1st.playerid=BMUK_ukrp</v>
      </c>
    </row>
    <row r="406" spans="1:9" hidden="1" x14ac:dyDescent="0.55000000000000004">
      <c r="A406">
        <v>1514</v>
      </c>
      <c r="B406" t="s">
        <v>4232</v>
      </c>
      <c r="C406" t="s">
        <v>3093</v>
      </c>
      <c r="D406" t="s">
        <v>4237</v>
      </c>
      <c r="E406" t="s">
        <v>4234</v>
      </c>
      <c r="F406" t="s">
        <v>4235</v>
      </c>
      <c r="G406" t="str">
        <f t="shared" si="20"/>
        <v>1667146580</v>
      </c>
      <c r="H406" t="str">
        <f t="shared" si="21"/>
        <v>https://listen-nation.sharp-stream.com/nation70s.mp3?</v>
      </c>
      <c r="I406" t="str">
        <f t="shared" si="22"/>
        <v>https://listen-nation.sharp-stream.com/nation70s.mp3?aw_0_1st.skey=1667146580&amp;aw_0_1st.playerid=BMUK_ukrp</v>
      </c>
    </row>
    <row r="407" spans="1:9" hidden="1" x14ac:dyDescent="0.55000000000000004">
      <c r="A407">
        <v>1507</v>
      </c>
      <c r="B407" t="s">
        <v>4238</v>
      </c>
      <c r="C407" t="s">
        <v>3093</v>
      </c>
      <c r="D407" t="s">
        <v>4239</v>
      </c>
      <c r="E407" t="s">
        <v>4240</v>
      </c>
      <c r="F407" t="s">
        <v>4241</v>
      </c>
      <c r="G407" t="str">
        <f t="shared" si="20"/>
        <v>1667146581</v>
      </c>
      <c r="H407" t="str">
        <f t="shared" si="21"/>
        <v>https://listen-nation.sharp-stream.com/nationradio80s.aac?</v>
      </c>
      <c r="I407" t="str">
        <f t="shared" si="22"/>
        <v>https://listen-nation.sharp-stream.com/nationradio80s.aac?aw_0_1st.skey=1667146581&amp;aw_0_1st.playerid=BMUK_ukrp</v>
      </c>
    </row>
    <row r="408" spans="1:9" hidden="1" x14ac:dyDescent="0.55000000000000004">
      <c r="A408">
        <v>1507</v>
      </c>
      <c r="B408" t="s">
        <v>4238</v>
      </c>
      <c r="C408" t="s">
        <v>3093</v>
      </c>
      <c r="D408" t="s">
        <v>4242</v>
      </c>
      <c r="E408" t="s">
        <v>4240</v>
      </c>
      <c r="F408" t="s">
        <v>4241</v>
      </c>
      <c r="G408" t="str">
        <f t="shared" si="20"/>
        <v>1667146581</v>
      </c>
      <c r="H408" t="str">
        <f t="shared" si="21"/>
        <v>https://listen-nation.sharp-stream.com/nationradio80s.mp3?</v>
      </c>
      <c r="I408" t="str">
        <f t="shared" si="22"/>
        <v>https://listen-nation.sharp-stream.com/nationradio80s.mp3?aw_0_1st.skey=1667146581&amp;aw_0_1st.playerid=BMUK_ukrp</v>
      </c>
    </row>
    <row r="409" spans="1:9" hidden="1" x14ac:dyDescent="0.55000000000000004">
      <c r="A409">
        <v>1507</v>
      </c>
      <c r="B409" t="s">
        <v>4238</v>
      </c>
      <c r="C409" t="s">
        <v>3093</v>
      </c>
      <c r="D409" t="s">
        <v>4243</v>
      </c>
      <c r="E409" t="s">
        <v>4240</v>
      </c>
      <c r="F409" t="s">
        <v>4241</v>
      </c>
      <c r="G409" t="str">
        <f t="shared" si="20"/>
        <v>1667146581</v>
      </c>
      <c r="H409" t="str">
        <f t="shared" si="21"/>
        <v>https://listen-nation.sharp-stream.com/nation80s.mp3?</v>
      </c>
      <c r="I409" t="str">
        <f t="shared" si="22"/>
        <v>https://listen-nation.sharp-stream.com/nation80s.mp3?aw_0_1st.skey=1667146581&amp;aw_0_1st.playerid=BMUK_ukrp</v>
      </c>
    </row>
    <row r="410" spans="1:9" hidden="1" x14ac:dyDescent="0.55000000000000004">
      <c r="A410">
        <v>1515</v>
      </c>
      <c r="B410" t="s">
        <v>4244</v>
      </c>
      <c r="C410" t="s">
        <v>3093</v>
      </c>
      <c r="D410" t="s">
        <v>4245</v>
      </c>
      <c r="E410" t="s">
        <v>4246</v>
      </c>
      <c r="F410" t="s">
        <v>4247</v>
      </c>
      <c r="G410" t="str">
        <f t="shared" si="20"/>
        <v>1667146583</v>
      </c>
      <c r="H410" t="str">
        <f t="shared" si="21"/>
        <v>https://listen-nation.sharp-stream.com/nationradio90s.mp3?</v>
      </c>
      <c r="I410" t="str">
        <f t="shared" si="22"/>
        <v>https://listen-nation.sharp-stream.com/nationradio90s.mp3?aw_0_1st.skey=1667146583&amp;aw_0_1st.playerid=BMUK_ukrp</v>
      </c>
    </row>
    <row r="411" spans="1:9" hidden="1" x14ac:dyDescent="0.55000000000000004">
      <c r="A411">
        <v>1515</v>
      </c>
      <c r="B411" t="s">
        <v>4244</v>
      </c>
      <c r="C411" t="s">
        <v>3093</v>
      </c>
      <c r="D411" t="s">
        <v>4248</v>
      </c>
      <c r="E411" t="s">
        <v>4246</v>
      </c>
      <c r="F411" t="s">
        <v>4247</v>
      </c>
      <c r="G411" t="str">
        <f t="shared" si="20"/>
        <v>1667146583</v>
      </c>
      <c r="H411" t="str">
        <f t="shared" si="21"/>
        <v>https://listen-nation.sharp-stream.com/nationradio90s.aac?</v>
      </c>
      <c r="I411" t="str">
        <f t="shared" si="22"/>
        <v>https://listen-nation.sharp-stream.com/nationradio90s.aac?aw_0_1st.skey=1667146583&amp;aw_0_1st.playerid=BMUK_ukrp</v>
      </c>
    </row>
    <row r="412" spans="1:9" hidden="1" x14ac:dyDescent="0.55000000000000004">
      <c r="A412">
        <v>1515</v>
      </c>
      <c r="B412" t="s">
        <v>4244</v>
      </c>
      <c r="C412" t="s">
        <v>3093</v>
      </c>
      <c r="D412" t="s">
        <v>4249</v>
      </c>
      <c r="E412" t="s">
        <v>4246</v>
      </c>
      <c r="F412" t="s">
        <v>4247</v>
      </c>
      <c r="G412" t="str">
        <f t="shared" si="20"/>
        <v>1667146583</v>
      </c>
      <c r="H412" t="str">
        <f t="shared" si="21"/>
        <v>https://listen-nation.sharp-stream.com/nation90s.mp3?</v>
      </c>
      <c r="I412" t="str">
        <f t="shared" si="22"/>
        <v>https://listen-nation.sharp-stream.com/nation90s.mp3?aw_0_1st.skey=1667146583&amp;aw_0_1st.playerid=BMUK_ukrp</v>
      </c>
    </row>
    <row r="413" spans="1:9" hidden="1" x14ac:dyDescent="0.55000000000000004">
      <c r="A413">
        <v>1571</v>
      </c>
      <c r="B413" t="s">
        <v>4250</v>
      </c>
      <c r="C413" t="s">
        <v>3093</v>
      </c>
      <c r="D413" t="s">
        <v>4251</v>
      </c>
      <c r="E413" t="s">
        <v>4252</v>
      </c>
      <c r="F413" t="s">
        <v>4253</v>
      </c>
      <c r="G413" t="str">
        <f t="shared" si="20"/>
        <v>1667146584</v>
      </c>
      <c r="H413" t="str">
        <f t="shared" si="21"/>
        <v>https://listen-nation.sharp-stream.com/hull.mp3?</v>
      </c>
      <c r="I413" t="str">
        <f t="shared" si="22"/>
        <v>https://listen-nation.sharp-stream.com/hull.mp3?aw_0_1st.skey=1667146584&amp;aw_0_1st.playerid=BMUK_ukrp</v>
      </c>
    </row>
    <row r="414" spans="1:9" hidden="1" x14ac:dyDescent="0.55000000000000004">
      <c r="A414">
        <v>1571</v>
      </c>
      <c r="B414" t="s">
        <v>4250</v>
      </c>
      <c r="C414" t="s">
        <v>3093</v>
      </c>
      <c r="D414" t="s">
        <v>4254</v>
      </c>
      <c r="E414" t="s">
        <v>4252</v>
      </c>
      <c r="F414" t="s">
        <v>4253</v>
      </c>
      <c r="G414" t="str">
        <f t="shared" si="20"/>
        <v>1667146584</v>
      </c>
      <c r="H414" t="str">
        <f t="shared" si="21"/>
        <v>https://listen-nation.sharp-stream.com/hulli.aac?</v>
      </c>
      <c r="I414" t="str">
        <f t="shared" si="22"/>
        <v>https://listen-nation.sharp-stream.com/hulli.aac?aw_0_1st.skey=1667146584&amp;aw_0_1st.playerid=BMUK_ukrp</v>
      </c>
    </row>
    <row r="415" spans="1:9" hidden="1" x14ac:dyDescent="0.55000000000000004">
      <c r="A415">
        <v>1571</v>
      </c>
      <c r="B415" t="s">
        <v>4250</v>
      </c>
      <c r="C415" t="s">
        <v>3093</v>
      </c>
      <c r="D415" t="s">
        <v>4255</v>
      </c>
      <c r="E415" t="s">
        <v>4252</v>
      </c>
      <c r="F415" t="s">
        <v>4253</v>
      </c>
      <c r="G415" t="str">
        <f t="shared" si="20"/>
        <v>1667146584</v>
      </c>
      <c r="H415" t="str">
        <f t="shared" si="21"/>
        <v>https://listen-nation.sharp-stream.com/hull.mp3?</v>
      </c>
      <c r="I415" t="str">
        <f t="shared" si="22"/>
        <v>https://listen-nation.sharp-stream.com/hull.mp3?aw_0_1st.skey=1667146584&amp;aw_0_1st.playerid=BMUK_ukrp</v>
      </c>
    </row>
    <row r="416" spans="1:9" hidden="1" x14ac:dyDescent="0.55000000000000004">
      <c r="A416">
        <v>1570</v>
      </c>
      <c r="B416" t="s">
        <v>4256</v>
      </c>
      <c r="C416" t="s">
        <v>3093</v>
      </c>
      <c r="D416" t="s">
        <v>4257</v>
      </c>
      <c r="E416" t="s">
        <v>4258</v>
      </c>
      <c r="F416" t="s">
        <v>4259</v>
      </c>
      <c r="G416" t="str">
        <f t="shared" si="20"/>
        <v>1667146586</v>
      </c>
      <c r="H416" t="str">
        <f t="shared" si="21"/>
        <v>https://listen-nation.sharp-stream.com/nationhampshire.aac?</v>
      </c>
      <c r="I416" t="str">
        <f t="shared" si="22"/>
        <v>https://listen-nation.sharp-stream.com/nationhampshire.aac?aw_0_1st.skey=1667146586&amp;aw_0_1st.playerid=BMUK_ukrp</v>
      </c>
    </row>
    <row r="417" spans="1:9" hidden="1" x14ac:dyDescent="0.55000000000000004">
      <c r="A417">
        <v>1570</v>
      </c>
      <c r="B417" t="s">
        <v>4256</v>
      </c>
      <c r="C417" t="s">
        <v>3093</v>
      </c>
      <c r="D417" t="s">
        <v>4260</v>
      </c>
      <c r="E417" t="s">
        <v>4258</v>
      </c>
      <c r="F417" t="s">
        <v>4259</v>
      </c>
      <c r="G417" t="str">
        <f t="shared" si="20"/>
        <v>1667146586</v>
      </c>
      <c r="H417" t="str">
        <f t="shared" si="21"/>
        <v>https://listen-nation.sharp-stream.com/nationhampshire.mp3?</v>
      </c>
      <c r="I417" t="str">
        <f t="shared" si="22"/>
        <v>https://listen-nation.sharp-stream.com/nationhampshire.mp3?aw_0_1st.skey=1667146586&amp;aw_0_1st.playerid=BMUK_ukrp</v>
      </c>
    </row>
    <row r="418" spans="1:9" hidden="1" x14ac:dyDescent="0.55000000000000004">
      <c r="A418">
        <v>1570</v>
      </c>
      <c r="B418" t="s">
        <v>4256</v>
      </c>
      <c r="C418" t="s">
        <v>3093</v>
      </c>
      <c r="D418" t="s">
        <v>4261</v>
      </c>
      <c r="E418" t="s">
        <v>4258</v>
      </c>
      <c r="F418" t="s">
        <v>4259</v>
      </c>
      <c r="G418" t="str">
        <f t="shared" si="20"/>
        <v>1667146586</v>
      </c>
      <c r="H418" t="str">
        <f t="shared" si="21"/>
        <v>https://listen-nation.sharp-stream.com/nationhampshire.mp3?</v>
      </c>
      <c r="I418" t="str">
        <f t="shared" si="22"/>
        <v>https://listen-nation.sharp-stream.com/nationhampshire.mp3?aw_0_1st.skey=1667146586&amp;aw_0_1st.playerid=BMUK_ukrp</v>
      </c>
    </row>
    <row r="419" spans="1:9" hidden="1" x14ac:dyDescent="0.55000000000000004">
      <c r="A419">
        <v>1526</v>
      </c>
      <c r="B419" t="s">
        <v>909</v>
      </c>
      <c r="C419" t="s">
        <v>3093</v>
      </c>
      <c r="D419" t="s">
        <v>4262</v>
      </c>
      <c r="E419" t="s">
        <v>4263</v>
      </c>
      <c r="F419" t="s">
        <v>4264</v>
      </c>
      <c r="G419" t="str">
        <f t="shared" si="20"/>
        <v>1667146588</v>
      </c>
      <c r="H419" t="str">
        <f t="shared" si="21"/>
        <v>https://listen-nation.sharp-stream.com/nationrocks.mp3?</v>
      </c>
      <c r="I419" t="str">
        <f t="shared" si="22"/>
        <v>https://listen-nation.sharp-stream.com/nationrocks.mp3?aw_0_1st.skey=1667146588&amp;aw_0_1st.playerid=BMUK_ukrp</v>
      </c>
    </row>
    <row r="420" spans="1:9" hidden="1" x14ac:dyDescent="0.55000000000000004">
      <c r="A420">
        <v>1526</v>
      </c>
      <c r="B420" t="s">
        <v>909</v>
      </c>
      <c r="C420" t="s">
        <v>3093</v>
      </c>
      <c r="D420" t="s">
        <v>4265</v>
      </c>
      <c r="E420" t="s">
        <v>4263</v>
      </c>
      <c r="F420" t="s">
        <v>4264</v>
      </c>
      <c r="G420" t="str">
        <f t="shared" si="20"/>
        <v>1667146588</v>
      </c>
      <c r="H420" t="str">
        <f t="shared" si="21"/>
        <v>https://listen-nation.sharp-stream.com/nationrocks.aac?</v>
      </c>
      <c r="I420" t="str">
        <f t="shared" si="22"/>
        <v>https://listen-nation.sharp-stream.com/nationrocks.aac?aw_0_1st.skey=1667146588&amp;aw_0_1st.playerid=BMUK_ukrp</v>
      </c>
    </row>
    <row r="421" spans="1:9" hidden="1" x14ac:dyDescent="0.55000000000000004">
      <c r="A421">
        <v>1526</v>
      </c>
      <c r="B421" t="s">
        <v>909</v>
      </c>
      <c r="C421" t="s">
        <v>3093</v>
      </c>
      <c r="D421" t="s">
        <v>4266</v>
      </c>
      <c r="E421" t="s">
        <v>4263</v>
      </c>
      <c r="F421" t="s">
        <v>4264</v>
      </c>
      <c r="G421" t="str">
        <f t="shared" si="20"/>
        <v>1667146588</v>
      </c>
      <c r="H421" t="str">
        <f t="shared" si="21"/>
        <v>https://listen-nation.sharp-stream.com/nationrocks.mp3?</v>
      </c>
      <c r="I421" t="str">
        <f t="shared" si="22"/>
        <v>https://listen-nation.sharp-stream.com/nationrocks.mp3?aw_0_1st.skey=1667146588&amp;aw_0_1st.playerid=BMUK_ukrp</v>
      </c>
    </row>
    <row r="422" spans="1:9" hidden="1" x14ac:dyDescent="0.55000000000000004">
      <c r="A422">
        <v>1444</v>
      </c>
      <c r="B422" t="s">
        <v>4267</v>
      </c>
      <c r="C422" t="s">
        <v>3093</v>
      </c>
      <c r="D422" t="s">
        <v>4268</v>
      </c>
      <c r="E422" t="s">
        <v>4269</v>
      </c>
      <c r="F422" t="s">
        <v>4270</v>
      </c>
      <c r="G422" t="str">
        <f t="shared" si="20"/>
        <v>1667146589</v>
      </c>
      <c r="H422" t="str">
        <f t="shared" si="21"/>
        <v>https://listen-nation.sharp-stream.com/nationscotland.mp3?</v>
      </c>
      <c r="I422" t="str">
        <f t="shared" si="22"/>
        <v>https://listen-nation.sharp-stream.com/nationscotland.mp3?aw_0_1st.skey=1667146589&amp;aw_0_1st.playerid=BMUK_ukrp</v>
      </c>
    </row>
    <row r="423" spans="1:9" hidden="1" x14ac:dyDescent="0.55000000000000004">
      <c r="A423">
        <v>1444</v>
      </c>
      <c r="B423" t="s">
        <v>4267</v>
      </c>
      <c r="C423" t="s">
        <v>3093</v>
      </c>
      <c r="D423" t="s">
        <v>4271</v>
      </c>
      <c r="E423" t="s">
        <v>4269</v>
      </c>
      <c r="F423" t="s">
        <v>4270</v>
      </c>
      <c r="G423" t="str">
        <f t="shared" si="20"/>
        <v>1667146589</v>
      </c>
      <c r="H423" t="str">
        <f t="shared" si="21"/>
        <v>https://listen-nation.sharp-stream.com/nationscotland.aac?</v>
      </c>
      <c r="I423" t="str">
        <f t="shared" si="22"/>
        <v>https://listen-nation.sharp-stream.com/nationscotland.aac?aw_0_1st.skey=1667146589&amp;aw_0_1st.playerid=BMUK_ukrp</v>
      </c>
    </row>
    <row r="424" spans="1:9" hidden="1" x14ac:dyDescent="0.55000000000000004">
      <c r="A424">
        <v>1444</v>
      </c>
      <c r="B424" t="s">
        <v>4267</v>
      </c>
      <c r="C424" t="s">
        <v>3093</v>
      </c>
      <c r="D424" t="s">
        <v>4272</v>
      </c>
      <c r="E424" t="s">
        <v>4269</v>
      </c>
      <c r="F424" t="s">
        <v>4270</v>
      </c>
      <c r="G424" t="str">
        <f t="shared" si="20"/>
        <v>1667146589</v>
      </c>
      <c r="H424" t="str">
        <f t="shared" si="21"/>
        <v>https://listen-nation.sharp-stream.com/nationscotland.mp3?</v>
      </c>
      <c r="I424" t="str">
        <f t="shared" si="22"/>
        <v>https://listen-nation.sharp-stream.com/nationscotland.mp3?aw_0_1st.skey=1667146589&amp;aw_0_1st.playerid=BMUK_ukrp</v>
      </c>
    </row>
    <row r="425" spans="1:9" hidden="1" x14ac:dyDescent="0.55000000000000004">
      <c r="A425">
        <v>1322</v>
      </c>
      <c r="B425" t="s">
        <v>4273</v>
      </c>
      <c r="C425" t="s">
        <v>3093</v>
      </c>
      <c r="D425" t="s">
        <v>4274</v>
      </c>
      <c r="E425" t="s">
        <v>4275</v>
      </c>
      <c r="F425" t="s">
        <v>4276</v>
      </c>
      <c r="G425" t="e">
        <f t="shared" si="20"/>
        <v>#VALUE!</v>
      </c>
      <c r="H425" t="str">
        <f t="shared" si="21"/>
        <v>https://playoutonestreaming.com/proxy/nwk?</v>
      </c>
      <c r="I425" t="e">
        <f t="shared" si="22"/>
        <v>#VALUE!</v>
      </c>
    </row>
    <row r="426" spans="1:9" hidden="1" x14ac:dyDescent="0.55000000000000004">
      <c r="A426">
        <v>1322</v>
      </c>
      <c r="B426" t="s">
        <v>4273</v>
      </c>
      <c r="C426" t="s">
        <v>3093</v>
      </c>
      <c r="D426" t="s">
        <v>4277</v>
      </c>
      <c r="E426" t="s">
        <v>4275</v>
      </c>
      <c r="F426" t="s">
        <v>4276</v>
      </c>
      <c r="G426" t="e">
        <f t="shared" si="20"/>
        <v>#VALUE!</v>
      </c>
      <c r="H426" t="str">
        <f t="shared" si="21"/>
        <v>https://playoutonestreaming.com/proxy/nwk?</v>
      </c>
      <c r="I426" t="e">
        <f t="shared" si="22"/>
        <v>#VALUE!</v>
      </c>
    </row>
    <row r="427" spans="1:9" hidden="1" x14ac:dyDescent="0.55000000000000004">
      <c r="A427">
        <v>1373</v>
      </c>
      <c r="B427" t="s">
        <v>912</v>
      </c>
      <c r="C427" t="s">
        <v>3093</v>
      </c>
      <c r="D427" t="s">
        <v>4278</v>
      </c>
      <c r="E427" t="s">
        <v>4279</v>
      </c>
      <c r="F427" t="s">
        <v>4280</v>
      </c>
      <c r="G427" t="e">
        <f t="shared" si="20"/>
        <v>#VALUE!</v>
      </c>
      <c r="H427" t="str">
        <f t="shared" si="21"/>
        <v>https://playoutonestreaming.com/proxy/newsradio?</v>
      </c>
      <c r="I427" t="e">
        <f t="shared" si="22"/>
        <v>#VALUE!</v>
      </c>
    </row>
    <row r="428" spans="1:9" hidden="1" x14ac:dyDescent="0.55000000000000004">
      <c r="A428">
        <v>1373</v>
      </c>
      <c r="B428" t="s">
        <v>912</v>
      </c>
      <c r="C428" t="s">
        <v>3093</v>
      </c>
      <c r="D428" t="s">
        <v>4281</v>
      </c>
      <c r="E428" t="s">
        <v>4279</v>
      </c>
      <c r="F428" t="s">
        <v>4280</v>
      </c>
      <c r="G428" t="e">
        <f t="shared" si="20"/>
        <v>#VALUE!</v>
      </c>
      <c r="H428" t="str">
        <f t="shared" si="21"/>
        <v>https://playoutonestreaming.com/proxy/newsradio?</v>
      </c>
      <c r="I428" t="e">
        <f t="shared" si="22"/>
        <v>#VALUE!</v>
      </c>
    </row>
    <row r="429" spans="1:9" hidden="1" x14ac:dyDescent="0.55000000000000004">
      <c r="A429">
        <v>1483</v>
      </c>
      <c r="B429" t="s">
        <v>4282</v>
      </c>
      <c r="C429" t="s">
        <v>3093</v>
      </c>
      <c r="D429" t="s">
        <v>4283</v>
      </c>
      <c r="E429" t="s">
        <v>4284</v>
      </c>
      <c r="F429" t="s">
        <v>4285</v>
      </c>
      <c r="G429" t="e">
        <f t="shared" si="20"/>
        <v>#VALUE!</v>
      </c>
      <c r="H429" t="str">
        <f t="shared" si="21"/>
        <v>https://nliveradio.radioca.st/stream?</v>
      </c>
      <c r="I429" t="e">
        <f t="shared" si="22"/>
        <v>#VALUE!</v>
      </c>
    </row>
    <row r="430" spans="1:9" hidden="1" x14ac:dyDescent="0.55000000000000004">
      <c r="A430">
        <v>1421</v>
      </c>
      <c r="B430" t="s">
        <v>914</v>
      </c>
      <c r="C430" t="s">
        <v>3093</v>
      </c>
      <c r="D430" t="s">
        <v>4286</v>
      </c>
      <c r="E430" t="s">
        <v>4287</v>
      </c>
      <c r="F430" t="s">
        <v>4288</v>
      </c>
      <c r="G430" t="e">
        <f t="shared" si="20"/>
        <v>#VALUE!</v>
      </c>
      <c r="H430" t="str">
        <f t="shared" si="21"/>
        <v>http://msmn3.co/proxy/x1mp33?</v>
      </c>
      <c r="I430" t="e">
        <f t="shared" si="22"/>
        <v>#VALUE!</v>
      </c>
    </row>
    <row r="431" spans="1:9" hidden="1" x14ac:dyDescent="0.55000000000000004">
      <c r="A431">
        <v>1421</v>
      </c>
      <c r="B431" t="s">
        <v>914</v>
      </c>
      <c r="C431" t="s">
        <v>3093</v>
      </c>
      <c r="D431" t="s">
        <v>4289</v>
      </c>
      <c r="E431" t="s">
        <v>4287</v>
      </c>
      <c r="F431" t="s">
        <v>4288</v>
      </c>
      <c r="G431" t="e">
        <f t="shared" si="20"/>
        <v>#VALUE!</v>
      </c>
      <c r="H431" t="str">
        <f t="shared" si="21"/>
        <v>http://msmn.co:8124?</v>
      </c>
      <c r="I431" t="e">
        <f t="shared" si="22"/>
        <v>#VALUE!</v>
      </c>
    </row>
    <row r="432" spans="1:9" hidden="1" x14ac:dyDescent="0.55000000000000004">
      <c r="A432">
        <v>1423</v>
      </c>
      <c r="B432" t="s">
        <v>917</v>
      </c>
      <c r="C432" t="s">
        <v>3093</v>
      </c>
      <c r="D432" t="s">
        <v>4290</v>
      </c>
      <c r="E432" t="s">
        <v>4291</v>
      </c>
      <c r="F432" t="s">
        <v>4292</v>
      </c>
      <c r="G432" t="e">
        <f t="shared" si="20"/>
        <v>#VALUE!</v>
      </c>
      <c r="H432" t="str">
        <f t="shared" si="21"/>
        <v>http://msmn3.co/proxy/x2mp33?</v>
      </c>
      <c r="I432" t="e">
        <f t="shared" si="22"/>
        <v>#VALUE!</v>
      </c>
    </row>
    <row r="433" spans="1:9" hidden="1" x14ac:dyDescent="0.55000000000000004">
      <c r="A433">
        <v>1423</v>
      </c>
      <c r="B433" t="s">
        <v>917</v>
      </c>
      <c r="C433" t="s">
        <v>3093</v>
      </c>
      <c r="D433" t="s">
        <v>4293</v>
      </c>
      <c r="E433" t="s">
        <v>4291</v>
      </c>
      <c r="F433" t="s">
        <v>4292</v>
      </c>
      <c r="G433" t="e">
        <f t="shared" si="20"/>
        <v>#VALUE!</v>
      </c>
      <c r="H433" t="str">
        <f t="shared" si="21"/>
        <v>http://msmn.co:8106?</v>
      </c>
      <c r="I433" t="e">
        <f t="shared" si="22"/>
        <v>#VALUE!</v>
      </c>
    </row>
    <row r="434" spans="1:9" hidden="1" x14ac:dyDescent="0.55000000000000004">
      <c r="A434">
        <v>581</v>
      </c>
      <c r="B434" t="s">
        <v>923</v>
      </c>
      <c r="C434" t="s">
        <v>3093</v>
      </c>
      <c r="D434" t="s">
        <v>4294</v>
      </c>
      <c r="E434" t="s">
        <v>4295</v>
      </c>
      <c r="F434" t="s">
        <v>4296</v>
      </c>
      <c r="G434" t="str">
        <f t="shared" si="20"/>
        <v>1667146609</v>
      </c>
      <c r="H434" t="str">
        <f t="shared" si="21"/>
        <v>https://stream-mz.planetradio.co.uk/northsound1.aac?</v>
      </c>
      <c r="I434" t="str">
        <f t="shared" si="22"/>
        <v>https://stream-mz.planetradio.co.uk/northsound1.aac?aw_0_1st.skey=1667146609&amp;aw_0_1st.playerid=BMUK_ukrp</v>
      </c>
    </row>
    <row r="435" spans="1:9" hidden="1" x14ac:dyDescent="0.55000000000000004">
      <c r="A435">
        <v>582</v>
      </c>
      <c r="B435" t="s">
        <v>925</v>
      </c>
      <c r="C435" t="s">
        <v>3093</v>
      </c>
      <c r="D435" t="s">
        <v>4297</v>
      </c>
      <c r="E435" t="s">
        <v>4298</v>
      </c>
      <c r="F435" t="s">
        <v>4299</v>
      </c>
      <c r="G435" t="str">
        <f t="shared" si="20"/>
        <v>1667146612</v>
      </c>
      <c r="H435" t="str">
        <f t="shared" si="21"/>
        <v>https://stream-mz.planetradio.co.uk/northsound2.aac?</v>
      </c>
      <c r="I435" t="str">
        <f t="shared" si="22"/>
        <v>https://stream-mz.planetradio.co.uk/northsound2.aac?aw_0_1st.skey=1667146612&amp;aw_0_1st.playerid=BMUK_ukrp</v>
      </c>
    </row>
    <row r="436" spans="1:9" hidden="1" x14ac:dyDescent="0.55000000000000004">
      <c r="A436">
        <v>1494</v>
      </c>
      <c r="B436" t="s">
        <v>935</v>
      </c>
      <c r="C436" t="s">
        <v>3093</v>
      </c>
      <c r="D436" t="s">
        <v>4300</v>
      </c>
      <c r="E436" t="s">
        <v>4301</v>
      </c>
      <c r="F436" t="s">
        <v>4302</v>
      </c>
      <c r="G436" t="e">
        <f t="shared" si="20"/>
        <v>#VALUE!</v>
      </c>
      <c r="H436" t="str">
        <f t="shared" si="21"/>
        <v>https://live.streamlojik.com:10070/outreachradio.aac?</v>
      </c>
      <c r="I436" t="e">
        <f t="shared" si="22"/>
        <v>#VALUE!</v>
      </c>
    </row>
    <row r="437" spans="1:9" hidden="1" x14ac:dyDescent="0.55000000000000004">
      <c r="A437">
        <v>1494</v>
      </c>
      <c r="B437" t="s">
        <v>935</v>
      </c>
      <c r="C437" t="s">
        <v>3093</v>
      </c>
      <c r="D437" t="s">
        <v>4303</v>
      </c>
      <c r="E437" t="s">
        <v>4301</v>
      </c>
      <c r="F437" t="s">
        <v>4302</v>
      </c>
      <c r="G437" t="e">
        <f t="shared" si="20"/>
        <v>#VALUE!</v>
      </c>
      <c r="H437" t="str">
        <f t="shared" si="21"/>
        <v>https://live.streamlojik.com:10070/outreachradio.mp3?</v>
      </c>
      <c r="I437" t="e">
        <f t="shared" si="22"/>
        <v>#VALUE!</v>
      </c>
    </row>
    <row r="438" spans="1:9" hidden="1" x14ac:dyDescent="0.55000000000000004">
      <c r="A438">
        <v>1494</v>
      </c>
      <c r="B438" t="s">
        <v>935</v>
      </c>
      <c r="C438" t="s">
        <v>3093</v>
      </c>
      <c r="D438" t="s">
        <v>4304</v>
      </c>
      <c r="E438" t="s">
        <v>4301</v>
      </c>
      <c r="F438" t="s">
        <v>4302</v>
      </c>
      <c r="G438" t="e">
        <f t="shared" si="20"/>
        <v>#VALUE!</v>
      </c>
      <c r="H438" t="str">
        <f t="shared" si="21"/>
        <v>https://live.streamlojik.com:10070/outreachradio.aac?</v>
      </c>
      <c r="I438" t="e">
        <f t="shared" si="22"/>
        <v>#VALUE!</v>
      </c>
    </row>
    <row r="439" spans="1:9" hidden="1" x14ac:dyDescent="0.55000000000000004">
      <c r="A439">
        <v>1473</v>
      </c>
      <c r="B439" t="s">
        <v>942</v>
      </c>
      <c r="C439" t="s">
        <v>3093</v>
      </c>
      <c r="D439" t="s">
        <v>4305</v>
      </c>
      <c r="E439" t="s">
        <v>4306</v>
      </c>
      <c r="F439" t="s">
        <v>4307</v>
      </c>
      <c r="G439" t="e">
        <f t="shared" si="20"/>
        <v>#VALUE!</v>
      </c>
      <c r="H439" t="str">
        <f t="shared" si="21"/>
        <v>https://stream.mybroadbandradio.com/passionradio/?</v>
      </c>
      <c r="I439" t="e">
        <f t="shared" si="22"/>
        <v>#VALUE!</v>
      </c>
    </row>
    <row r="440" spans="1:9" hidden="1" x14ac:dyDescent="0.55000000000000004">
      <c r="A440">
        <v>1148</v>
      </c>
      <c r="B440" t="s">
        <v>1044</v>
      </c>
      <c r="C440" t="s">
        <v>3093</v>
      </c>
      <c r="D440" t="s">
        <v>4308</v>
      </c>
      <c r="E440" t="s">
        <v>4309</v>
      </c>
      <c r="F440" t="s">
        <v>4310</v>
      </c>
      <c r="G440" t="str">
        <f t="shared" si="20"/>
        <v>1667146617</v>
      </c>
      <c r="H440" t="str">
        <f t="shared" si="21"/>
        <v>https://listen-nation.sharp-stream.com/tcpembrokeshire.aac?</v>
      </c>
      <c r="I440" t="str">
        <f t="shared" si="22"/>
        <v>https://listen-nation.sharp-stream.com/tcpembrokeshire.aac?aw_0_1st.skey=1667146617&amp;aw_0_1st.playerid=BMUK_ukrp</v>
      </c>
    </row>
    <row r="441" spans="1:9" hidden="1" x14ac:dyDescent="0.55000000000000004">
      <c r="A441">
        <v>1148</v>
      </c>
      <c r="B441" t="s">
        <v>1044</v>
      </c>
      <c r="C441" t="s">
        <v>3093</v>
      </c>
      <c r="D441" t="s">
        <v>4311</v>
      </c>
      <c r="E441" t="s">
        <v>4309</v>
      </c>
      <c r="F441" t="s">
        <v>4310</v>
      </c>
      <c r="G441" t="str">
        <f t="shared" si="20"/>
        <v>1667146617</v>
      </c>
      <c r="H441" t="str">
        <f t="shared" si="21"/>
        <v>https://listen-nation.sharp-stream.com/tcpembrokeshire.aac?</v>
      </c>
      <c r="I441" t="str">
        <f t="shared" si="22"/>
        <v>https://listen-nation.sharp-stream.com/tcpembrokeshire.aac?aw_0_1st.skey=1667146617&amp;aw_0_1st.playerid=BMUK_ukrp</v>
      </c>
    </row>
    <row r="442" spans="1:9" hidden="1" x14ac:dyDescent="0.55000000000000004">
      <c r="A442">
        <v>1394</v>
      </c>
      <c r="B442" t="s">
        <v>4312</v>
      </c>
      <c r="C442" t="s">
        <v>3093</v>
      </c>
      <c r="D442" t="s">
        <v>4313</v>
      </c>
      <c r="E442" t="s">
        <v>4314</v>
      </c>
      <c r="F442" t="s">
        <v>4315</v>
      </c>
      <c r="G442" t="e">
        <f t="shared" si="20"/>
        <v>#VALUE!</v>
      </c>
      <c r="H442" t="str">
        <f t="shared" si="21"/>
        <v>http://listen.phonic.fm/mp3-160k?</v>
      </c>
      <c r="I442" t="e">
        <f t="shared" si="22"/>
        <v>#VALUE!</v>
      </c>
    </row>
    <row r="443" spans="1:9" hidden="1" x14ac:dyDescent="0.55000000000000004">
      <c r="A443">
        <v>1394</v>
      </c>
      <c r="B443" t="s">
        <v>4312</v>
      </c>
      <c r="C443" t="s">
        <v>3093</v>
      </c>
      <c r="D443" t="s">
        <v>4316</v>
      </c>
      <c r="E443" t="s">
        <v>4314</v>
      </c>
      <c r="F443" t="s">
        <v>4315</v>
      </c>
      <c r="G443" t="e">
        <f t="shared" si="20"/>
        <v>#VALUE!</v>
      </c>
      <c r="H443" t="str">
        <f t="shared" si="21"/>
        <v>http://listen.phonic.fm/mp3-160k?</v>
      </c>
      <c r="I443" t="e">
        <f t="shared" si="22"/>
        <v>#VALUE!</v>
      </c>
    </row>
    <row r="444" spans="1:9" hidden="1" x14ac:dyDescent="0.55000000000000004">
      <c r="A444">
        <v>1013</v>
      </c>
      <c r="B444" t="s">
        <v>2794</v>
      </c>
      <c r="C444" t="s">
        <v>3093</v>
      </c>
      <c r="D444" t="s">
        <v>4317</v>
      </c>
      <c r="E444" t="s">
        <v>4318</v>
      </c>
      <c r="F444" t="s">
        <v>4319</v>
      </c>
      <c r="G444" t="str">
        <f t="shared" si="20"/>
        <v>1667146621</v>
      </c>
      <c r="H444" t="str">
        <f t="shared" si="21"/>
        <v>https://stream-mz.planetradio.co.uk/net1cornwalleast.aac?</v>
      </c>
      <c r="I444" t="str">
        <f t="shared" si="22"/>
        <v>https://stream-mz.planetradio.co.uk/net1cornwalleast.aac?aw_0_1st.skey=1667146621&amp;aw_0_1st.playerid=BMUK_ukrp</v>
      </c>
    </row>
    <row r="445" spans="1:9" hidden="1" x14ac:dyDescent="0.55000000000000004">
      <c r="A445">
        <v>1005</v>
      </c>
      <c r="B445" t="s">
        <v>950</v>
      </c>
      <c r="C445" t="s">
        <v>3093</v>
      </c>
      <c r="D445" t="s">
        <v>4320</v>
      </c>
      <c r="E445" t="s">
        <v>4321</v>
      </c>
      <c r="F445" t="s">
        <v>4322</v>
      </c>
      <c r="G445" t="str">
        <f t="shared" si="20"/>
        <v>1667146623</v>
      </c>
      <c r="H445" t="str">
        <f t="shared" si="21"/>
        <v>https://stream-mz.planetradio.co.uk/planetrock.aac?</v>
      </c>
      <c r="I445" t="str">
        <f t="shared" si="22"/>
        <v>https://stream-mz.planetradio.co.uk/planetrock.aac?aw_0_1st.skey=1667146623&amp;aw_0_1st.playerid=BMUK_ukrp</v>
      </c>
    </row>
    <row r="446" spans="1:9" hidden="1" x14ac:dyDescent="0.55000000000000004">
      <c r="A446">
        <v>1340</v>
      </c>
      <c r="B446" t="s">
        <v>971</v>
      </c>
      <c r="C446" t="s">
        <v>3093</v>
      </c>
      <c r="D446" t="s">
        <v>4323</v>
      </c>
      <c r="E446" t="s">
        <v>4324</v>
      </c>
      <c r="F446" t="s">
        <v>4325</v>
      </c>
      <c r="G446" t="e">
        <f t="shared" si="20"/>
        <v>#VALUE!</v>
      </c>
      <c r="H446" t="str">
        <f t="shared" si="21"/>
        <v>https://streams.radiomast.io/4f0fe096-7e2a-4bf0-957f-6c46a866d9ea?</v>
      </c>
      <c r="I446" t="e">
        <f t="shared" si="22"/>
        <v>#VALUE!</v>
      </c>
    </row>
    <row r="447" spans="1:9" hidden="1" x14ac:dyDescent="0.55000000000000004">
      <c r="A447">
        <v>1340</v>
      </c>
      <c r="B447" t="s">
        <v>971</v>
      </c>
      <c r="C447" t="s">
        <v>3093</v>
      </c>
      <c r="D447" t="s">
        <v>4326</v>
      </c>
      <c r="E447" t="s">
        <v>4324</v>
      </c>
      <c r="F447" t="s">
        <v>4325</v>
      </c>
      <c r="G447" t="e">
        <f t="shared" si="20"/>
        <v>#VALUE!</v>
      </c>
      <c r="H447" t="str">
        <f t="shared" si="21"/>
        <v>https://streams.radiomast.io/848fe471-e284-49ac-8038-9b6577bcb855?</v>
      </c>
      <c r="I447" t="e">
        <f t="shared" si="22"/>
        <v>#VALUE!</v>
      </c>
    </row>
    <row r="448" spans="1:9" hidden="1" x14ac:dyDescent="0.55000000000000004">
      <c r="A448">
        <v>1448</v>
      </c>
      <c r="B448" t="s">
        <v>4327</v>
      </c>
      <c r="C448" t="s">
        <v>3093</v>
      </c>
      <c r="D448" t="s">
        <v>4328</v>
      </c>
      <c r="E448" t="s">
        <v>4329</v>
      </c>
      <c r="F448" t="s">
        <v>4330</v>
      </c>
      <c r="G448" t="e">
        <f t="shared" si="20"/>
        <v>#VALUE!</v>
      </c>
      <c r="H448" t="str">
        <f t="shared" si="21"/>
        <v>https://richkell.radioca.st/stream.mp3?</v>
      </c>
      <c r="I448" t="e">
        <f t="shared" si="22"/>
        <v>#VALUE!</v>
      </c>
    </row>
    <row r="449" spans="1:9" hidden="1" x14ac:dyDescent="0.55000000000000004">
      <c r="A449">
        <v>502</v>
      </c>
      <c r="B449" t="s">
        <v>976</v>
      </c>
      <c r="C449" t="s">
        <v>3093</v>
      </c>
      <c r="D449" t="s">
        <v>4331</v>
      </c>
      <c r="E449" t="s">
        <v>4332</v>
      </c>
      <c r="F449" t="s">
        <v>4333</v>
      </c>
      <c r="G449" t="str">
        <f t="shared" si="20"/>
        <v>1667146808</v>
      </c>
      <c r="H449" t="str">
        <f t="shared" si="21"/>
        <v>https://stream-mz.planetradio.co.uk/net1bradford.aac?</v>
      </c>
      <c r="I449" t="str">
        <f t="shared" si="22"/>
        <v>https://stream-mz.planetradio.co.uk/net1bradford.aac?aw_0_1st.skey=1667146808&amp;aw_0_1st.playerid=BMUK_ukrp</v>
      </c>
    </row>
    <row r="450" spans="1:9" hidden="1" x14ac:dyDescent="0.55000000000000004">
      <c r="A450">
        <v>1350</v>
      </c>
      <c r="B450" t="s">
        <v>985</v>
      </c>
      <c r="C450" t="s">
        <v>3093</v>
      </c>
      <c r="D450" t="s">
        <v>4334</v>
      </c>
      <c r="E450" t="s">
        <v>4335</v>
      </c>
      <c r="F450" t="s">
        <v>4336</v>
      </c>
      <c r="G450" t="e">
        <f t="shared" si="20"/>
        <v>#VALUE!</v>
      </c>
      <c r="H450" t="str">
        <f t="shared" si="21"/>
        <v>https://direct-qradio.sharp-stream.com/qr967.mp3?</v>
      </c>
      <c r="I450" t="e">
        <f t="shared" si="22"/>
        <v>#VALUE!</v>
      </c>
    </row>
    <row r="451" spans="1:9" hidden="1" x14ac:dyDescent="0.55000000000000004">
      <c r="A451">
        <v>1356</v>
      </c>
      <c r="B451" t="s">
        <v>4337</v>
      </c>
      <c r="C451" t="s">
        <v>3093</v>
      </c>
      <c r="D451" t="s">
        <v>4338</v>
      </c>
      <c r="E451" t="s">
        <v>4339</v>
      </c>
      <c r="F451" t="s">
        <v>4340</v>
      </c>
      <c r="G451" t="e">
        <f t="shared" ref="G451:G514" si="23">MID(D451,
FIND("1st.skey=",D451,1)+9,10)</f>
        <v>#VALUE!</v>
      </c>
      <c r="H451" t="str">
        <f t="shared" ref="H451:H514" si="24">LEFT(D451,
FIND("?",D451,1))</f>
        <v>https://direct-qradio.sharp-stream.com/qr1070.mp3?</v>
      </c>
      <c r="I451" t="e">
        <f t="shared" ref="I451:I514" si="25">H451&amp;"aw_0_1st.skey="&amp;G451&amp;"&amp;aw_0_1st.playerid=BMUK_ukrp"</f>
        <v>#VALUE!</v>
      </c>
    </row>
    <row r="452" spans="1:9" hidden="1" x14ac:dyDescent="0.55000000000000004">
      <c r="A452">
        <v>1353</v>
      </c>
      <c r="B452" t="s">
        <v>4341</v>
      </c>
      <c r="C452" t="s">
        <v>3093</v>
      </c>
      <c r="D452" t="s">
        <v>4342</v>
      </c>
      <c r="E452" t="s">
        <v>4343</v>
      </c>
      <c r="F452" t="s">
        <v>4344</v>
      </c>
      <c r="G452" t="e">
        <f t="shared" si="23"/>
        <v>#VALUE!</v>
      </c>
      <c r="H452" t="str">
        <f t="shared" si="24"/>
        <v>https://direct-qradio.sharp-stream.com/qr1060.mp3?</v>
      </c>
      <c r="I452" t="e">
        <f t="shared" si="25"/>
        <v>#VALUE!</v>
      </c>
    </row>
    <row r="453" spans="1:9" hidden="1" x14ac:dyDescent="0.55000000000000004">
      <c r="A453">
        <v>1355</v>
      </c>
      <c r="B453" t="s">
        <v>4345</v>
      </c>
      <c r="C453" t="s">
        <v>3093</v>
      </c>
      <c r="D453" t="s">
        <v>4346</v>
      </c>
      <c r="E453" t="s">
        <v>4347</v>
      </c>
      <c r="F453" t="s">
        <v>4348</v>
      </c>
      <c r="G453" t="e">
        <f t="shared" si="23"/>
        <v>#VALUE!</v>
      </c>
      <c r="H453" t="str">
        <f t="shared" si="24"/>
        <v>https://direct-qradio.sharp-stream.com/qr1005.mp3?</v>
      </c>
      <c r="I453" t="e">
        <f t="shared" si="25"/>
        <v>#VALUE!</v>
      </c>
    </row>
    <row r="454" spans="1:9" hidden="1" x14ac:dyDescent="0.55000000000000004">
      <c r="A454">
        <v>1352</v>
      </c>
      <c r="B454" t="s">
        <v>4349</v>
      </c>
      <c r="C454" t="s">
        <v>3093</v>
      </c>
      <c r="D454" t="s">
        <v>4350</v>
      </c>
      <c r="E454" t="s">
        <v>4351</v>
      </c>
      <c r="F454" t="s">
        <v>4352</v>
      </c>
      <c r="G454" t="e">
        <f t="shared" si="23"/>
        <v>#VALUE!</v>
      </c>
      <c r="H454" t="str">
        <f t="shared" si="24"/>
        <v>https://direct-qradio.sharp-stream.com/qr1060.mp3?</v>
      </c>
      <c r="I454" t="e">
        <f t="shared" si="25"/>
        <v>#VALUE!</v>
      </c>
    </row>
    <row r="455" spans="1:9" hidden="1" x14ac:dyDescent="0.55000000000000004">
      <c r="A455">
        <v>1351</v>
      </c>
      <c r="B455" t="s">
        <v>4353</v>
      </c>
      <c r="C455" t="s">
        <v>3093</v>
      </c>
      <c r="D455" t="s">
        <v>4354</v>
      </c>
      <c r="E455" t="s">
        <v>4355</v>
      </c>
      <c r="F455" t="s">
        <v>4356</v>
      </c>
      <c r="G455" t="e">
        <f t="shared" si="23"/>
        <v>#VALUE!</v>
      </c>
      <c r="H455" t="str">
        <f t="shared" si="24"/>
        <v>https://direct-qradio.sharp-stream.com/qr1029.mp3?</v>
      </c>
      <c r="I455" t="e">
        <f t="shared" si="25"/>
        <v>#VALUE!</v>
      </c>
    </row>
    <row r="456" spans="1:9" hidden="1" x14ac:dyDescent="0.55000000000000004">
      <c r="A456">
        <v>1354</v>
      </c>
      <c r="B456" t="s">
        <v>4357</v>
      </c>
      <c r="C456" t="s">
        <v>3093</v>
      </c>
      <c r="D456" t="s">
        <v>4358</v>
      </c>
      <c r="E456" t="s">
        <v>4359</v>
      </c>
      <c r="F456" t="s">
        <v>4360</v>
      </c>
      <c r="G456" t="e">
        <f t="shared" si="23"/>
        <v>#VALUE!</v>
      </c>
      <c r="H456" t="str">
        <f t="shared" si="24"/>
        <v>https://direct-qradio.sharp-stream.com/qr1012.mp3?</v>
      </c>
      <c r="I456" t="e">
        <f t="shared" si="25"/>
        <v>#VALUE!</v>
      </c>
    </row>
    <row r="457" spans="1:9" hidden="1" x14ac:dyDescent="0.55000000000000004">
      <c r="A457">
        <v>1282</v>
      </c>
      <c r="B457" t="s">
        <v>4361</v>
      </c>
      <c r="C457" t="s">
        <v>3093</v>
      </c>
      <c r="D457" t="s">
        <v>4362</v>
      </c>
      <c r="E457" t="s">
        <v>4363</v>
      </c>
      <c r="F457" t="s">
        <v>4364</v>
      </c>
      <c r="G457" t="e">
        <f t="shared" si="23"/>
        <v>#VALUE!</v>
      </c>
      <c r="H457" t="str">
        <f t="shared" si="24"/>
        <v>http://live.canstream.co.uk:8000/raajfm.mp3?</v>
      </c>
      <c r="I457" t="e">
        <f t="shared" si="25"/>
        <v>#VALUE!</v>
      </c>
    </row>
    <row r="458" spans="1:9" hidden="1" x14ac:dyDescent="0.55000000000000004">
      <c r="A458">
        <v>1480</v>
      </c>
      <c r="B458" t="s">
        <v>4365</v>
      </c>
      <c r="C458" t="s">
        <v>3093</v>
      </c>
      <c r="D458" t="s">
        <v>4366</v>
      </c>
      <c r="E458" t="s">
        <v>4367</v>
      </c>
      <c r="F458" t="s">
        <v>4368</v>
      </c>
      <c r="G458" t="e">
        <f t="shared" si="23"/>
        <v>#VALUE!</v>
      </c>
      <c r="H458" t="str">
        <f t="shared" si="24"/>
        <v>http://aries.streaming.zfast.co.uk:8056/;stream.aac?</v>
      </c>
      <c r="I458" t="e">
        <f t="shared" si="25"/>
        <v>#VALUE!</v>
      </c>
    </row>
    <row r="459" spans="1:9" hidden="1" x14ac:dyDescent="0.55000000000000004">
      <c r="A459">
        <v>1480</v>
      </c>
      <c r="B459" t="s">
        <v>4365</v>
      </c>
      <c r="C459" t="s">
        <v>3093</v>
      </c>
      <c r="D459" t="s">
        <v>4369</v>
      </c>
      <c r="E459" t="s">
        <v>4367</v>
      </c>
      <c r="F459" t="s">
        <v>4368</v>
      </c>
      <c r="G459" t="e">
        <f t="shared" si="23"/>
        <v>#VALUE!</v>
      </c>
      <c r="H459" t="str">
        <f t="shared" si="24"/>
        <v>http://aries.streaming.zfast.co.uk:8056/;stream.aac?</v>
      </c>
      <c r="I459" t="e">
        <f t="shared" si="25"/>
        <v>#VALUE!</v>
      </c>
    </row>
    <row r="460" spans="1:9" hidden="1" x14ac:dyDescent="0.55000000000000004">
      <c r="A460">
        <v>556</v>
      </c>
      <c r="B460" t="s">
        <v>1011</v>
      </c>
      <c r="C460" t="s">
        <v>3093</v>
      </c>
      <c r="D460" t="s">
        <v>4370</v>
      </c>
      <c r="E460" t="s">
        <v>4371</v>
      </c>
      <c r="F460" t="s">
        <v>4372</v>
      </c>
      <c r="G460" t="str">
        <f t="shared" si="23"/>
        <v>1667146828</v>
      </c>
      <c r="H460" t="str">
        <f t="shared" si="24"/>
        <v>https://stream-al.planetradio.co.uk/borders.aac?</v>
      </c>
      <c r="I460" t="str">
        <f t="shared" si="25"/>
        <v>https://stream-al.planetradio.co.uk/borders.aac?aw_0_1st.skey=1667146828&amp;aw_0_1st.playerid=BMUK_ukrp</v>
      </c>
    </row>
    <row r="461" spans="1:9" hidden="1" x14ac:dyDescent="0.55000000000000004">
      <c r="A461">
        <v>1387</v>
      </c>
      <c r="B461" t="s">
        <v>1016</v>
      </c>
      <c r="C461" t="s">
        <v>3093</v>
      </c>
      <c r="D461" t="s">
        <v>4373</v>
      </c>
      <c r="E461" t="s">
        <v>4374</v>
      </c>
      <c r="F461" t="s">
        <v>4375</v>
      </c>
      <c r="G461" t="e">
        <f t="shared" si="23"/>
        <v>#VALUE!</v>
      </c>
      <c r="H461" t="str">
        <f t="shared" si="24"/>
        <v>http://sc2.radiocaroline.net:10568/;stream.mp3?</v>
      </c>
      <c r="I461" t="e">
        <f t="shared" si="25"/>
        <v>#VALUE!</v>
      </c>
    </row>
    <row r="462" spans="1:9" hidden="1" x14ac:dyDescent="0.55000000000000004">
      <c r="A462">
        <v>1387</v>
      </c>
      <c r="B462" t="s">
        <v>1016</v>
      </c>
      <c r="C462" t="s">
        <v>3093</v>
      </c>
      <c r="D462" t="s">
        <v>4376</v>
      </c>
      <c r="E462" t="s">
        <v>4374</v>
      </c>
      <c r="F462" t="s">
        <v>4375</v>
      </c>
      <c r="G462" t="e">
        <f t="shared" si="23"/>
        <v>#VALUE!</v>
      </c>
      <c r="H462" t="str">
        <f t="shared" si="24"/>
        <v>http://sc2.radiocaroline.net:10558/;stream.mp3?</v>
      </c>
      <c r="I462" t="e">
        <f t="shared" si="25"/>
        <v>#VALUE!</v>
      </c>
    </row>
    <row r="463" spans="1:9" hidden="1" x14ac:dyDescent="0.55000000000000004">
      <c r="A463">
        <v>1387</v>
      </c>
      <c r="B463" t="s">
        <v>1016</v>
      </c>
      <c r="C463" t="s">
        <v>3093</v>
      </c>
      <c r="D463" t="s">
        <v>4377</v>
      </c>
      <c r="E463" t="s">
        <v>4374</v>
      </c>
      <c r="F463" t="s">
        <v>4375</v>
      </c>
      <c r="G463" t="e">
        <f t="shared" si="23"/>
        <v>#VALUE!</v>
      </c>
      <c r="H463" t="str">
        <f t="shared" si="24"/>
        <v>http://sc2.radiocaroline.net:10558/?</v>
      </c>
      <c r="I463" t="e">
        <f t="shared" si="25"/>
        <v>#VALUE!</v>
      </c>
    </row>
    <row r="464" spans="1:9" hidden="1" x14ac:dyDescent="0.55000000000000004">
      <c r="A464">
        <v>558</v>
      </c>
      <c r="B464" t="s">
        <v>1023</v>
      </c>
      <c r="C464" t="s">
        <v>3093</v>
      </c>
      <c r="D464" t="s">
        <v>4378</v>
      </c>
      <c r="E464" t="s">
        <v>4379</v>
      </c>
      <c r="F464" t="s">
        <v>4380</v>
      </c>
      <c r="G464" t="str">
        <f t="shared" si="23"/>
        <v>1667146831</v>
      </c>
      <c r="H464" t="str">
        <f t="shared" si="24"/>
        <v>https://stream-al.planetradio.co.uk/city.aac?</v>
      </c>
      <c r="I464" t="str">
        <f t="shared" si="25"/>
        <v>https://stream-al.planetradio.co.uk/city.aac?aw_0_1st.skey=1667146831&amp;aw_0_1st.playerid=BMUK_ukrp</v>
      </c>
    </row>
    <row r="465" spans="1:9" hidden="1" x14ac:dyDescent="0.55000000000000004">
      <c r="A465">
        <v>1261</v>
      </c>
      <c r="B465" t="s">
        <v>4381</v>
      </c>
      <c r="C465" t="s">
        <v>3093</v>
      </c>
      <c r="D465" t="s">
        <v>4382</v>
      </c>
      <c r="E465" t="s">
        <v>4383</v>
      </c>
      <c r="F465" t="s">
        <v>4384</v>
      </c>
      <c r="G465" t="e">
        <f t="shared" si="23"/>
        <v>#VALUE!</v>
      </c>
      <c r="H465" t="str">
        <f t="shared" si="24"/>
        <v>https://playoutonestreaming.com/proxy/essex?</v>
      </c>
      <c r="I465" t="e">
        <f t="shared" si="25"/>
        <v>#VALUE!</v>
      </c>
    </row>
    <row r="466" spans="1:9" hidden="1" x14ac:dyDescent="0.55000000000000004">
      <c r="A466">
        <v>1501</v>
      </c>
      <c r="B466" t="s">
        <v>4385</v>
      </c>
      <c r="C466" t="s">
        <v>3093</v>
      </c>
      <c r="D466" t="s">
        <v>4386</v>
      </c>
      <c r="E466" t="s">
        <v>4387</v>
      </c>
      <c r="F466" t="s">
        <v>4388</v>
      </c>
      <c r="G466" t="e">
        <f t="shared" si="23"/>
        <v>#VALUE!</v>
      </c>
      <c r="H466" t="str">
        <f t="shared" si="24"/>
        <v>https://stream.radiojar.com/6dxdfhfstbruv?</v>
      </c>
      <c r="I466" t="e">
        <f t="shared" si="25"/>
        <v>#VALUE!</v>
      </c>
    </row>
    <row r="467" spans="1:9" hidden="1" x14ac:dyDescent="0.55000000000000004">
      <c r="A467">
        <v>1132</v>
      </c>
      <c r="B467" t="s">
        <v>4389</v>
      </c>
      <c r="C467" t="s">
        <v>3093</v>
      </c>
      <c r="D467" t="s">
        <v>4390</v>
      </c>
      <c r="E467" t="s">
        <v>4391</v>
      </c>
      <c r="F467" t="s">
        <v>4392</v>
      </c>
      <c r="G467" t="e">
        <f t="shared" si="23"/>
        <v>#VALUE!</v>
      </c>
      <c r="H467" t="str">
        <f t="shared" si="24"/>
        <v>https://webradio.radiomonitor.com/stream/RadioTyneside?</v>
      </c>
      <c r="I467" t="e">
        <f t="shared" si="25"/>
        <v>#VALUE!</v>
      </c>
    </row>
    <row r="468" spans="1:9" hidden="1" x14ac:dyDescent="0.55000000000000004">
      <c r="A468">
        <v>1132</v>
      </c>
      <c r="B468" t="s">
        <v>4389</v>
      </c>
      <c r="C468" t="s">
        <v>3093</v>
      </c>
      <c r="D468" t="s">
        <v>4393</v>
      </c>
      <c r="E468" t="s">
        <v>4391</v>
      </c>
      <c r="F468" t="s">
        <v>4392</v>
      </c>
      <c r="G468" t="e">
        <f t="shared" si="23"/>
        <v>#VALUE!</v>
      </c>
      <c r="H468" t="str">
        <f t="shared" si="24"/>
        <v>https://webradio.radiomonitor.com/stream/RadioTyneside-AAC?</v>
      </c>
      <c r="I468" t="e">
        <f t="shared" si="25"/>
        <v>#VALUE!</v>
      </c>
    </row>
    <row r="469" spans="1:9" hidden="1" x14ac:dyDescent="0.55000000000000004">
      <c r="A469">
        <v>1132</v>
      </c>
      <c r="B469" t="s">
        <v>4389</v>
      </c>
      <c r="C469" t="s">
        <v>3093</v>
      </c>
      <c r="D469" t="s">
        <v>4394</v>
      </c>
      <c r="E469" t="s">
        <v>4391</v>
      </c>
      <c r="F469" t="s">
        <v>4392</v>
      </c>
      <c r="G469" t="e">
        <f t="shared" si="23"/>
        <v>#VALUE!</v>
      </c>
      <c r="H469" t="str">
        <f t="shared" si="24"/>
        <v>https://stream.audiospace.co/tyneside?</v>
      </c>
      <c r="I469" t="e">
        <f t="shared" si="25"/>
        <v>#VALUE!</v>
      </c>
    </row>
    <row r="470" spans="1:9" hidden="1" x14ac:dyDescent="0.55000000000000004">
      <c r="A470">
        <v>1132</v>
      </c>
      <c r="B470" t="s">
        <v>4389</v>
      </c>
      <c r="C470" t="s">
        <v>3093</v>
      </c>
      <c r="D470" t="s">
        <v>4395</v>
      </c>
      <c r="E470" t="s">
        <v>4391</v>
      </c>
      <c r="F470" t="s">
        <v>4392</v>
      </c>
      <c r="G470" t="e">
        <f t="shared" si="23"/>
        <v>#VALUE!</v>
      </c>
      <c r="H470" t="str">
        <f t="shared" si="24"/>
        <v>https://webradio.radiomonitor.com/stream/RadioTyneside-AAC?</v>
      </c>
      <c r="I470" t="e">
        <f t="shared" si="25"/>
        <v>#VALUE!</v>
      </c>
    </row>
    <row r="471" spans="1:9" hidden="1" x14ac:dyDescent="0.55000000000000004">
      <c r="A471">
        <v>1542</v>
      </c>
      <c r="B471" t="s">
        <v>4396</v>
      </c>
      <c r="C471" t="s">
        <v>3093</v>
      </c>
      <c r="D471" t="s">
        <v>4397</v>
      </c>
      <c r="E471" t="s">
        <v>4398</v>
      </c>
      <c r="F471" t="s">
        <v>4399</v>
      </c>
      <c r="G471" t="e">
        <f t="shared" si="23"/>
        <v>#VALUE!</v>
      </c>
      <c r="H471" t="str">
        <f t="shared" si="24"/>
        <v>https://securestreams.autopo.st:1209/RWS?</v>
      </c>
      <c r="I471" t="e">
        <f t="shared" si="25"/>
        <v>#VALUE!</v>
      </c>
    </row>
    <row r="472" spans="1:9" hidden="1" x14ac:dyDescent="0.55000000000000004">
      <c r="A472">
        <v>1542</v>
      </c>
      <c r="B472" t="s">
        <v>4396</v>
      </c>
      <c r="C472" t="s">
        <v>3093</v>
      </c>
      <c r="D472" t="s">
        <v>4400</v>
      </c>
      <c r="E472" t="s">
        <v>4398</v>
      </c>
      <c r="F472" t="s">
        <v>4399</v>
      </c>
      <c r="G472" t="e">
        <f t="shared" si="23"/>
        <v>#VALUE!</v>
      </c>
      <c r="H472" t="str">
        <f t="shared" si="24"/>
        <v>https://securestreams.autopo.st:1209/RWS?</v>
      </c>
      <c r="I472" t="e">
        <f t="shared" si="25"/>
        <v>#VALUE!</v>
      </c>
    </row>
    <row r="473" spans="1:9" hidden="1" x14ac:dyDescent="0.55000000000000004">
      <c r="A473">
        <v>1326</v>
      </c>
      <c r="B473" t="s">
        <v>1053</v>
      </c>
      <c r="C473" t="s">
        <v>3093</v>
      </c>
      <c r="D473" t="s">
        <v>4401</v>
      </c>
      <c r="E473" t="s">
        <v>4402</v>
      </c>
      <c r="F473" t="s">
        <v>4403</v>
      </c>
      <c r="G473" t="e">
        <f t="shared" si="23"/>
        <v>#VALUE!</v>
      </c>
      <c r="H473" t="e">
        <f t="shared" si="24"/>
        <v>#VALUE!</v>
      </c>
      <c r="I473" t="e">
        <f t="shared" si="25"/>
        <v>#VALUE!</v>
      </c>
    </row>
    <row r="474" spans="1:9" hidden="1" x14ac:dyDescent="0.55000000000000004">
      <c r="A474">
        <v>1326</v>
      </c>
      <c r="B474" t="s">
        <v>1053</v>
      </c>
      <c r="C474" t="s">
        <v>3093</v>
      </c>
      <c r="D474" t="s">
        <v>2065</v>
      </c>
      <c r="E474" t="s">
        <v>4402</v>
      </c>
      <c r="F474" t="s">
        <v>4403</v>
      </c>
      <c r="G474" t="e">
        <f t="shared" si="23"/>
        <v>#VALUE!</v>
      </c>
      <c r="H474" t="e">
        <f t="shared" si="24"/>
        <v>#VALUE!</v>
      </c>
      <c r="I474" t="e">
        <f t="shared" si="25"/>
        <v>#VALUE!</v>
      </c>
    </row>
    <row r="475" spans="1:9" hidden="1" x14ac:dyDescent="0.55000000000000004">
      <c r="A475">
        <v>1326</v>
      </c>
      <c r="B475" t="s">
        <v>1053</v>
      </c>
      <c r="C475" t="s">
        <v>3093</v>
      </c>
      <c r="D475" t="s">
        <v>4404</v>
      </c>
      <c r="E475" t="s">
        <v>4402</v>
      </c>
      <c r="F475" t="s">
        <v>4403</v>
      </c>
      <c r="G475" t="e">
        <f t="shared" si="23"/>
        <v>#VALUE!</v>
      </c>
      <c r="H475" t="str">
        <f t="shared" si="24"/>
        <v>https://radiowoking.radioca.st/wokinglow?</v>
      </c>
      <c r="I475" t="e">
        <f t="shared" si="25"/>
        <v>#VALUE!</v>
      </c>
    </row>
    <row r="476" spans="1:9" hidden="1" x14ac:dyDescent="0.55000000000000004">
      <c r="A476">
        <v>1326</v>
      </c>
      <c r="B476" t="s">
        <v>1053</v>
      </c>
      <c r="C476" t="s">
        <v>3093</v>
      </c>
      <c r="D476" t="s">
        <v>4405</v>
      </c>
      <c r="E476" t="s">
        <v>4402</v>
      </c>
      <c r="F476" t="s">
        <v>4403</v>
      </c>
      <c r="G476" t="e">
        <f t="shared" si="23"/>
        <v>#VALUE!</v>
      </c>
      <c r="H476" t="str">
        <f t="shared" si="24"/>
        <v>https://radiowoking.radioca.st/stream?</v>
      </c>
      <c r="I476" t="e">
        <f t="shared" si="25"/>
        <v>#VALUE!</v>
      </c>
    </row>
    <row r="477" spans="1:9" hidden="1" x14ac:dyDescent="0.55000000000000004">
      <c r="A477">
        <v>1326</v>
      </c>
      <c r="B477" t="s">
        <v>1053</v>
      </c>
      <c r="C477" t="s">
        <v>3093</v>
      </c>
      <c r="D477" t="s">
        <v>4406</v>
      </c>
      <c r="E477" t="s">
        <v>4402</v>
      </c>
      <c r="F477" t="s">
        <v>4403</v>
      </c>
      <c r="G477" t="e">
        <f t="shared" si="23"/>
        <v>#VALUE!</v>
      </c>
      <c r="H477" t="str">
        <f t="shared" si="24"/>
        <v>https://radiowoking.radioca.st/stream?</v>
      </c>
      <c r="I477" t="e">
        <f t="shared" si="25"/>
        <v>#VALUE!</v>
      </c>
    </row>
    <row r="478" spans="1:9" hidden="1" x14ac:dyDescent="0.55000000000000004">
      <c r="A478">
        <v>253</v>
      </c>
      <c r="B478" t="s">
        <v>1055</v>
      </c>
      <c r="C478" t="s">
        <v>3093</v>
      </c>
      <c r="D478" t="s">
        <v>4407</v>
      </c>
      <c r="E478" t="s">
        <v>4408</v>
      </c>
      <c r="F478" t="s">
        <v>4409</v>
      </c>
      <c r="G478" t="e">
        <f t="shared" si="23"/>
        <v>#VALUE!</v>
      </c>
      <c r="H478" t="str">
        <f t="shared" si="24"/>
        <v>https://media-ssl.musicradio.com/RadioXLondon?</v>
      </c>
      <c r="I478" t="e">
        <f t="shared" si="25"/>
        <v>#VALUE!</v>
      </c>
    </row>
    <row r="479" spans="1:9" hidden="1" x14ac:dyDescent="0.55000000000000004">
      <c r="A479">
        <v>254</v>
      </c>
      <c r="B479" t="s">
        <v>1057</v>
      </c>
      <c r="C479" t="s">
        <v>3093</v>
      </c>
      <c r="D479" t="s">
        <v>4410</v>
      </c>
      <c r="E479" t="s">
        <v>4411</v>
      </c>
      <c r="F479" t="s">
        <v>4412</v>
      </c>
      <c r="G479" t="e">
        <f t="shared" si="23"/>
        <v>#VALUE!</v>
      </c>
      <c r="H479" t="str">
        <f t="shared" si="24"/>
        <v>https://media-ssl.musicradio.com/RadioXManchester?</v>
      </c>
      <c r="I479" t="e">
        <f t="shared" si="25"/>
        <v>#VALUE!</v>
      </c>
    </row>
    <row r="480" spans="1:9" hidden="1" x14ac:dyDescent="0.55000000000000004">
      <c r="A480">
        <v>255</v>
      </c>
      <c r="B480" t="s">
        <v>1059</v>
      </c>
      <c r="C480" t="s">
        <v>3093</v>
      </c>
      <c r="D480" t="s">
        <v>4413</v>
      </c>
      <c r="E480" t="s">
        <v>4414</v>
      </c>
      <c r="F480" t="s">
        <v>4415</v>
      </c>
      <c r="G480" t="e">
        <f t="shared" si="23"/>
        <v>#VALUE!</v>
      </c>
      <c r="H480" t="str">
        <f t="shared" si="24"/>
        <v>https://media-ssl.musicradio.com/RadioXUK?</v>
      </c>
      <c r="I480" t="e">
        <f t="shared" si="25"/>
        <v>#VALUE!</v>
      </c>
    </row>
    <row r="481" spans="1:9" hidden="1" x14ac:dyDescent="0.55000000000000004">
      <c r="A481">
        <v>1259</v>
      </c>
      <c r="B481" t="s">
        <v>4416</v>
      </c>
      <c r="C481" t="s">
        <v>3093</v>
      </c>
      <c r="D481" t="s">
        <v>4417</v>
      </c>
      <c r="E481" t="s">
        <v>4418</v>
      </c>
      <c r="F481" t="s">
        <v>4419</v>
      </c>
      <c r="G481" t="e">
        <f t="shared" si="23"/>
        <v>#VALUE!</v>
      </c>
      <c r="H481" t="str">
        <f t="shared" si="24"/>
        <v>https://radio.canstream.co.uk:9043/live.mp3?</v>
      </c>
      <c r="I481" t="e">
        <f t="shared" si="25"/>
        <v>#VALUE!</v>
      </c>
    </row>
    <row r="482" spans="1:9" hidden="1" x14ac:dyDescent="0.55000000000000004">
      <c r="A482">
        <v>1485</v>
      </c>
      <c r="B482" t="s">
        <v>4420</v>
      </c>
      <c r="C482" t="s">
        <v>3093</v>
      </c>
      <c r="D482" t="s">
        <v>4421</v>
      </c>
      <c r="E482" t="s">
        <v>4422</v>
      </c>
      <c r="F482" t="s">
        <v>4423</v>
      </c>
      <c r="G482" t="e">
        <f t="shared" si="23"/>
        <v>#VALUE!</v>
      </c>
      <c r="H482" t="str">
        <f t="shared" si="24"/>
        <v>https://solid2.streamupsolutions.com/proxy/enkodckd?</v>
      </c>
      <c r="I482" t="e">
        <f t="shared" si="25"/>
        <v>#VALUE!</v>
      </c>
    </row>
    <row r="483" spans="1:9" hidden="1" x14ac:dyDescent="0.55000000000000004">
      <c r="A483">
        <v>1485</v>
      </c>
      <c r="B483" t="s">
        <v>4420</v>
      </c>
      <c r="C483" t="s">
        <v>3093</v>
      </c>
      <c r="D483" t="s">
        <v>4424</v>
      </c>
      <c r="E483" t="s">
        <v>4422</v>
      </c>
      <c r="F483" t="s">
        <v>4423</v>
      </c>
      <c r="G483" t="e">
        <f t="shared" si="23"/>
        <v>#VALUE!</v>
      </c>
      <c r="H483" t="str">
        <f t="shared" si="24"/>
        <v>https://solid2.streamupsolutions.com/proxy/enkodckd?</v>
      </c>
      <c r="I483" t="e">
        <f t="shared" si="25"/>
        <v>#VALUE!</v>
      </c>
    </row>
    <row r="484" spans="1:9" hidden="1" x14ac:dyDescent="0.55000000000000004">
      <c r="A484">
        <v>1400</v>
      </c>
      <c r="B484" t="s">
        <v>4425</v>
      </c>
      <c r="C484" t="s">
        <v>3093</v>
      </c>
      <c r="D484" t="s">
        <v>4426</v>
      </c>
      <c r="E484" t="s">
        <v>4427</v>
      </c>
      <c r="F484" t="s">
        <v>4428</v>
      </c>
      <c r="G484" t="e">
        <f t="shared" si="23"/>
        <v>#VALUE!</v>
      </c>
      <c r="H484" t="str">
        <f t="shared" si="24"/>
        <v>https://s45.myradiostream.com/13784/listen.mp3?</v>
      </c>
      <c r="I484" t="e">
        <f t="shared" si="25"/>
        <v>#VALUE!</v>
      </c>
    </row>
    <row r="485" spans="1:9" hidden="1" x14ac:dyDescent="0.55000000000000004">
      <c r="A485">
        <v>1530</v>
      </c>
      <c r="B485" t="s">
        <v>4429</v>
      </c>
      <c r="C485" t="s">
        <v>3093</v>
      </c>
      <c r="D485" t="s">
        <v>4430</v>
      </c>
      <c r="E485" t="s">
        <v>4431</v>
      </c>
      <c r="F485" t="s">
        <v>4432</v>
      </c>
      <c r="G485" t="e">
        <f t="shared" si="23"/>
        <v>#VALUE!</v>
      </c>
      <c r="H485" t="str">
        <f t="shared" si="24"/>
        <v>http://stream.radiojar.com/m47fp4p5n0quv?</v>
      </c>
      <c r="I485" t="e">
        <f t="shared" si="25"/>
        <v>#VALUE!</v>
      </c>
    </row>
    <row r="486" spans="1:9" hidden="1" x14ac:dyDescent="0.55000000000000004">
      <c r="A486">
        <v>1530</v>
      </c>
      <c r="B486" t="s">
        <v>4429</v>
      </c>
      <c r="C486" t="s">
        <v>3093</v>
      </c>
      <c r="D486" t="s">
        <v>4433</v>
      </c>
      <c r="E486" t="s">
        <v>4431</v>
      </c>
      <c r="F486" t="s">
        <v>4432</v>
      </c>
      <c r="G486" t="e">
        <f t="shared" si="23"/>
        <v>#VALUE!</v>
      </c>
      <c r="H486" t="str">
        <f t="shared" si="24"/>
        <v>http://stream.radiojar.com/m47fp4p5n0quv?</v>
      </c>
      <c r="I486" t="e">
        <f t="shared" si="25"/>
        <v>#VALUE!</v>
      </c>
    </row>
    <row r="487" spans="1:9" hidden="1" x14ac:dyDescent="0.55000000000000004">
      <c r="A487">
        <v>1488</v>
      </c>
      <c r="B487" t="s">
        <v>1069</v>
      </c>
      <c r="C487" t="s">
        <v>3093</v>
      </c>
      <c r="D487" t="s">
        <v>4434</v>
      </c>
      <c r="E487" t="s">
        <v>4435</v>
      </c>
      <c r="F487" t="s">
        <v>4436</v>
      </c>
      <c r="G487" t="e">
        <f t="shared" si="23"/>
        <v>#VALUE!</v>
      </c>
      <c r="H487" t="str">
        <f t="shared" si="24"/>
        <v>https://stream.releaseradio.net/stream?</v>
      </c>
      <c r="I487" t="e">
        <f t="shared" si="25"/>
        <v>#VALUE!</v>
      </c>
    </row>
    <row r="488" spans="1:9" hidden="1" x14ac:dyDescent="0.55000000000000004">
      <c r="A488">
        <v>1488</v>
      </c>
      <c r="B488" t="s">
        <v>1069</v>
      </c>
      <c r="C488" t="s">
        <v>3093</v>
      </c>
      <c r="D488" t="s">
        <v>4437</v>
      </c>
      <c r="E488" t="s">
        <v>4435</v>
      </c>
      <c r="F488" t="s">
        <v>4436</v>
      </c>
      <c r="G488" t="e">
        <f t="shared" si="23"/>
        <v>#VALUE!</v>
      </c>
      <c r="H488" t="str">
        <f t="shared" si="24"/>
        <v>https://stream.releaseradio.net/stream2?</v>
      </c>
      <c r="I488" t="e">
        <f t="shared" si="25"/>
        <v>#VALUE!</v>
      </c>
    </row>
    <row r="489" spans="1:9" hidden="1" x14ac:dyDescent="0.55000000000000004">
      <c r="A489">
        <v>1488</v>
      </c>
      <c r="B489" t="s">
        <v>1069</v>
      </c>
      <c r="C489" t="s">
        <v>3093</v>
      </c>
      <c r="D489" t="s">
        <v>4438</v>
      </c>
      <c r="E489" t="s">
        <v>4435</v>
      </c>
      <c r="F489" t="s">
        <v>4436</v>
      </c>
      <c r="G489" t="e">
        <f t="shared" si="23"/>
        <v>#VALUE!</v>
      </c>
      <c r="H489" t="str">
        <f t="shared" si="24"/>
        <v>https://stream.releaseradio.net/stream?</v>
      </c>
      <c r="I489" t="e">
        <f t="shared" si="25"/>
        <v>#VALUE!</v>
      </c>
    </row>
    <row r="490" spans="1:9" hidden="1" x14ac:dyDescent="0.55000000000000004">
      <c r="A490">
        <v>1247</v>
      </c>
      <c r="B490" t="s">
        <v>4439</v>
      </c>
      <c r="C490" t="s">
        <v>3093</v>
      </c>
      <c r="D490" t="s">
        <v>4440</v>
      </c>
      <c r="E490" t="s">
        <v>4441</v>
      </c>
      <c r="F490" t="s">
        <v>4442</v>
      </c>
      <c r="G490" t="e">
        <f t="shared" si="23"/>
        <v>#VALUE!</v>
      </c>
      <c r="H490" t="str">
        <f t="shared" si="24"/>
        <v>http://radio.canstream.co.uk:8022/live.mp3?</v>
      </c>
      <c r="I490" t="e">
        <f t="shared" si="25"/>
        <v>#VALUE!</v>
      </c>
    </row>
    <row r="491" spans="1:9" hidden="1" x14ac:dyDescent="0.55000000000000004">
      <c r="A491">
        <v>1247</v>
      </c>
      <c r="B491" t="s">
        <v>4439</v>
      </c>
      <c r="C491" t="s">
        <v>3093</v>
      </c>
      <c r="D491" t="s">
        <v>4443</v>
      </c>
      <c r="E491" t="s">
        <v>4441</v>
      </c>
      <c r="F491" t="s">
        <v>4442</v>
      </c>
      <c r="G491" t="e">
        <f t="shared" si="23"/>
        <v>#VALUE!</v>
      </c>
      <c r="H491" t="str">
        <f t="shared" si="24"/>
        <v>http://radio.canstream.co.uk:8022/live.mp3?</v>
      </c>
      <c r="I491" t="e">
        <f t="shared" si="25"/>
        <v>#VALUE!</v>
      </c>
    </row>
    <row r="492" spans="1:9" hidden="1" x14ac:dyDescent="0.55000000000000004">
      <c r="A492">
        <v>1114</v>
      </c>
      <c r="B492" t="s">
        <v>4444</v>
      </c>
      <c r="C492" t="s">
        <v>3093</v>
      </c>
      <c r="D492" t="s">
        <v>4445</v>
      </c>
      <c r="E492" t="s">
        <v>4446</v>
      </c>
      <c r="F492" t="s">
        <v>4447</v>
      </c>
      <c r="G492" t="e">
        <f t="shared" si="23"/>
        <v>#VALUE!</v>
      </c>
      <c r="H492" t="str">
        <f t="shared" si="24"/>
        <v>https://stream.resonance.fm/resonance?</v>
      </c>
      <c r="I492" t="e">
        <f t="shared" si="25"/>
        <v>#VALUE!</v>
      </c>
    </row>
    <row r="493" spans="1:9" hidden="1" x14ac:dyDescent="0.55000000000000004">
      <c r="A493">
        <v>1114</v>
      </c>
      <c r="B493" t="s">
        <v>4444</v>
      </c>
      <c r="C493" t="s">
        <v>3093</v>
      </c>
      <c r="D493" t="s">
        <v>4448</v>
      </c>
      <c r="E493" t="s">
        <v>4446</v>
      </c>
      <c r="F493" t="s">
        <v>4447</v>
      </c>
      <c r="G493" t="e">
        <f t="shared" si="23"/>
        <v>#VALUE!</v>
      </c>
      <c r="H493" t="str">
        <f t="shared" si="24"/>
        <v>https://stream.resonance.fm/resonance-backup?</v>
      </c>
      <c r="I493" t="e">
        <f t="shared" si="25"/>
        <v>#VALUE!</v>
      </c>
    </row>
    <row r="494" spans="1:9" hidden="1" x14ac:dyDescent="0.55000000000000004">
      <c r="A494">
        <v>1333</v>
      </c>
      <c r="B494" t="s">
        <v>1071</v>
      </c>
      <c r="C494" t="s">
        <v>3093</v>
      </c>
      <c r="D494" t="s">
        <v>4449</v>
      </c>
      <c r="E494" t="s">
        <v>4450</v>
      </c>
      <c r="F494" t="s">
        <v>4451</v>
      </c>
      <c r="G494" t="e">
        <f t="shared" si="23"/>
        <v>#VALUE!</v>
      </c>
      <c r="H494" t="str">
        <f t="shared" si="24"/>
        <v>https://stream.resonance.fm/resonance-extra?</v>
      </c>
      <c r="I494" t="e">
        <f t="shared" si="25"/>
        <v>#VALUE!</v>
      </c>
    </row>
    <row r="495" spans="1:9" hidden="1" x14ac:dyDescent="0.55000000000000004">
      <c r="A495">
        <v>1333</v>
      </c>
      <c r="B495" t="s">
        <v>1071</v>
      </c>
      <c r="C495" t="s">
        <v>3093</v>
      </c>
      <c r="D495" t="s">
        <v>4452</v>
      </c>
      <c r="E495" t="s">
        <v>4450</v>
      </c>
      <c r="F495" t="s">
        <v>4451</v>
      </c>
      <c r="G495" t="e">
        <f t="shared" si="23"/>
        <v>#VALUE!</v>
      </c>
      <c r="H495" t="str">
        <f t="shared" si="24"/>
        <v>https://stream.resonance.fm/resonance-extra-backup?</v>
      </c>
      <c r="I495" t="e">
        <f t="shared" si="25"/>
        <v>#VALUE!</v>
      </c>
    </row>
    <row r="496" spans="1:9" hidden="1" x14ac:dyDescent="0.55000000000000004">
      <c r="A496">
        <v>1330</v>
      </c>
      <c r="B496" t="s">
        <v>4453</v>
      </c>
      <c r="C496" t="s">
        <v>3093</v>
      </c>
      <c r="D496" t="s">
        <v>4454</v>
      </c>
      <c r="E496" t="s">
        <v>4455</v>
      </c>
      <c r="F496" t="s">
        <v>4456</v>
      </c>
      <c r="G496" t="e">
        <f t="shared" si="23"/>
        <v>#VALUE!</v>
      </c>
      <c r="H496" t="str">
        <f t="shared" si="24"/>
        <v>http://radio.canstream.co.uk:8097/live.aac?</v>
      </c>
      <c r="I496" t="e">
        <f t="shared" si="25"/>
        <v>#VALUE!</v>
      </c>
    </row>
    <row r="497" spans="1:9" hidden="1" x14ac:dyDescent="0.55000000000000004">
      <c r="A497">
        <v>1511</v>
      </c>
      <c r="B497" t="s">
        <v>1622</v>
      </c>
      <c r="C497" t="s">
        <v>3093</v>
      </c>
      <c r="D497" t="s">
        <v>4457</v>
      </c>
      <c r="E497" t="s">
        <v>4458</v>
      </c>
      <c r="F497" t="s">
        <v>4459</v>
      </c>
      <c r="G497" t="e">
        <f t="shared" si="23"/>
        <v>#VALUE!</v>
      </c>
      <c r="H497" t="str">
        <f t="shared" si="24"/>
        <v>https://revolution.radioca.st/stream.mp3?</v>
      </c>
      <c r="I497" t="e">
        <f t="shared" si="25"/>
        <v>#VALUE!</v>
      </c>
    </row>
    <row r="498" spans="1:9" hidden="1" x14ac:dyDescent="0.55000000000000004">
      <c r="A498">
        <v>1200</v>
      </c>
      <c r="B498" t="s">
        <v>1686</v>
      </c>
      <c r="C498" t="s">
        <v>3093</v>
      </c>
      <c r="D498" t="s">
        <v>4460</v>
      </c>
      <c r="E498" t="s">
        <v>4461</v>
      </c>
      <c r="F498" t="s">
        <v>4462</v>
      </c>
      <c r="G498" t="e">
        <f t="shared" si="23"/>
        <v>#VALUE!</v>
      </c>
      <c r="H498" t="str">
        <f t="shared" si="24"/>
        <v>https://stream.rcs.revma.com/yv4znr4xcg0uv?</v>
      </c>
      <c r="I498" t="e">
        <f t="shared" si="25"/>
        <v>#VALUE!</v>
      </c>
    </row>
    <row r="499" spans="1:9" hidden="1" x14ac:dyDescent="0.55000000000000004">
      <c r="A499">
        <v>584</v>
      </c>
      <c r="B499" t="s">
        <v>1082</v>
      </c>
      <c r="C499" t="s">
        <v>3093</v>
      </c>
      <c r="D499" t="s">
        <v>4463</v>
      </c>
      <c r="E499" t="s">
        <v>4464</v>
      </c>
      <c r="F499" t="s">
        <v>4465</v>
      </c>
      <c r="G499" t="str">
        <f t="shared" si="23"/>
        <v>1667146864</v>
      </c>
      <c r="H499" t="str">
        <f t="shared" si="24"/>
        <v>https://stream-mz.planetradio.co.uk/rock.aac?</v>
      </c>
      <c r="I499" t="str">
        <f t="shared" si="25"/>
        <v>https://stream-mz.planetradio.co.uk/rock.aac?aw_0_1st.skey=1667146864&amp;aw_0_1st.playerid=BMUK_ukrp</v>
      </c>
    </row>
    <row r="500" spans="1:9" hidden="1" x14ac:dyDescent="0.55000000000000004">
      <c r="A500">
        <v>1560</v>
      </c>
      <c r="B500" t="s">
        <v>4466</v>
      </c>
      <c r="C500" t="s">
        <v>3093</v>
      </c>
      <c r="D500" t="s">
        <v>4467</v>
      </c>
      <c r="E500" t="s">
        <v>4468</v>
      </c>
      <c r="F500" t="s">
        <v>4469</v>
      </c>
      <c r="G500" t="e">
        <f t="shared" si="23"/>
        <v>#VALUE!</v>
      </c>
      <c r="H500" t="str">
        <f t="shared" si="24"/>
        <v>https://playoutonestreaming.com/proxy/ross?</v>
      </c>
      <c r="I500" t="e">
        <f t="shared" si="25"/>
        <v>#VALUE!</v>
      </c>
    </row>
    <row r="501" spans="1:9" hidden="1" x14ac:dyDescent="0.55000000000000004">
      <c r="A501">
        <v>1560</v>
      </c>
      <c r="B501" t="s">
        <v>4466</v>
      </c>
      <c r="C501" t="s">
        <v>3093</v>
      </c>
      <c r="D501" t="s">
        <v>4470</v>
      </c>
      <c r="E501" t="s">
        <v>4468</v>
      </c>
      <c r="F501" t="s">
        <v>4469</v>
      </c>
      <c r="G501" t="e">
        <f t="shared" si="23"/>
        <v>#VALUE!</v>
      </c>
      <c r="H501" t="str">
        <f t="shared" si="24"/>
        <v>https://playoutonestreaming.com/proxy/ross?</v>
      </c>
      <c r="I501" t="e">
        <f t="shared" si="25"/>
        <v>#VALUE!</v>
      </c>
    </row>
    <row r="502" spans="1:9" hidden="1" x14ac:dyDescent="0.55000000000000004">
      <c r="A502">
        <v>1550</v>
      </c>
      <c r="B502" t="s">
        <v>1096</v>
      </c>
      <c r="C502" t="s">
        <v>3093</v>
      </c>
      <c r="D502" t="s">
        <v>4471</v>
      </c>
      <c r="E502" t="s">
        <v>4472</v>
      </c>
      <c r="F502" t="s">
        <v>4473</v>
      </c>
      <c r="G502" t="e">
        <f t="shared" si="23"/>
        <v>#VALUE!</v>
      </c>
      <c r="H502" t="str">
        <f t="shared" si="24"/>
        <v>https://s2.xrad.io:9410/stream?</v>
      </c>
      <c r="I502" t="e">
        <f t="shared" si="25"/>
        <v>#VALUE!</v>
      </c>
    </row>
    <row r="503" spans="1:9" hidden="1" x14ac:dyDescent="0.55000000000000004">
      <c r="A503">
        <v>526</v>
      </c>
      <c r="B503" t="s">
        <v>1104</v>
      </c>
      <c r="C503" t="s">
        <v>3093</v>
      </c>
      <c r="D503" t="s">
        <v>4474</v>
      </c>
      <c r="E503" t="s">
        <v>4475</v>
      </c>
      <c r="F503" t="s">
        <v>4476</v>
      </c>
      <c r="G503" t="str">
        <f t="shared" si="23"/>
        <v>1667146870</v>
      </c>
      <c r="H503" t="str">
        <f t="shared" si="24"/>
        <v>https://stream-mz.planetradio.co.uk/scalahigh.aac?</v>
      </c>
      <c r="I503" t="str">
        <f t="shared" si="25"/>
        <v>https://stream-mz.planetradio.co.uk/scalahigh.aac?aw_0_1st.skey=1667146870&amp;aw_0_1st.playerid=BMUK_ukrp</v>
      </c>
    </row>
    <row r="504" spans="1:9" hidden="1" x14ac:dyDescent="0.55000000000000004">
      <c r="A504">
        <v>1229</v>
      </c>
      <c r="B504" t="s">
        <v>4477</v>
      </c>
      <c r="C504" t="s">
        <v>3093</v>
      </c>
      <c r="D504" t="s">
        <v>4478</v>
      </c>
      <c r="E504" t="s">
        <v>4479</v>
      </c>
      <c r="F504" t="s">
        <v>4480</v>
      </c>
      <c r="G504" t="e">
        <f t="shared" si="23"/>
        <v>#VALUE!</v>
      </c>
      <c r="H504" t="str">
        <f t="shared" si="24"/>
        <v>https://streaming.scoutradio.org.uk/radioplayerweb?</v>
      </c>
      <c r="I504" t="e">
        <f t="shared" si="25"/>
        <v>#VALUE!</v>
      </c>
    </row>
    <row r="505" spans="1:9" hidden="1" x14ac:dyDescent="0.55000000000000004">
      <c r="A505">
        <v>1229</v>
      </c>
      <c r="B505" t="s">
        <v>4477</v>
      </c>
      <c r="C505" t="s">
        <v>3093</v>
      </c>
      <c r="D505" t="s">
        <v>4481</v>
      </c>
      <c r="E505" t="s">
        <v>4479</v>
      </c>
      <c r="F505" t="s">
        <v>4480</v>
      </c>
      <c r="G505" t="e">
        <f t="shared" si="23"/>
        <v>#VALUE!</v>
      </c>
      <c r="H505" t="str">
        <f t="shared" si="24"/>
        <v>https://streaming.scoutradio.org.uk/scoutradio-mp3-128?</v>
      </c>
      <c r="I505" t="e">
        <f t="shared" si="25"/>
        <v>#VALUE!</v>
      </c>
    </row>
    <row r="506" spans="1:9" hidden="1" x14ac:dyDescent="0.55000000000000004">
      <c r="A506">
        <v>1092</v>
      </c>
      <c r="B506" t="s">
        <v>4482</v>
      </c>
      <c r="C506" t="s">
        <v>3093</v>
      </c>
      <c r="D506" t="s">
        <v>4483</v>
      </c>
      <c r="E506" t="s">
        <v>4484</v>
      </c>
      <c r="F506" t="s">
        <v>4485</v>
      </c>
      <c r="G506" t="e">
        <f t="shared" si="23"/>
        <v>#VALUE!</v>
      </c>
      <c r="H506" t="str">
        <f t="shared" si="24"/>
        <v>https://radio.canstream.co.uk:9027/live.mp3?</v>
      </c>
      <c r="I506" t="e">
        <f t="shared" si="25"/>
        <v>#VALUE!</v>
      </c>
    </row>
    <row r="507" spans="1:9" hidden="1" x14ac:dyDescent="0.55000000000000004">
      <c r="A507">
        <v>1092</v>
      </c>
      <c r="B507" t="s">
        <v>4482</v>
      </c>
      <c r="C507" t="s">
        <v>3093</v>
      </c>
      <c r="D507" t="s">
        <v>4486</v>
      </c>
      <c r="E507" t="s">
        <v>4484</v>
      </c>
      <c r="F507" t="s">
        <v>4485</v>
      </c>
      <c r="G507" t="e">
        <f t="shared" si="23"/>
        <v>#VALUE!</v>
      </c>
      <c r="H507" t="str">
        <f t="shared" si="24"/>
        <v>https://stream4.hippynet.co.uk:8002/stream?</v>
      </c>
      <c r="I507" t="e">
        <f t="shared" si="25"/>
        <v>#VALUE!</v>
      </c>
    </row>
    <row r="508" spans="1:9" hidden="1" x14ac:dyDescent="0.55000000000000004">
      <c r="A508">
        <v>1092</v>
      </c>
      <c r="B508" t="s">
        <v>4482</v>
      </c>
      <c r="C508" t="s">
        <v>3093</v>
      </c>
      <c r="D508" t="s">
        <v>4487</v>
      </c>
      <c r="E508" t="s">
        <v>4484</v>
      </c>
      <c r="F508" t="s">
        <v>4485</v>
      </c>
      <c r="G508" t="e">
        <f t="shared" si="23"/>
        <v>#VALUE!</v>
      </c>
      <c r="H508" t="str">
        <f t="shared" si="24"/>
        <v>https://stream4.hippynet.co.uk:8002/stream?</v>
      </c>
      <c r="I508" t="e">
        <f t="shared" si="25"/>
        <v>#VALUE!</v>
      </c>
    </row>
    <row r="509" spans="1:9" hidden="1" x14ac:dyDescent="0.55000000000000004">
      <c r="A509">
        <v>1406</v>
      </c>
      <c r="B509" t="s">
        <v>4488</v>
      </c>
      <c r="C509" t="s">
        <v>3093</v>
      </c>
      <c r="D509" t="s">
        <v>4489</v>
      </c>
      <c r="E509" t="s">
        <v>4490</v>
      </c>
      <c r="F509" t="s">
        <v>4491</v>
      </c>
      <c r="G509" t="e">
        <f t="shared" si="23"/>
        <v>#VALUE!</v>
      </c>
      <c r="H509" t="str">
        <f t="shared" si="24"/>
        <v>http://31.25.191.64:8016/;stream.mp3?</v>
      </c>
      <c r="I509" t="e">
        <f t="shared" si="25"/>
        <v>#VALUE!</v>
      </c>
    </row>
    <row r="510" spans="1:9" hidden="1" x14ac:dyDescent="0.55000000000000004">
      <c r="A510">
        <v>1236</v>
      </c>
      <c r="B510" t="s">
        <v>4492</v>
      </c>
      <c r="C510" t="s">
        <v>3093</v>
      </c>
      <c r="D510" t="s">
        <v>4493</v>
      </c>
      <c r="E510" t="s">
        <v>4494</v>
      </c>
      <c r="F510" t="s">
        <v>4495</v>
      </c>
      <c r="G510" t="e">
        <f t="shared" si="23"/>
        <v>#VALUE!</v>
      </c>
      <c r="H510" t="str">
        <f t="shared" si="24"/>
        <v>https://streaming02.zfast.co.uk/proxy/sittingb?</v>
      </c>
      <c r="I510" t="e">
        <f t="shared" si="25"/>
        <v>#VALUE!</v>
      </c>
    </row>
    <row r="511" spans="1:9" hidden="1" x14ac:dyDescent="0.55000000000000004">
      <c r="A511">
        <v>1236</v>
      </c>
      <c r="B511" t="s">
        <v>4492</v>
      </c>
      <c r="C511" t="s">
        <v>3093</v>
      </c>
      <c r="D511" t="s">
        <v>4496</v>
      </c>
      <c r="E511" t="s">
        <v>4494</v>
      </c>
      <c r="F511" t="s">
        <v>4495</v>
      </c>
      <c r="G511" t="e">
        <f t="shared" si="23"/>
        <v>#VALUE!</v>
      </c>
      <c r="H511" t="str">
        <f t="shared" si="24"/>
        <v>https://streaming02.zfast.co.uk/proxy/sittingb?</v>
      </c>
      <c r="I511" t="e">
        <f t="shared" si="25"/>
        <v>#VALUE!</v>
      </c>
    </row>
    <row r="512" spans="1:9" hidden="1" x14ac:dyDescent="0.55000000000000004">
      <c r="A512">
        <v>509</v>
      </c>
      <c r="B512" t="s">
        <v>1113</v>
      </c>
      <c r="C512" t="s">
        <v>3093</v>
      </c>
      <c r="D512" t="s">
        <v>4497</v>
      </c>
      <c r="E512" t="s">
        <v>4498</v>
      </c>
      <c r="F512" t="s">
        <v>4499</v>
      </c>
      <c r="G512" t="str">
        <f t="shared" si="23"/>
        <v>1667146878</v>
      </c>
      <c r="H512" t="str">
        <f t="shared" si="24"/>
        <v>https://stream-mz.planetradio.co.uk/net1stoke.aac?</v>
      </c>
      <c r="I512" t="str">
        <f t="shared" si="25"/>
        <v>https://stream-mz.planetradio.co.uk/net1stoke.aac?aw_0_1st.skey=1667146878&amp;aw_0_1st.playerid=BMUK_ukrp</v>
      </c>
    </row>
    <row r="513" spans="1:9" hidden="1" x14ac:dyDescent="0.55000000000000004">
      <c r="A513">
        <v>420</v>
      </c>
      <c r="B513" t="s">
        <v>4500</v>
      </c>
      <c r="C513" t="s">
        <v>3093</v>
      </c>
      <c r="D513" t="s">
        <v>4501</v>
      </c>
      <c r="E513" t="s">
        <v>4502</v>
      </c>
      <c r="F513" t="s">
        <v>4503</v>
      </c>
      <c r="G513" t="e">
        <f t="shared" si="23"/>
        <v>#VALUE!</v>
      </c>
      <c r="H513" t="str">
        <f t="shared" si="24"/>
        <v>https://media-ssl.musicradio.com/SmoothBerkshire?</v>
      </c>
      <c r="I513" t="e">
        <f t="shared" si="25"/>
        <v>#VALUE!</v>
      </c>
    </row>
    <row r="514" spans="1:9" hidden="1" x14ac:dyDescent="0.55000000000000004">
      <c r="A514">
        <v>421</v>
      </c>
      <c r="B514" t="s">
        <v>4504</v>
      </c>
      <c r="C514" t="s">
        <v>3093</v>
      </c>
      <c r="D514" t="s">
        <v>4505</v>
      </c>
      <c r="E514" t="s">
        <v>4506</v>
      </c>
      <c r="F514" t="s">
        <v>4507</v>
      </c>
      <c r="G514" t="e">
        <f t="shared" si="23"/>
        <v>#VALUE!</v>
      </c>
      <c r="H514" t="str">
        <f t="shared" si="24"/>
        <v>https://media-ssl.musicradio.com/SmoothBristol?</v>
      </c>
      <c r="I514" t="e">
        <f t="shared" si="25"/>
        <v>#VALUE!</v>
      </c>
    </row>
    <row r="515" spans="1:9" hidden="1" x14ac:dyDescent="0.55000000000000004">
      <c r="A515">
        <v>439</v>
      </c>
      <c r="B515" t="s">
        <v>1122</v>
      </c>
      <c r="C515" t="s">
        <v>3093</v>
      </c>
      <c r="D515" t="s">
        <v>4508</v>
      </c>
      <c r="E515" t="s">
        <v>4509</v>
      </c>
      <c r="F515" t="s">
        <v>4510</v>
      </c>
      <c r="G515" t="e">
        <f t="shared" ref="G515:G578" si="26">MID(D515,
FIND("1st.skey=",D515,1)+9,10)</f>
        <v>#VALUE!</v>
      </c>
      <c r="H515" t="str">
        <f t="shared" ref="H515:H578" si="27">LEFT(D515,
FIND("?",D515,1))</f>
        <v>https://media-ssl.musicradio.com/SmoothChill?</v>
      </c>
      <c r="I515" t="e">
        <f t="shared" ref="I515:I578" si="28">H515&amp;"aw_0_1st.skey="&amp;G515&amp;"&amp;aw_0_1st.playerid=BMUK_ukrp"</f>
        <v>#VALUE!</v>
      </c>
    </row>
    <row r="516" spans="1:9" hidden="1" x14ac:dyDescent="0.55000000000000004">
      <c r="A516">
        <v>438</v>
      </c>
      <c r="B516" t="s">
        <v>1125</v>
      </c>
      <c r="C516" t="s">
        <v>3093</v>
      </c>
      <c r="D516" t="s">
        <v>4511</v>
      </c>
      <c r="E516" t="s">
        <v>4512</v>
      </c>
      <c r="F516" t="s">
        <v>4513</v>
      </c>
      <c r="G516" t="e">
        <f t="shared" si="26"/>
        <v>#VALUE!</v>
      </c>
      <c r="H516" t="str">
        <f t="shared" si="27"/>
        <v>https://media-ssl.musicradio.com/SmoothCountry?</v>
      </c>
      <c r="I516" t="e">
        <f t="shared" si="28"/>
        <v>#VALUE!</v>
      </c>
    </row>
    <row r="517" spans="1:9" hidden="1" x14ac:dyDescent="0.55000000000000004">
      <c r="A517">
        <v>442</v>
      </c>
      <c r="B517" t="s">
        <v>4514</v>
      </c>
      <c r="C517" t="s">
        <v>3093</v>
      </c>
      <c r="D517" t="s">
        <v>4515</v>
      </c>
      <c r="E517" t="s">
        <v>4516</v>
      </c>
      <c r="F517" t="s">
        <v>4517</v>
      </c>
      <c r="G517" t="e">
        <f t="shared" si="26"/>
        <v>#VALUE!</v>
      </c>
      <c r="H517" t="str">
        <f t="shared" si="27"/>
        <v>https://media-ssl.musicradio.com/SmoothDerby?</v>
      </c>
      <c r="I517" t="e">
        <f t="shared" si="28"/>
        <v>#VALUE!</v>
      </c>
    </row>
    <row r="518" spans="1:9" hidden="1" x14ac:dyDescent="0.55000000000000004">
      <c r="A518">
        <v>408</v>
      </c>
      <c r="B518" t="s">
        <v>4518</v>
      </c>
      <c r="C518" t="s">
        <v>3093</v>
      </c>
      <c r="D518" t="s">
        <v>4519</v>
      </c>
      <c r="E518" t="s">
        <v>4520</v>
      </c>
      <c r="F518" t="s">
        <v>4521</v>
      </c>
      <c r="G518" t="e">
        <f t="shared" si="26"/>
        <v>#VALUE!</v>
      </c>
      <c r="H518" t="str">
        <f t="shared" si="27"/>
        <v>https://media-ssl.musicradio.com/SmoothEastMids?</v>
      </c>
      <c r="I518" t="e">
        <f t="shared" si="28"/>
        <v>#VALUE!</v>
      </c>
    </row>
    <row r="519" spans="1:9" hidden="1" x14ac:dyDescent="0.55000000000000004">
      <c r="A519">
        <v>423</v>
      </c>
      <c r="B519" t="s">
        <v>4522</v>
      </c>
      <c r="C519" t="s">
        <v>3093</v>
      </c>
      <c r="D519" t="s">
        <v>4523</v>
      </c>
      <c r="E519" t="s">
        <v>4524</v>
      </c>
      <c r="F519" t="s">
        <v>4525</v>
      </c>
      <c r="G519" t="e">
        <f t="shared" si="26"/>
        <v>#VALUE!</v>
      </c>
      <c r="H519" t="str">
        <f t="shared" si="27"/>
        <v>https://media-ssl.musicradio.com/SmoothEssex?</v>
      </c>
      <c r="I519" t="e">
        <f t="shared" si="28"/>
        <v>#VALUE!</v>
      </c>
    </row>
    <row r="520" spans="1:9" hidden="1" x14ac:dyDescent="0.55000000000000004">
      <c r="A520">
        <v>424</v>
      </c>
      <c r="B520" t="s">
        <v>4526</v>
      </c>
      <c r="C520" t="s">
        <v>3093</v>
      </c>
      <c r="D520" t="s">
        <v>4527</v>
      </c>
      <c r="E520" t="s">
        <v>4528</v>
      </c>
      <c r="F520" t="s">
        <v>4529</v>
      </c>
      <c r="G520" t="e">
        <f t="shared" si="26"/>
        <v>#VALUE!</v>
      </c>
      <c r="H520" t="str">
        <f t="shared" si="27"/>
        <v>https://media-ssl.musicradio.com/SmoothGloucester?</v>
      </c>
      <c r="I520" t="e">
        <f t="shared" si="28"/>
        <v>#VALUE!</v>
      </c>
    </row>
    <row r="521" spans="1:9" hidden="1" x14ac:dyDescent="0.55000000000000004">
      <c r="A521">
        <v>425</v>
      </c>
      <c r="B521" t="s">
        <v>4530</v>
      </c>
      <c r="C521" t="s">
        <v>3093</v>
      </c>
      <c r="D521" t="s">
        <v>4531</v>
      </c>
      <c r="E521" t="s">
        <v>4532</v>
      </c>
      <c r="F521" t="s">
        <v>4533</v>
      </c>
      <c r="G521" t="e">
        <f t="shared" si="26"/>
        <v>#VALUE!</v>
      </c>
      <c r="H521" t="str">
        <f t="shared" si="27"/>
        <v>https://media-ssl.musicradio.com/SmoothHampshire?</v>
      </c>
      <c r="I521" t="e">
        <f t="shared" si="28"/>
        <v>#VALUE!</v>
      </c>
    </row>
    <row r="522" spans="1:9" hidden="1" x14ac:dyDescent="0.55000000000000004">
      <c r="A522">
        <v>426</v>
      </c>
      <c r="B522" t="s">
        <v>4534</v>
      </c>
      <c r="C522" t="s">
        <v>3093</v>
      </c>
      <c r="D522" t="s">
        <v>4535</v>
      </c>
      <c r="E522" t="s">
        <v>4536</v>
      </c>
      <c r="F522" t="s">
        <v>4537</v>
      </c>
      <c r="G522" t="e">
        <f t="shared" si="26"/>
        <v>#VALUE!</v>
      </c>
      <c r="H522" t="str">
        <f t="shared" si="27"/>
        <v>https://media-ssl.musicradio.com/SmoothHerts?</v>
      </c>
      <c r="I522" t="e">
        <f t="shared" si="28"/>
        <v>#VALUE!</v>
      </c>
    </row>
    <row r="523" spans="1:9" hidden="1" x14ac:dyDescent="0.55000000000000004">
      <c r="A523">
        <v>427</v>
      </c>
      <c r="B523" t="s">
        <v>4538</v>
      </c>
      <c r="C523" t="s">
        <v>3093</v>
      </c>
      <c r="D523" t="s">
        <v>4539</v>
      </c>
      <c r="E523" t="s">
        <v>4540</v>
      </c>
      <c r="F523" t="s">
        <v>4541</v>
      </c>
      <c r="G523" t="e">
        <f t="shared" si="26"/>
        <v>#VALUE!</v>
      </c>
      <c r="H523" t="str">
        <f t="shared" si="27"/>
        <v>https://media-ssl.musicradio.com/SmoothKent?</v>
      </c>
      <c r="I523" t="e">
        <f t="shared" si="28"/>
        <v>#VALUE!</v>
      </c>
    </row>
    <row r="524" spans="1:9" hidden="1" x14ac:dyDescent="0.55000000000000004">
      <c r="A524">
        <v>406</v>
      </c>
      <c r="B524" t="s">
        <v>4542</v>
      </c>
      <c r="C524" t="s">
        <v>3093</v>
      </c>
      <c r="D524" t="s">
        <v>4543</v>
      </c>
      <c r="E524" t="s">
        <v>4544</v>
      </c>
      <c r="F524" t="s">
        <v>4545</v>
      </c>
      <c r="G524" t="e">
        <f t="shared" si="26"/>
        <v>#VALUE!</v>
      </c>
      <c r="H524" t="str">
        <f t="shared" si="27"/>
        <v>https://media-ssl.musicradio.com/SmoothLondon?</v>
      </c>
      <c r="I524" t="e">
        <f t="shared" si="28"/>
        <v>#VALUE!</v>
      </c>
    </row>
    <row r="525" spans="1:9" hidden="1" x14ac:dyDescent="0.55000000000000004">
      <c r="A525">
        <v>428</v>
      </c>
      <c r="B525" t="s">
        <v>4546</v>
      </c>
      <c r="C525" t="s">
        <v>3093</v>
      </c>
      <c r="D525" t="s">
        <v>4547</v>
      </c>
      <c r="E525" t="s">
        <v>4548</v>
      </c>
      <c r="F525" t="s">
        <v>4549</v>
      </c>
      <c r="G525" t="e">
        <f t="shared" si="26"/>
        <v>#VALUE!</v>
      </c>
      <c r="H525" t="str">
        <f t="shared" si="27"/>
        <v>https://media-ssl.musicradio.com/SmoothNorfolk?</v>
      </c>
      <c r="I525" t="e">
        <f t="shared" si="28"/>
        <v>#VALUE!</v>
      </c>
    </row>
    <row r="526" spans="1:9" hidden="1" x14ac:dyDescent="0.55000000000000004">
      <c r="A526">
        <v>440</v>
      </c>
      <c r="B526" t="s">
        <v>4550</v>
      </c>
      <c r="C526" t="s">
        <v>3093</v>
      </c>
      <c r="D526" t="s">
        <v>4551</v>
      </c>
      <c r="E526" t="s">
        <v>4552</v>
      </c>
      <c r="F526" t="s">
        <v>4553</v>
      </c>
      <c r="G526" t="e">
        <f t="shared" si="26"/>
        <v>#VALUE!</v>
      </c>
      <c r="H526" t="str">
        <f t="shared" si="27"/>
        <v>https://media-ssl.musicradio.com/SmoothNorthEastS?</v>
      </c>
      <c r="I526" t="e">
        <f t="shared" si="28"/>
        <v>#VALUE!</v>
      </c>
    </row>
    <row r="527" spans="1:9" hidden="1" x14ac:dyDescent="0.55000000000000004">
      <c r="A527">
        <v>429</v>
      </c>
      <c r="B527" t="s">
        <v>4554</v>
      </c>
      <c r="C527" t="s">
        <v>3093</v>
      </c>
      <c r="D527" t="s">
        <v>4555</v>
      </c>
      <c r="E527" t="s">
        <v>4556</v>
      </c>
      <c r="F527" t="s">
        <v>4557</v>
      </c>
      <c r="G527" t="e">
        <f t="shared" si="26"/>
        <v>#VALUE!</v>
      </c>
      <c r="H527" t="str">
        <f t="shared" si="27"/>
        <v>https://media-ssl.musicradio.com/SmoothNorthWales?</v>
      </c>
      <c r="I527" t="e">
        <f t="shared" si="28"/>
        <v>#VALUE!</v>
      </c>
    </row>
    <row r="528" spans="1:9" hidden="1" x14ac:dyDescent="0.55000000000000004">
      <c r="A528">
        <v>409</v>
      </c>
      <c r="B528" t="s">
        <v>4558</v>
      </c>
      <c r="C528" t="s">
        <v>3093</v>
      </c>
      <c r="D528" t="s">
        <v>4559</v>
      </c>
      <c r="E528" t="s">
        <v>4560</v>
      </c>
      <c r="F528" t="s">
        <v>4561</v>
      </c>
      <c r="G528" t="e">
        <f t="shared" si="26"/>
        <v>#VALUE!</v>
      </c>
      <c r="H528" t="str">
        <f t="shared" si="27"/>
        <v>https://media-ssl.musicradio.com/SmoothNorthWest?</v>
      </c>
      <c r="I528" t="e">
        <f t="shared" si="28"/>
        <v>#VALUE!</v>
      </c>
    </row>
    <row r="529" spans="1:9" hidden="1" x14ac:dyDescent="0.55000000000000004">
      <c r="A529">
        <v>441</v>
      </c>
      <c r="B529" t="s">
        <v>4562</v>
      </c>
      <c r="C529" t="s">
        <v>3093</v>
      </c>
      <c r="D529" t="s">
        <v>4563</v>
      </c>
      <c r="E529" t="s">
        <v>4564</v>
      </c>
      <c r="F529" t="s">
        <v>4565</v>
      </c>
      <c r="G529" t="e">
        <f t="shared" si="26"/>
        <v>#VALUE!</v>
      </c>
      <c r="H529" t="str">
        <f t="shared" si="27"/>
        <v>https://media-ssl.musicradio.com/SmoothNorthants?</v>
      </c>
      <c r="I529" t="e">
        <f t="shared" si="28"/>
        <v>#VALUE!</v>
      </c>
    </row>
    <row r="530" spans="1:9" hidden="1" x14ac:dyDescent="0.55000000000000004">
      <c r="A530">
        <v>433</v>
      </c>
      <c r="B530" t="s">
        <v>4566</v>
      </c>
      <c r="C530" t="s">
        <v>3093</v>
      </c>
      <c r="D530" t="s">
        <v>4567</v>
      </c>
      <c r="E530" t="s">
        <v>4568</v>
      </c>
      <c r="F530" t="s">
        <v>4569</v>
      </c>
      <c r="G530" t="e">
        <f t="shared" si="26"/>
        <v>#VALUE!</v>
      </c>
      <c r="H530" t="str">
        <f t="shared" si="27"/>
        <v>https://media-ssl.musicradio.com/SmoothPlymouth?</v>
      </c>
      <c r="I530" t="e">
        <f t="shared" si="28"/>
        <v>#VALUE!</v>
      </c>
    </row>
    <row r="531" spans="1:9" hidden="1" x14ac:dyDescent="0.55000000000000004">
      <c r="A531">
        <v>437</v>
      </c>
      <c r="B531" t="s">
        <v>4570</v>
      </c>
      <c r="C531" t="s">
        <v>3093</v>
      </c>
      <c r="D531" t="s">
        <v>4571</v>
      </c>
      <c r="E531" t="s">
        <v>4572</v>
      </c>
      <c r="F531" t="s">
        <v>4573</v>
      </c>
      <c r="G531" t="e">
        <f t="shared" si="26"/>
        <v>#VALUE!</v>
      </c>
      <c r="H531" t="str">
        <f t="shared" si="27"/>
        <v>https://media-ssl.musicradio.com/SmoothLakeDistrict?</v>
      </c>
      <c r="I531" t="e">
        <f t="shared" si="28"/>
        <v>#VALUE!</v>
      </c>
    </row>
    <row r="532" spans="1:9" hidden="1" x14ac:dyDescent="0.55000000000000004">
      <c r="A532">
        <v>411</v>
      </c>
      <c r="B532" t="s">
        <v>4574</v>
      </c>
      <c r="C532" t="s">
        <v>3093</v>
      </c>
      <c r="D532" t="s">
        <v>4575</v>
      </c>
      <c r="E532" t="s">
        <v>4576</v>
      </c>
      <c r="F532" t="s">
        <v>4577</v>
      </c>
      <c r="G532" t="e">
        <f t="shared" si="26"/>
        <v>#VALUE!</v>
      </c>
      <c r="H532" t="str">
        <f t="shared" si="27"/>
        <v>https://media-ssl.musicradio.com/SmoothScotland?</v>
      </c>
      <c r="I532" t="e">
        <f t="shared" si="28"/>
        <v>#VALUE!</v>
      </c>
    </row>
    <row r="533" spans="1:9" hidden="1" x14ac:dyDescent="0.55000000000000004">
      <c r="A533">
        <v>430</v>
      </c>
      <c r="B533" t="s">
        <v>4578</v>
      </c>
      <c r="C533" t="s">
        <v>3093</v>
      </c>
      <c r="D533" t="s">
        <v>4579</v>
      </c>
      <c r="E533" t="s">
        <v>4580</v>
      </c>
      <c r="F533" t="s">
        <v>4581</v>
      </c>
      <c r="G533" t="e">
        <f t="shared" si="26"/>
        <v>#VALUE!</v>
      </c>
      <c r="H533" t="str">
        <f t="shared" si="27"/>
        <v>https://media-ssl.musicradio.com/SmoothSouthWales?</v>
      </c>
      <c r="I533" t="e">
        <f t="shared" si="28"/>
        <v>#VALUE!</v>
      </c>
    </row>
    <row r="534" spans="1:9" hidden="1" x14ac:dyDescent="0.55000000000000004">
      <c r="A534">
        <v>431</v>
      </c>
      <c r="B534" t="s">
        <v>4582</v>
      </c>
      <c r="C534" t="s">
        <v>3093</v>
      </c>
      <c r="D534" t="s">
        <v>4583</v>
      </c>
      <c r="E534" t="s">
        <v>4584</v>
      </c>
      <c r="F534" t="s">
        <v>4585</v>
      </c>
      <c r="G534" t="e">
        <f t="shared" si="26"/>
        <v>#VALUE!</v>
      </c>
      <c r="H534" t="str">
        <f t="shared" si="27"/>
        <v>https://media-ssl.musicradio.com/SmoothSussex?</v>
      </c>
      <c r="I534" t="e">
        <f t="shared" si="28"/>
        <v>#VALUE!</v>
      </c>
    </row>
    <row r="535" spans="1:9" hidden="1" x14ac:dyDescent="0.55000000000000004">
      <c r="A535">
        <v>405</v>
      </c>
      <c r="B535" t="s">
        <v>4586</v>
      </c>
      <c r="C535" t="s">
        <v>3093</v>
      </c>
      <c r="D535" t="s">
        <v>4587</v>
      </c>
      <c r="E535" t="s">
        <v>4588</v>
      </c>
      <c r="F535" t="s">
        <v>4589</v>
      </c>
      <c r="G535" t="e">
        <f t="shared" si="26"/>
        <v>#VALUE!</v>
      </c>
      <c r="H535" t="str">
        <f t="shared" si="27"/>
        <v>https://media-ssl.musicradio.com/SmoothUK?</v>
      </c>
      <c r="I535" t="e">
        <f t="shared" si="28"/>
        <v>#VALUE!</v>
      </c>
    </row>
    <row r="536" spans="1:9" hidden="1" x14ac:dyDescent="0.55000000000000004">
      <c r="A536">
        <v>407</v>
      </c>
      <c r="B536" t="s">
        <v>4590</v>
      </c>
      <c r="C536" t="s">
        <v>3093</v>
      </c>
      <c r="D536" t="s">
        <v>4591</v>
      </c>
      <c r="E536" t="s">
        <v>4592</v>
      </c>
      <c r="F536" t="s">
        <v>4593</v>
      </c>
      <c r="G536" t="e">
        <f t="shared" si="26"/>
        <v>#VALUE!</v>
      </c>
      <c r="H536" t="str">
        <f t="shared" si="27"/>
        <v>https://media-ssl.musicradio.com/SmoothWestMids?</v>
      </c>
      <c r="I536" t="e">
        <f t="shared" si="28"/>
        <v>#VALUE!</v>
      </c>
    </row>
    <row r="537" spans="1:9" hidden="1" x14ac:dyDescent="0.55000000000000004">
      <c r="A537">
        <v>432</v>
      </c>
      <c r="B537" t="s">
        <v>4594</v>
      </c>
      <c r="C537" t="s">
        <v>3093</v>
      </c>
      <c r="D537" t="s">
        <v>4595</v>
      </c>
      <c r="E537" t="s">
        <v>4596</v>
      </c>
      <c r="F537" t="s">
        <v>4597</v>
      </c>
      <c r="G537" t="e">
        <f t="shared" si="26"/>
        <v>#VALUE!</v>
      </c>
      <c r="H537" t="str">
        <f t="shared" si="27"/>
        <v>https://media-ssl.musicradio.com/SmoothWiltshire?</v>
      </c>
      <c r="I537" t="e">
        <f t="shared" si="28"/>
        <v>#VALUE!</v>
      </c>
    </row>
    <row r="538" spans="1:9" hidden="1" x14ac:dyDescent="0.55000000000000004">
      <c r="A538">
        <v>1101</v>
      </c>
      <c r="B538" t="s">
        <v>1181</v>
      </c>
      <c r="C538" t="s">
        <v>3093</v>
      </c>
      <c r="D538" t="s">
        <v>4598</v>
      </c>
      <c r="E538" t="s">
        <v>4599</v>
      </c>
      <c r="F538" t="s">
        <v>4600</v>
      </c>
      <c r="G538" t="e">
        <f t="shared" si="26"/>
        <v>#VALUE!</v>
      </c>
      <c r="H538" t="str">
        <f t="shared" si="27"/>
        <v>http://msmn4.co/proxy/mp3high11?</v>
      </c>
      <c r="I538" t="e">
        <f t="shared" si="28"/>
        <v>#VALUE!</v>
      </c>
    </row>
    <row r="539" spans="1:9" hidden="1" x14ac:dyDescent="0.55000000000000004">
      <c r="A539">
        <v>1533</v>
      </c>
      <c r="B539" t="s">
        <v>1185</v>
      </c>
      <c r="C539" t="s">
        <v>3093</v>
      </c>
      <c r="D539" t="s">
        <v>4601</v>
      </c>
      <c r="E539" t="s">
        <v>4602</v>
      </c>
      <c r="F539" t="s">
        <v>4603</v>
      </c>
      <c r="G539" t="e">
        <f t="shared" si="26"/>
        <v>#VALUE!</v>
      </c>
      <c r="H539" t="str">
        <f t="shared" si="27"/>
        <v>https://stream.rcs.revma.com/sa3ccwa9yy8uv?</v>
      </c>
      <c r="I539" t="e">
        <f t="shared" si="28"/>
        <v>#VALUE!</v>
      </c>
    </row>
    <row r="540" spans="1:9" hidden="1" x14ac:dyDescent="0.55000000000000004">
      <c r="A540">
        <v>1266</v>
      </c>
      <c r="B540" t="s">
        <v>4604</v>
      </c>
      <c r="C540" t="s">
        <v>3093</v>
      </c>
      <c r="D540" t="s">
        <v>4605</v>
      </c>
      <c r="E540" t="s">
        <v>4606</v>
      </c>
      <c r="F540" t="s">
        <v>4607</v>
      </c>
      <c r="G540" t="e">
        <f t="shared" si="26"/>
        <v>#VALUE!</v>
      </c>
      <c r="H540" t="str">
        <f t="shared" si="27"/>
        <v>https://somervalleyfm.streammachine.co.uk/stream/8014?</v>
      </c>
      <c r="I540" t="e">
        <f t="shared" si="28"/>
        <v>#VALUE!</v>
      </c>
    </row>
    <row r="541" spans="1:9" hidden="1" x14ac:dyDescent="0.55000000000000004">
      <c r="A541">
        <v>1266</v>
      </c>
      <c r="B541" t="s">
        <v>4604</v>
      </c>
      <c r="C541" t="s">
        <v>3093</v>
      </c>
      <c r="D541" t="s">
        <v>4608</v>
      </c>
      <c r="E541" t="s">
        <v>4606</v>
      </c>
      <c r="F541" t="s">
        <v>4607</v>
      </c>
      <c r="G541" t="e">
        <f t="shared" si="26"/>
        <v>#VALUE!</v>
      </c>
      <c r="H541" t="str">
        <f t="shared" si="27"/>
        <v>http://stream4.hippynet.co.uk:8014/?</v>
      </c>
      <c r="I541" t="e">
        <f t="shared" si="28"/>
        <v>#VALUE!</v>
      </c>
    </row>
    <row r="542" spans="1:9" hidden="1" x14ac:dyDescent="0.55000000000000004">
      <c r="A542">
        <v>1266</v>
      </c>
      <c r="B542" t="s">
        <v>4604</v>
      </c>
      <c r="C542" t="s">
        <v>3093</v>
      </c>
      <c r="D542" t="s">
        <v>4609</v>
      </c>
      <c r="E542" t="s">
        <v>4606</v>
      </c>
      <c r="F542" t="s">
        <v>4607</v>
      </c>
      <c r="G542" t="e">
        <f t="shared" si="26"/>
        <v>#VALUE!</v>
      </c>
      <c r="H542" t="str">
        <f t="shared" si="27"/>
        <v>https://somervalleyfm.streammachine.co.uk/stream/8014/low?</v>
      </c>
      <c r="I542" t="e">
        <f t="shared" si="28"/>
        <v>#VALUE!</v>
      </c>
    </row>
    <row r="543" spans="1:9" hidden="1" x14ac:dyDescent="0.55000000000000004">
      <c r="A543">
        <v>1266</v>
      </c>
      <c r="B543" t="s">
        <v>4604</v>
      </c>
      <c r="C543" t="s">
        <v>3093</v>
      </c>
      <c r="D543" t="s">
        <v>4610</v>
      </c>
      <c r="E543" t="s">
        <v>4606</v>
      </c>
      <c r="F543" t="s">
        <v>4607</v>
      </c>
      <c r="G543" t="e">
        <f t="shared" si="26"/>
        <v>#VALUE!</v>
      </c>
      <c r="H543" t="str">
        <f t="shared" si="27"/>
        <v>http://stream4.hippynet.co.uk:8014/low?</v>
      </c>
      <c r="I543" t="e">
        <f t="shared" si="28"/>
        <v>#VALUE!</v>
      </c>
    </row>
    <row r="544" spans="1:9" hidden="1" x14ac:dyDescent="0.55000000000000004">
      <c r="A544">
        <v>1266</v>
      </c>
      <c r="B544" t="s">
        <v>4604</v>
      </c>
      <c r="C544" t="s">
        <v>3093</v>
      </c>
      <c r="D544" t="s">
        <v>4611</v>
      </c>
      <c r="E544" t="s">
        <v>4606</v>
      </c>
      <c r="F544" t="s">
        <v>4607</v>
      </c>
      <c r="G544" t="e">
        <f t="shared" si="26"/>
        <v>#VALUE!</v>
      </c>
      <c r="H544" t="str">
        <f t="shared" si="27"/>
        <v>https://stream4.hippynet.co.uk:8014/stream?</v>
      </c>
      <c r="I544" t="e">
        <f t="shared" si="28"/>
        <v>#VALUE!</v>
      </c>
    </row>
    <row r="545" spans="1:9" hidden="1" x14ac:dyDescent="0.55000000000000004">
      <c r="A545">
        <v>1167</v>
      </c>
      <c r="B545" t="s">
        <v>4612</v>
      </c>
      <c r="C545" t="s">
        <v>3093</v>
      </c>
      <c r="D545" t="s">
        <v>4613</v>
      </c>
      <c r="E545" t="s">
        <v>4614</v>
      </c>
      <c r="F545" t="s">
        <v>4615</v>
      </c>
      <c r="G545" t="e">
        <f t="shared" si="26"/>
        <v>#VALUE!</v>
      </c>
      <c r="H545" t="str">
        <f t="shared" si="27"/>
        <v>https://radio.canstream.co.uk:9134/live.mp3?</v>
      </c>
      <c r="I545" t="e">
        <f t="shared" si="28"/>
        <v>#VALUE!</v>
      </c>
    </row>
    <row r="546" spans="1:9" hidden="1" x14ac:dyDescent="0.55000000000000004">
      <c r="A546">
        <v>1167</v>
      </c>
      <c r="B546" t="s">
        <v>4612</v>
      </c>
      <c r="C546" t="s">
        <v>3093</v>
      </c>
      <c r="D546" t="s">
        <v>4616</v>
      </c>
      <c r="E546" t="s">
        <v>4614</v>
      </c>
      <c r="F546" t="s">
        <v>4615</v>
      </c>
      <c r="G546" t="e">
        <f t="shared" si="26"/>
        <v>#VALUE!</v>
      </c>
      <c r="H546" t="str">
        <f t="shared" si="27"/>
        <v>https://radio.canstream.co.uk:9134/live.mp3?</v>
      </c>
      <c r="I546" t="e">
        <f t="shared" si="28"/>
        <v>#VALUE!</v>
      </c>
    </row>
    <row r="547" spans="1:9" hidden="1" x14ac:dyDescent="0.55000000000000004">
      <c r="A547">
        <v>1531</v>
      </c>
      <c r="B547" t="s">
        <v>1193</v>
      </c>
      <c r="C547" t="s">
        <v>3093</v>
      </c>
      <c r="D547" t="s">
        <v>4617</v>
      </c>
      <c r="E547" t="s">
        <v>4618</v>
      </c>
      <c r="F547" t="s">
        <v>4619</v>
      </c>
      <c r="G547" t="e">
        <f t="shared" si="26"/>
        <v>#VALUE!</v>
      </c>
      <c r="H547" t="str">
        <f t="shared" si="27"/>
        <v>https://s3.radio.co/s59218e461/low?</v>
      </c>
      <c r="I547" t="e">
        <f t="shared" si="28"/>
        <v>#VALUE!</v>
      </c>
    </row>
    <row r="548" spans="1:9" hidden="1" x14ac:dyDescent="0.55000000000000004">
      <c r="A548">
        <v>1531</v>
      </c>
      <c r="B548" t="s">
        <v>1193</v>
      </c>
      <c r="C548" t="s">
        <v>3093</v>
      </c>
      <c r="D548" t="s">
        <v>4620</v>
      </c>
      <c r="E548" t="s">
        <v>4618</v>
      </c>
      <c r="F548" t="s">
        <v>4619</v>
      </c>
      <c r="G548" t="e">
        <f t="shared" si="26"/>
        <v>#VALUE!</v>
      </c>
      <c r="H548" t="str">
        <f t="shared" si="27"/>
        <v>https://s3.radio.co/s59218e461/listen?</v>
      </c>
      <c r="I548" t="e">
        <f t="shared" si="28"/>
        <v>#VALUE!</v>
      </c>
    </row>
    <row r="549" spans="1:9" hidden="1" x14ac:dyDescent="0.55000000000000004">
      <c r="A549">
        <v>1531</v>
      </c>
      <c r="B549" t="s">
        <v>1193</v>
      </c>
      <c r="C549" t="s">
        <v>3093</v>
      </c>
      <c r="D549" t="s">
        <v>4621</v>
      </c>
      <c r="E549" t="s">
        <v>4618</v>
      </c>
      <c r="F549" t="s">
        <v>4619</v>
      </c>
      <c r="G549" t="e">
        <f t="shared" si="26"/>
        <v>#VALUE!</v>
      </c>
      <c r="H549" t="str">
        <f t="shared" si="27"/>
        <v>https://s3.radio.co/s59218e461/listen?</v>
      </c>
      <c r="I549" t="e">
        <f t="shared" si="28"/>
        <v>#VALUE!</v>
      </c>
    </row>
    <row r="550" spans="1:9" hidden="1" x14ac:dyDescent="0.55000000000000004">
      <c r="A550">
        <v>1081</v>
      </c>
      <c r="B550" t="s">
        <v>4622</v>
      </c>
      <c r="C550" t="s">
        <v>3093</v>
      </c>
      <c r="D550" t="s">
        <v>4623</v>
      </c>
      <c r="E550" t="s">
        <v>4624</v>
      </c>
      <c r="F550" t="s">
        <v>4625</v>
      </c>
      <c r="G550" t="e">
        <f t="shared" si="26"/>
        <v>#VALUE!</v>
      </c>
      <c r="H550" t="str">
        <f t="shared" si="27"/>
        <v>https://radio.canstream.co.uk:8101/live.mp3?</v>
      </c>
      <c r="I550" t="e">
        <f t="shared" si="28"/>
        <v>#VALUE!</v>
      </c>
    </row>
    <row r="551" spans="1:9" hidden="1" x14ac:dyDescent="0.55000000000000004">
      <c r="A551">
        <v>1081</v>
      </c>
      <c r="B551" t="s">
        <v>4622</v>
      </c>
      <c r="C551" t="s">
        <v>3093</v>
      </c>
      <c r="D551" t="s">
        <v>4626</v>
      </c>
      <c r="E551" t="s">
        <v>4624</v>
      </c>
      <c r="F551" t="s">
        <v>4625</v>
      </c>
      <c r="G551" t="e">
        <f t="shared" si="26"/>
        <v>#VALUE!</v>
      </c>
      <c r="H551" t="str">
        <f t="shared" si="27"/>
        <v>http://radio.canstream.co.uk:8101/live48.mp3?</v>
      </c>
      <c r="I551" t="e">
        <f t="shared" si="28"/>
        <v>#VALUE!</v>
      </c>
    </row>
    <row r="552" spans="1:9" hidden="1" x14ac:dyDescent="0.55000000000000004">
      <c r="A552">
        <v>1309</v>
      </c>
      <c r="B552" t="s">
        <v>4627</v>
      </c>
      <c r="C552" t="s">
        <v>3093</v>
      </c>
      <c r="D552" t="s">
        <v>4628</v>
      </c>
      <c r="E552" t="s">
        <v>4629</v>
      </c>
      <c r="F552" t="s">
        <v>4630</v>
      </c>
      <c r="G552" t="e">
        <f t="shared" si="26"/>
        <v>#VALUE!</v>
      </c>
      <c r="H552" t="str">
        <f t="shared" si="27"/>
        <v>https://playoutonestreaming.com/proxy/stfrd?</v>
      </c>
      <c r="I552" t="e">
        <f t="shared" si="28"/>
        <v>#VALUE!</v>
      </c>
    </row>
    <row r="553" spans="1:9" hidden="1" x14ac:dyDescent="0.55000000000000004">
      <c r="A553">
        <v>1309</v>
      </c>
      <c r="B553" t="s">
        <v>4627</v>
      </c>
      <c r="C553" t="s">
        <v>3093</v>
      </c>
      <c r="D553" t="s">
        <v>4631</v>
      </c>
      <c r="E553" t="s">
        <v>4629</v>
      </c>
      <c r="F553" t="s">
        <v>4630</v>
      </c>
      <c r="G553" t="e">
        <f t="shared" si="26"/>
        <v>#VALUE!</v>
      </c>
      <c r="H553" t="str">
        <f t="shared" si="27"/>
        <v>https://playoutonestreaming.com/proxy/stfrd?</v>
      </c>
      <c r="I553" t="e">
        <f t="shared" si="28"/>
        <v>#VALUE!</v>
      </c>
    </row>
    <row r="554" spans="1:9" hidden="1" x14ac:dyDescent="0.55000000000000004">
      <c r="A554">
        <v>1021</v>
      </c>
      <c r="B554" t="s">
        <v>1195</v>
      </c>
      <c r="C554" t="s">
        <v>3093</v>
      </c>
      <c r="D554" t="s">
        <v>4632</v>
      </c>
      <c r="E554" t="s">
        <v>4633</v>
      </c>
      <c r="F554" t="s">
        <v>4634</v>
      </c>
      <c r="G554" t="e">
        <f t="shared" si="26"/>
        <v>#VALUE!</v>
      </c>
      <c r="H554" t="str">
        <f t="shared" si="27"/>
        <v>http://stream.rcs.revma.com/hyyz8327ptzuv?</v>
      </c>
      <c r="I554" t="e">
        <f t="shared" si="28"/>
        <v>#VALUE!</v>
      </c>
    </row>
    <row r="555" spans="1:9" hidden="1" x14ac:dyDescent="0.55000000000000004">
      <c r="A555">
        <v>1477</v>
      </c>
      <c r="B555" t="s">
        <v>1199</v>
      </c>
      <c r="C555" t="s">
        <v>3093</v>
      </c>
      <c r="D555" t="s">
        <v>4635</v>
      </c>
      <c r="E555" t="s">
        <v>4636</v>
      </c>
      <c r="F555" t="s">
        <v>4637</v>
      </c>
      <c r="G555" t="e">
        <f t="shared" si="26"/>
        <v>#VALUE!</v>
      </c>
      <c r="H555" t="str">
        <f t="shared" si="27"/>
        <v>http://starpoint-tx.hippynet.co.uk:8084/stream.mp3?</v>
      </c>
      <c r="I555" t="e">
        <f t="shared" si="28"/>
        <v>#VALUE!</v>
      </c>
    </row>
    <row r="556" spans="1:9" hidden="1" x14ac:dyDescent="0.55000000000000004">
      <c r="A556">
        <v>1477</v>
      </c>
      <c r="B556" t="s">
        <v>1199</v>
      </c>
      <c r="C556" t="s">
        <v>3093</v>
      </c>
      <c r="D556" t="s">
        <v>4638</v>
      </c>
      <c r="E556" t="s">
        <v>4636</v>
      </c>
      <c r="F556" t="s">
        <v>4637</v>
      </c>
      <c r="G556" t="e">
        <f t="shared" si="26"/>
        <v>#VALUE!</v>
      </c>
      <c r="H556" t="str">
        <f t="shared" si="27"/>
        <v>http://starpoint-tx.hippynet.co.uk:8084/stream.mp3?</v>
      </c>
      <c r="I556" t="e">
        <f t="shared" si="28"/>
        <v>#VALUE!</v>
      </c>
    </row>
    <row r="557" spans="1:9" hidden="1" x14ac:dyDescent="0.55000000000000004">
      <c r="A557">
        <v>1476</v>
      </c>
      <c r="B557" t="s">
        <v>1204</v>
      </c>
      <c r="C557" t="s">
        <v>3093</v>
      </c>
      <c r="D557" t="s">
        <v>4639</v>
      </c>
      <c r="E557" t="s">
        <v>4640</v>
      </c>
      <c r="F557" t="s">
        <v>4641</v>
      </c>
      <c r="G557" t="e">
        <f t="shared" si="26"/>
        <v>#VALUE!</v>
      </c>
      <c r="H557" t="str">
        <f t="shared" si="27"/>
        <v>https://playoutonestreaming.com/proxy/strawberry/?</v>
      </c>
      <c r="I557" t="e">
        <f t="shared" si="28"/>
        <v>#VALUE!</v>
      </c>
    </row>
    <row r="558" spans="1:9" hidden="1" x14ac:dyDescent="0.55000000000000004">
      <c r="A558">
        <v>1498</v>
      </c>
      <c r="B558" t="s">
        <v>1206</v>
      </c>
      <c r="C558" t="s">
        <v>3093</v>
      </c>
      <c r="D558" t="s">
        <v>4642</v>
      </c>
      <c r="E558" t="s">
        <v>4643</v>
      </c>
      <c r="F558" t="s">
        <v>4644</v>
      </c>
      <c r="G558" t="e">
        <f t="shared" si="26"/>
        <v>#VALUE!</v>
      </c>
      <c r="H558" t="str">
        <f t="shared" si="27"/>
        <v>https://streaming.broadcastradio.com:10525/streetsd?</v>
      </c>
      <c r="I558" t="e">
        <f t="shared" si="28"/>
        <v>#VALUE!</v>
      </c>
    </row>
    <row r="559" spans="1:9" hidden="1" x14ac:dyDescent="0.55000000000000004">
      <c r="A559">
        <v>1025</v>
      </c>
      <c r="B559" t="s">
        <v>4645</v>
      </c>
      <c r="C559" t="s">
        <v>3093</v>
      </c>
      <c r="D559" t="s">
        <v>4646</v>
      </c>
      <c r="E559" t="s">
        <v>4647</v>
      </c>
      <c r="F559" t="s">
        <v>4648</v>
      </c>
      <c r="G559" t="str">
        <f t="shared" si="26"/>
        <v>1667146940</v>
      </c>
      <c r="H559" t="str">
        <f t="shared" si="27"/>
        <v>https://listen-nation.sharp-stream.com/sunfmi.aac?</v>
      </c>
      <c r="I559" t="str">
        <f t="shared" si="28"/>
        <v>https://listen-nation.sharp-stream.com/sunfmi.aac?aw_0_1st.skey=1667146940&amp;aw_0_1st.playerid=BMUK_ukrp</v>
      </c>
    </row>
    <row r="560" spans="1:9" hidden="1" x14ac:dyDescent="0.55000000000000004">
      <c r="A560">
        <v>1025</v>
      </c>
      <c r="B560" t="s">
        <v>4645</v>
      </c>
      <c r="C560" t="s">
        <v>3093</v>
      </c>
      <c r="D560" t="s">
        <v>4649</v>
      </c>
      <c r="E560" t="s">
        <v>4647</v>
      </c>
      <c r="F560" t="s">
        <v>4648</v>
      </c>
      <c r="G560" t="str">
        <f t="shared" si="26"/>
        <v>1667146940</v>
      </c>
      <c r="H560" t="str">
        <f t="shared" si="27"/>
        <v>http://listen-nation.sharp-stream.com/sunfm.mp3?</v>
      </c>
      <c r="I560" t="str">
        <f t="shared" si="28"/>
        <v>http://listen-nation.sharp-stream.com/sunfm.mp3?aw_0_1st.skey=1667146940&amp;aw_0_1st.playerid=BMUK_ukrp</v>
      </c>
    </row>
    <row r="561" spans="1:9" hidden="1" x14ac:dyDescent="0.55000000000000004">
      <c r="A561">
        <v>1025</v>
      </c>
      <c r="B561" t="s">
        <v>4645</v>
      </c>
      <c r="C561" t="s">
        <v>3093</v>
      </c>
      <c r="D561" t="s">
        <v>4650</v>
      </c>
      <c r="E561" t="s">
        <v>4647</v>
      </c>
      <c r="F561" t="s">
        <v>4648</v>
      </c>
      <c r="G561" t="str">
        <f t="shared" si="26"/>
        <v>1667146940</v>
      </c>
      <c r="H561" t="str">
        <f t="shared" si="27"/>
        <v>https://listen-nation.sharp-stream.com/sunfm.mp3?</v>
      </c>
      <c r="I561" t="str">
        <f t="shared" si="28"/>
        <v>https://listen-nation.sharp-stream.com/sunfm.mp3?aw_0_1st.skey=1667146940&amp;aw_0_1st.playerid=BMUK_ukrp</v>
      </c>
    </row>
    <row r="562" spans="1:9" hidden="1" x14ac:dyDescent="0.55000000000000004">
      <c r="A562">
        <v>1263</v>
      </c>
      <c r="B562" t="s">
        <v>4651</v>
      </c>
      <c r="C562" t="s">
        <v>3093</v>
      </c>
      <c r="D562" t="s">
        <v>4652</v>
      </c>
      <c r="E562" t="s">
        <v>4653</v>
      </c>
      <c r="F562" t="s">
        <v>4654</v>
      </c>
      <c r="G562" t="e">
        <f t="shared" si="26"/>
        <v>#VALUE!</v>
      </c>
      <c r="H562" t="str">
        <f t="shared" si="27"/>
        <v>https://streaming.broadcast.radio/susycloudradio?</v>
      </c>
      <c r="I562" t="e">
        <f t="shared" si="28"/>
        <v>#VALUE!</v>
      </c>
    </row>
    <row r="563" spans="1:9" hidden="1" x14ac:dyDescent="0.55000000000000004">
      <c r="A563">
        <v>1263</v>
      </c>
      <c r="B563" t="s">
        <v>4651</v>
      </c>
      <c r="C563" t="s">
        <v>3093</v>
      </c>
      <c r="D563" t="s">
        <v>4655</v>
      </c>
      <c r="E563" t="s">
        <v>4653</v>
      </c>
      <c r="F563" t="s">
        <v>4654</v>
      </c>
      <c r="G563" t="e">
        <f t="shared" si="26"/>
        <v>#VALUE!</v>
      </c>
      <c r="H563" t="str">
        <f t="shared" si="27"/>
        <v>http://media3.susyradio.com:8000/relay?</v>
      </c>
      <c r="I563" t="e">
        <f t="shared" si="28"/>
        <v>#VALUE!</v>
      </c>
    </row>
    <row r="564" spans="1:9" hidden="1" x14ac:dyDescent="0.55000000000000004">
      <c r="A564">
        <v>1276</v>
      </c>
      <c r="B564" t="s">
        <v>4656</v>
      </c>
      <c r="C564" t="s">
        <v>3093</v>
      </c>
      <c r="D564" t="s">
        <v>4657</v>
      </c>
      <c r="E564" t="s">
        <v>4658</v>
      </c>
      <c r="F564" t="s">
        <v>4659</v>
      </c>
      <c r="G564" t="e">
        <f t="shared" si="26"/>
        <v>#VALUE!</v>
      </c>
      <c r="H564" t="str">
        <f t="shared" si="27"/>
        <v>https://listen.switchradio.co.uk/switchradio_medium?</v>
      </c>
      <c r="I564" t="e">
        <f t="shared" si="28"/>
        <v>#VALUE!</v>
      </c>
    </row>
    <row r="565" spans="1:9" hidden="1" x14ac:dyDescent="0.55000000000000004">
      <c r="A565">
        <v>1276</v>
      </c>
      <c r="B565" t="s">
        <v>4656</v>
      </c>
      <c r="C565" t="s">
        <v>3093</v>
      </c>
      <c r="D565" t="s">
        <v>4660</v>
      </c>
      <c r="E565" t="s">
        <v>4658</v>
      </c>
      <c r="F565" t="s">
        <v>4659</v>
      </c>
      <c r="G565" t="e">
        <f t="shared" si="26"/>
        <v>#VALUE!</v>
      </c>
      <c r="H565" t="str">
        <f t="shared" si="27"/>
        <v>https://listen.switchradio.co.uk/switchradio_low?</v>
      </c>
      <c r="I565" t="e">
        <f t="shared" si="28"/>
        <v>#VALUE!</v>
      </c>
    </row>
    <row r="566" spans="1:9" hidden="1" x14ac:dyDescent="0.55000000000000004">
      <c r="A566">
        <v>1276</v>
      </c>
      <c r="B566" t="s">
        <v>4656</v>
      </c>
      <c r="C566" t="s">
        <v>3093</v>
      </c>
      <c r="D566" t="s">
        <v>4661</v>
      </c>
      <c r="E566" t="s">
        <v>4658</v>
      </c>
      <c r="F566" t="s">
        <v>4659</v>
      </c>
      <c r="G566" t="e">
        <f t="shared" si="26"/>
        <v>#VALUE!</v>
      </c>
      <c r="H566" t="str">
        <f t="shared" si="27"/>
        <v>https://listen.switchradio.co.uk/switchradio_high?</v>
      </c>
      <c r="I566" t="e">
        <f t="shared" si="28"/>
        <v>#VALUE!</v>
      </c>
    </row>
    <row r="567" spans="1:9" hidden="1" x14ac:dyDescent="0.55000000000000004">
      <c r="A567">
        <v>1276</v>
      </c>
      <c r="B567" t="s">
        <v>4656</v>
      </c>
      <c r="C567" t="s">
        <v>3093</v>
      </c>
      <c r="D567" t="s">
        <v>4662</v>
      </c>
      <c r="E567" t="s">
        <v>4658</v>
      </c>
      <c r="F567" t="s">
        <v>4659</v>
      </c>
      <c r="G567" t="e">
        <f t="shared" si="26"/>
        <v>#VALUE!</v>
      </c>
      <c r="H567" t="str">
        <f t="shared" si="27"/>
        <v>https://listen.switchradio.co.uk/switchradio_high?</v>
      </c>
      <c r="I567" t="e">
        <f t="shared" si="28"/>
        <v>#VALUE!</v>
      </c>
    </row>
    <row r="568" spans="1:9" hidden="1" x14ac:dyDescent="0.55000000000000004">
      <c r="A568">
        <v>1116</v>
      </c>
      <c r="B568" t="s">
        <v>4663</v>
      </c>
      <c r="C568" t="s">
        <v>3093</v>
      </c>
      <c r="D568" t="s">
        <v>4664</v>
      </c>
      <c r="E568" t="s">
        <v>4665</v>
      </c>
      <c r="F568" t="s">
        <v>4666</v>
      </c>
      <c r="G568" t="e">
        <f t="shared" si="26"/>
        <v>#VALUE!</v>
      </c>
      <c r="H568" t="str">
        <f t="shared" si="27"/>
        <v>http://streaming.radiotamworth.com:8080/live?</v>
      </c>
      <c r="I568" t="e">
        <f t="shared" si="28"/>
        <v>#VALUE!</v>
      </c>
    </row>
    <row r="569" spans="1:9" hidden="1" x14ac:dyDescent="0.55000000000000004">
      <c r="A569">
        <v>1116</v>
      </c>
      <c r="B569" t="s">
        <v>4663</v>
      </c>
      <c r="C569" t="s">
        <v>3093</v>
      </c>
      <c r="D569" t="s">
        <v>4667</v>
      </c>
      <c r="E569" t="s">
        <v>4665</v>
      </c>
      <c r="F569" t="s">
        <v>4666</v>
      </c>
      <c r="G569" t="e">
        <f t="shared" si="26"/>
        <v>#VALUE!</v>
      </c>
      <c r="H569" t="str">
        <f t="shared" si="27"/>
        <v>http://streaming.radiotamworth.com:8080/tcr64?</v>
      </c>
      <c r="I569" t="e">
        <f t="shared" si="28"/>
        <v>#VALUE!</v>
      </c>
    </row>
    <row r="570" spans="1:9" hidden="1" x14ac:dyDescent="0.55000000000000004">
      <c r="A570">
        <v>1116</v>
      </c>
      <c r="B570" t="s">
        <v>4663</v>
      </c>
      <c r="C570" t="s">
        <v>3093</v>
      </c>
      <c r="D570" t="s">
        <v>4668</v>
      </c>
      <c r="E570" t="s">
        <v>4665</v>
      </c>
      <c r="F570" t="s">
        <v>4666</v>
      </c>
      <c r="G570" t="e">
        <f t="shared" si="26"/>
        <v>#VALUE!</v>
      </c>
      <c r="H570" t="str">
        <f t="shared" si="27"/>
        <v>http://streaming.radiotamworth.com:8080/live?</v>
      </c>
      <c r="I570" t="e">
        <f t="shared" si="28"/>
        <v>#VALUE!</v>
      </c>
    </row>
    <row r="571" spans="1:9" hidden="1" x14ac:dyDescent="0.55000000000000004">
      <c r="A571">
        <v>587</v>
      </c>
      <c r="B571" t="s">
        <v>1245</v>
      </c>
      <c r="C571" t="s">
        <v>3093</v>
      </c>
      <c r="D571" t="s">
        <v>4669</v>
      </c>
      <c r="E571" t="s">
        <v>4670</v>
      </c>
      <c r="F571" t="s">
        <v>4671</v>
      </c>
      <c r="G571" t="str">
        <f t="shared" si="26"/>
        <v>1667146954</v>
      </c>
      <c r="H571" t="str">
        <f t="shared" si="27"/>
        <v>https://stream-mz.planetradio.co.uk/tayfm.aac?</v>
      </c>
      <c r="I571" t="str">
        <f t="shared" si="28"/>
        <v>https://stream-mz.planetradio.co.uk/tayfm.aac?aw_0_1st.skey=1667146954&amp;aw_0_1st.playerid=BMUK_ukrp</v>
      </c>
    </row>
    <row r="572" spans="1:9" hidden="1" x14ac:dyDescent="0.55000000000000004">
      <c r="A572">
        <v>545</v>
      </c>
      <c r="B572" t="s">
        <v>1247</v>
      </c>
      <c r="C572" t="s">
        <v>3093</v>
      </c>
      <c r="D572" t="s">
        <v>4672</v>
      </c>
      <c r="E572" t="s">
        <v>4673</v>
      </c>
      <c r="F572" t="s">
        <v>4674</v>
      </c>
      <c r="G572" t="str">
        <f t="shared" si="26"/>
        <v>1667146956</v>
      </c>
      <c r="H572" t="str">
        <f t="shared" si="27"/>
        <v>https://stream-mz.planetradio.co.uk/tayam.aac?</v>
      </c>
      <c r="I572" t="str">
        <f t="shared" si="28"/>
        <v>https://stream-mz.planetradio.co.uk/tayam.aac?aw_0_1st.skey=1667146956&amp;aw_0_1st.playerid=BMUK_ukrp</v>
      </c>
    </row>
    <row r="573" spans="1:9" hidden="1" x14ac:dyDescent="0.55000000000000004">
      <c r="A573">
        <v>588</v>
      </c>
      <c r="B573" t="s">
        <v>1251</v>
      </c>
      <c r="C573" t="s">
        <v>3093</v>
      </c>
      <c r="D573" t="s">
        <v>4675</v>
      </c>
      <c r="E573" t="s">
        <v>4676</v>
      </c>
      <c r="F573" t="s">
        <v>4677</v>
      </c>
      <c r="G573" t="str">
        <f t="shared" si="26"/>
        <v>1667146958</v>
      </c>
      <c r="H573" t="str">
        <f t="shared" si="27"/>
        <v>https://stream-mz.planetradio.co.uk/tfm.aac?</v>
      </c>
      <c r="I573" t="str">
        <f t="shared" si="28"/>
        <v>https://stream-mz.planetradio.co.uk/tfm.aac?aw_0_1st.skey=1667146958&amp;aw_0_1st.playerid=BMUK_ukrp</v>
      </c>
    </row>
    <row r="574" spans="1:9" hidden="1" x14ac:dyDescent="0.55000000000000004">
      <c r="A574">
        <v>1544</v>
      </c>
      <c r="B574" t="s">
        <v>1275</v>
      </c>
      <c r="C574" t="s">
        <v>3093</v>
      </c>
      <c r="D574" t="s">
        <v>4678</v>
      </c>
      <c r="E574" t="s">
        <v>4679</v>
      </c>
      <c r="F574" t="s">
        <v>4680</v>
      </c>
      <c r="G574" t="e">
        <f t="shared" si="26"/>
        <v>#VALUE!</v>
      </c>
      <c r="H574" t="str">
        <f t="shared" si="27"/>
        <v>http://s6.citrus3.com:8310/stream?</v>
      </c>
      <c r="I574" t="e">
        <f t="shared" si="28"/>
        <v>#VALUE!</v>
      </c>
    </row>
    <row r="575" spans="1:9" hidden="1" x14ac:dyDescent="0.55000000000000004">
      <c r="A575">
        <v>1544</v>
      </c>
      <c r="B575" t="s">
        <v>1275</v>
      </c>
      <c r="C575" t="s">
        <v>3093</v>
      </c>
      <c r="D575" t="s">
        <v>4681</v>
      </c>
      <c r="E575" t="s">
        <v>4679</v>
      </c>
      <c r="F575" t="s">
        <v>4680</v>
      </c>
      <c r="G575" t="e">
        <f t="shared" si="26"/>
        <v>#VALUE!</v>
      </c>
      <c r="H575" t="str">
        <f t="shared" si="27"/>
        <v>http://usa2-pn.mixstream.net:8060/listen.mp3?</v>
      </c>
      <c r="I575" t="e">
        <f t="shared" si="28"/>
        <v>#VALUE!</v>
      </c>
    </row>
    <row r="576" spans="1:9" hidden="1" x14ac:dyDescent="0.55000000000000004">
      <c r="A576">
        <v>1529</v>
      </c>
      <c r="B576" t="s">
        <v>1267</v>
      </c>
      <c r="C576" t="s">
        <v>3093</v>
      </c>
      <c r="D576" t="s">
        <v>4682</v>
      </c>
      <c r="E576" t="s">
        <v>4683</v>
      </c>
      <c r="F576" t="s">
        <v>4684</v>
      </c>
      <c r="G576" t="e">
        <f t="shared" si="26"/>
        <v>#VALUE!</v>
      </c>
      <c r="H576" t="str">
        <f t="shared" si="27"/>
        <v>https://streaming.broadcastradio.com:10765/thisisthecoast?</v>
      </c>
      <c r="I576" t="e">
        <f t="shared" si="28"/>
        <v>#VALUE!</v>
      </c>
    </row>
    <row r="577" spans="1:9" hidden="1" x14ac:dyDescent="0.55000000000000004">
      <c r="A577">
        <v>1529</v>
      </c>
      <c r="B577" t="s">
        <v>1267</v>
      </c>
      <c r="C577" t="s">
        <v>3093</v>
      </c>
      <c r="D577" t="s">
        <v>4685</v>
      </c>
      <c r="E577" t="s">
        <v>4683</v>
      </c>
      <c r="F577" t="s">
        <v>4684</v>
      </c>
      <c r="G577" t="e">
        <f t="shared" si="26"/>
        <v>#VALUE!</v>
      </c>
      <c r="H577" t="str">
        <f t="shared" si="27"/>
        <v>https://streaming.broadcast.radio/thisisthecoast?</v>
      </c>
      <c r="I577" t="e">
        <f t="shared" si="28"/>
        <v>#VALUE!</v>
      </c>
    </row>
    <row r="578" spans="1:9" hidden="1" x14ac:dyDescent="0.55000000000000004">
      <c r="A578">
        <v>521</v>
      </c>
      <c r="B578" t="s">
        <v>1273</v>
      </c>
      <c r="C578" t="s">
        <v>3093</v>
      </c>
      <c r="D578" t="s">
        <v>4686</v>
      </c>
      <c r="E578" t="s">
        <v>4687</v>
      </c>
      <c r="F578" t="s">
        <v>4688</v>
      </c>
      <c r="G578" t="e">
        <f t="shared" si="26"/>
        <v>#VALUE!</v>
      </c>
      <c r="H578" t="str">
        <f t="shared" si="27"/>
        <v>https://timesradio.wireless.radio/stream?</v>
      </c>
      <c r="I578" t="e">
        <f t="shared" si="28"/>
        <v>#VALUE!</v>
      </c>
    </row>
    <row r="579" spans="1:9" hidden="1" x14ac:dyDescent="0.55000000000000004">
      <c r="A579">
        <v>521</v>
      </c>
      <c r="B579" t="s">
        <v>1273</v>
      </c>
      <c r="C579" t="s">
        <v>3093</v>
      </c>
      <c r="D579" t="s">
        <v>4689</v>
      </c>
      <c r="E579" t="s">
        <v>4687</v>
      </c>
      <c r="F579" t="s">
        <v>4688</v>
      </c>
      <c r="G579" t="e">
        <f t="shared" ref="G579:G604" si="29">MID(D579,
FIND("1st.skey=",D579,1)+9,10)</f>
        <v>#VALUE!</v>
      </c>
      <c r="H579" t="str">
        <f t="shared" ref="H579:H604" si="30">LEFT(D579,
FIND("?",D579,1))</f>
        <v>https://timesradio.wireless.radio/stream?</v>
      </c>
      <c r="I579" t="e">
        <f t="shared" ref="I579:I604" si="31">H579&amp;"aw_0_1st.skey="&amp;G579&amp;"&amp;aw_0_1st.playerid=BMUK_ukrp"</f>
        <v>#VALUE!</v>
      </c>
    </row>
    <row r="580" spans="1:9" hidden="1" x14ac:dyDescent="0.55000000000000004">
      <c r="A580">
        <v>1107</v>
      </c>
      <c r="B580" t="s">
        <v>4690</v>
      </c>
      <c r="C580" t="s">
        <v>3093</v>
      </c>
      <c r="D580" t="s">
        <v>4691</v>
      </c>
      <c r="E580" t="s">
        <v>4692</v>
      </c>
      <c r="F580" t="s">
        <v>4693</v>
      </c>
      <c r="G580" t="e">
        <f t="shared" si="29"/>
        <v>#VALUE!</v>
      </c>
      <c r="H580" t="str">
        <f t="shared" si="30"/>
        <v>https://streaming02.zfast.co.uk/proxy/twolochs2?</v>
      </c>
      <c r="I580" t="e">
        <f t="shared" si="31"/>
        <v>#VALUE!</v>
      </c>
    </row>
    <row r="581" spans="1:9" hidden="1" x14ac:dyDescent="0.55000000000000004">
      <c r="A581">
        <v>1107</v>
      </c>
      <c r="B581" t="s">
        <v>4690</v>
      </c>
      <c r="C581" t="s">
        <v>3093</v>
      </c>
      <c r="D581" t="s">
        <v>4694</v>
      </c>
      <c r="E581" t="s">
        <v>4692</v>
      </c>
      <c r="F581" t="s">
        <v>4693</v>
      </c>
      <c r="G581" t="e">
        <f t="shared" si="29"/>
        <v>#VALUE!</v>
      </c>
      <c r="H581" t="str">
        <f t="shared" si="30"/>
        <v>https://streaming02.zfast.co.uk/proxy/twolochs1?</v>
      </c>
      <c r="I581" t="e">
        <f t="shared" si="31"/>
        <v>#VALUE!</v>
      </c>
    </row>
    <row r="582" spans="1:9" hidden="1" x14ac:dyDescent="0.55000000000000004">
      <c r="A582">
        <v>1107</v>
      </c>
      <c r="B582" t="s">
        <v>4690</v>
      </c>
      <c r="C582" t="s">
        <v>3093</v>
      </c>
      <c r="D582" t="s">
        <v>4695</v>
      </c>
      <c r="E582" t="s">
        <v>4692</v>
      </c>
      <c r="F582" t="s">
        <v>4693</v>
      </c>
      <c r="G582" t="e">
        <f t="shared" si="29"/>
        <v>#VALUE!</v>
      </c>
      <c r="H582" t="str">
        <f t="shared" si="30"/>
        <v>https://streaming02.zfast.co.uk/proxy/twolochs2?</v>
      </c>
      <c r="I582" t="e">
        <f t="shared" si="31"/>
        <v>#VALUE!</v>
      </c>
    </row>
    <row r="583" spans="1:9" hidden="1" x14ac:dyDescent="0.55000000000000004">
      <c r="A583">
        <v>514</v>
      </c>
      <c r="B583" t="s">
        <v>4696</v>
      </c>
      <c r="C583" t="s">
        <v>3093</v>
      </c>
      <c r="D583" t="s">
        <v>4697</v>
      </c>
      <c r="E583" t="s">
        <v>4698</v>
      </c>
      <c r="F583" t="s">
        <v>4699</v>
      </c>
      <c r="G583" t="e">
        <f t="shared" si="29"/>
        <v>#VALUE!</v>
      </c>
      <c r="H583" t="str">
        <f t="shared" si="30"/>
        <v>http://gbradio.cdn.tibus.net/U105?</v>
      </c>
      <c r="I583" t="e">
        <f t="shared" si="31"/>
        <v>#VALUE!</v>
      </c>
    </row>
    <row r="584" spans="1:9" hidden="1" x14ac:dyDescent="0.55000000000000004">
      <c r="A584">
        <v>1109</v>
      </c>
      <c r="B584" t="s">
        <v>1288</v>
      </c>
      <c r="C584" t="s">
        <v>3093</v>
      </c>
      <c r="D584" t="s">
        <v>4700</v>
      </c>
      <c r="E584" t="s">
        <v>4701</v>
      </c>
      <c r="F584" t="s">
        <v>4702</v>
      </c>
      <c r="G584" t="e">
        <f t="shared" si="29"/>
        <v>#VALUE!</v>
      </c>
      <c r="H584" t="str">
        <f t="shared" si="30"/>
        <v>http://tx.sharp-stream.com/http_live.php?</v>
      </c>
      <c r="I584" t="e">
        <f t="shared" si="31"/>
        <v>#VALUE!</v>
      </c>
    </row>
    <row r="585" spans="1:9" hidden="1" x14ac:dyDescent="0.55000000000000004">
      <c r="A585">
        <v>1119</v>
      </c>
      <c r="B585" t="s">
        <v>1290</v>
      </c>
      <c r="C585" t="s">
        <v>3093</v>
      </c>
      <c r="D585" t="s">
        <v>4703</v>
      </c>
      <c r="E585" t="s">
        <v>4704</v>
      </c>
      <c r="F585" t="s">
        <v>4705</v>
      </c>
      <c r="G585" t="e">
        <f t="shared" si="29"/>
        <v>#VALUE!</v>
      </c>
      <c r="H585" t="str">
        <f t="shared" si="30"/>
        <v>http://tx.sharp-stream.com/http_live.php?</v>
      </c>
      <c r="I585" t="e">
        <f t="shared" si="31"/>
        <v>#VALUE!</v>
      </c>
    </row>
    <row r="586" spans="1:9" hidden="1" x14ac:dyDescent="0.55000000000000004">
      <c r="A586">
        <v>1175</v>
      </c>
      <c r="B586" t="s">
        <v>1547</v>
      </c>
      <c r="C586" t="s">
        <v>3093</v>
      </c>
      <c r="D586" t="s">
        <v>4706</v>
      </c>
      <c r="E586" t="s">
        <v>4707</v>
      </c>
      <c r="F586" t="s">
        <v>4708</v>
      </c>
      <c r="G586" t="e">
        <f t="shared" si="29"/>
        <v>#VALUE!</v>
      </c>
      <c r="H586" t="str">
        <f t="shared" si="30"/>
        <v>https://uksouth.streaming.broadcast.radio:9165/uckfieldfmmp3?</v>
      </c>
      <c r="I586" t="e">
        <f t="shared" si="31"/>
        <v>#VALUE!</v>
      </c>
    </row>
    <row r="587" spans="1:9" hidden="1" x14ac:dyDescent="0.55000000000000004">
      <c r="A587">
        <v>1077</v>
      </c>
      <c r="B587" t="s">
        <v>4709</v>
      </c>
      <c r="C587" t="s">
        <v>3093</v>
      </c>
      <c r="D587" t="s">
        <v>4710</v>
      </c>
      <c r="E587" t="s">
        <v>4711</v>
      </c>
      <c r="F587" t="s">
        <v>4712</v>
      </c>
      <c r="G587" t="e">
        <f t="shared" si="29"/>
        <v>#VALUE!</v>
      </c>
      <c r="H587" t="str">
        <f t="shared" si="30"/>
        <v>https://audio.ury.org.uk/live-high?</v>
      </c>
      <c r="I587" t="e">
        <f t="shared" si="31"/>
        <v>#VALUE!</v>
      </c>
    </row>
    <row r="588" spans="1:9" hidden="1" x14ac:dyDescent="0.55000000000000004">
      <c r="A588">
        <v>1077</v>
      </c>
      <c r="B588" t="s">
        <v>4709</v>
      </c>
      <c r="C588" t="s">
        <v>3093</v>
      </c>
      <c r="D588" t="s">
        <v>4713</v>
      </c>
      <c r="E588" t="s">
        <v>4711</v>
      </c>
      <c r="F588" t="s">
        <v>4712</v>
      </c>
      <c r="G588" t="e">
        <f t="shared" si="29"/>
        <v>#VALUE!</v>
      </c>
      <c r="H588" t="str">
        <f t="shared" si="30"/>
        <v>https://audio.ury.org.uk/live-high?</v>
      </c>
      <c r="I588" t="e">
        <f t="shared" si="31"/>
        <v>#VALUE!</v>
      </c>
    </row>
    <row r="589" spans="1:9" hidden="1" x14ac:dyDescent="0.55000000000000004">
      <c r="A589">
        <v>1508</v>
      </c>
      <c r="B589" t="s">
        <v>1298</v>
      </c>
      <c r="C589" t="s">
        <v>3093</v>
      </c>
      <c r="D589" t="s">
        <v>4714</v>
      </c>
      <c r="E589" t="s">
        <v>4715</v>
      </c>
      <c r="F589" t="s">
        <v>4716</v>
      </c>
      <c r="G589" t="e">
        <f t="shared" si="29"/>
        <v>#VALUE!</v>
      </c>
      <c r="H589" t="str">
        <f t="shared" si="30"/>
        <v>http://stream.v2radio.co.uk/V2RadioHQAACP?</v>
      </c>
      <c r="I589" t="e">
        <f t="shared" si="31"/>
        <v>#VALUE!</v>
      </c>
    </row>
    <row r="590" spans="1:9" hidden="1" x14ac:dyDescent="0.55000000000000004">
      <c r="A590">
        <v>1482</v>
      </c>
      <c r="B590" t="s">
        <v>4717</v>
      </c>
      <c r="C590" t="s">
        <v>3093</v>
      </c>
      <c r="D590" t="s">
        <v>4718</v>
      </c>
      <c r="E590" t="s">
        <v>4719</v>
      </c>
      <c r="F590" t="s">
        <v>4720</v>
      </c>
      <c r="G590" t="e">
        <f t="shared" si="29"/>
        <v>#VALUE!</v>
      </c>
      <c r="H590" t="str">
        <f t="shared" si="30"/>
        <v>https://stream.gointernet.co.uk:8004/live?</v>
      </c>
      <c r="I590" t="e">
        <f t="shared" si="31"/>
        <v>#VALUE!</v>
      </c>
    </row>
    <row r="591" spans="1:9" hidden="1" x14ac:dyDescent="0.55000000000000004">
      <c r="A591">
        <v>1134</v>
      </c>
      <c r="B591" t="s">
        <v>4721</v>
      </c>
      <c r="C591" t="s">
        <v>3093</v>
      </c>
      <c r="D591" t="s">
        <v>4722</v>
      </c>
      <c r="E591" t="s">
        <v>4723</v>
      </c>
      <c r="F591" t="s">
        <v>4724</v>
      </c>
      <c r="G591" t="e">
        <f t="shared" si="29"/>
        <v>#VALUE!</v>
      </c>
      <c r="H591" t="str">
        <f t="shared" si="30"/>
        <v>http://stream.sentiaglobal.com:8001/main?</v>
      </c>
      <c r="I591" t="e">
        <f t="shared" si="31"/>
        <v>#VALUE!</v>
      </c>
    </row>
    <row r="592" spans="1:9" hidden="1" x14ac:dyDescent="0.55000000000000004">
      <c r="A592">
        <v>1134</v>
      </c>
      <c r="B592" t="s">
        <v>4721</v>
      </c>
      <c r="C592" t="s">
        <v>3093</v>
      </c>
      <c r="D592" t="s">
        <v>4725</v>
      </c>
      <c r="E592" t="s">
        <v>4723</v>
      </c>
      <c r="F592" t="s">
        <v>4724</v>
      </c>
      <c r="G592" t="e">
        <f t="shared" si="29"/>
        <v>#VALUE!</v>
      </c>
      <c r="H592" t="str">
        <f t="shared" si="30"/>
        <v>http://stream.sentiaglobal.com:8001/main?</v>
      </c>
      <c r="I592" t="e">
        <f t="shared" si="31"/>
        <v>#VALUE!</v>
      </c>
    </row>
    <row r="593" spans="1:9" hidden="1" x14ac:dyDescent="0.55000000000000004">
      <c r="A593">
        <v>589</v>
      </c>
      <c r="B593" t="s">
        <v>1303</v>
      </c>
      <c r="C593" t="s">
        <v>3093</v>
      </c>
      <c r="D593" t="s">
        <v>4726</v>
      </c>
      <c r="E593" t="s">
        <v>4727</v>
      </c>
      <c r="F593" t="s">
        <v>4728</v>
      </c>
      <c r="G593" t="str">
        <f t="shared" si="29"/>
        <v>1667146982</v>
      </c>
      <c r="H593" t="str">
        <f t="shared" si="30"/>
        <v>https://stream-mz.planetradio.co.uk/viking.aac?</v>
      </c>
      <c r="I593" t="str">
        <f t="shared" si="31"/>
        <v>https://stream-mz.planetradio.co.uk/viking.aac?aw_0_1st.skey=1667146982&amp;aw_0_1st.playerid=BMUK_ukrp</v>
      </c>
    </row>
    <row r="594" spans="1:9" hidden="1" x14ac:dyDescent="0.55000000000000004">
      <c r="A594">
        <v>512</v>
      </c>
      <c r="B594" t="s">
        <v>1265</v>
      </c>
      <c r="C594" t="s">
        <v>3093</v>
      </c>
      <c r="D594" t="s">
        <v>4729</v>
      </c>
      <c r="E594" t="s">
        <v>4730</v>
      </c>
      <c r="F594" t="s">
        <v>4731</v>
      </c>
      <c r="G594" t="str">
        <f t="shared" si="29"/>
        <v>1667146994</v>
      </c>
      <c r="H594" t="str">
        <f t="shared" si="30"/>
        <v>https://stream-mz.planetradio.co.uk/net1swansea.aac?</v>
      </c>
      <c r="I594" t="str">
        <f t="shared" si="31"/>
        <v>https://stream-mz.planetradio.co.uk/net1swansea.aac?aw_0_1st.skey=1667146994&amp;aw_0_1st.playerid=BMUK_ukrp</v>
      </c>
    </row>
    <row r="595" spans="1:9" hidden="1" x14ac:dyDescent="0.55000000000000004">
      <c r="A595">
        <v>590</v>
      </c>
      <c r="B595" t="s">
        <v>1316</v>
      </c>
      <c r="C595" t="s">
        <v>3093</v>
      </c>
      <c r="D595" t="s">
        <v>4732</v>
      </c>
      <c r="E595" t="s">
        <v>4733</v>
      </c>
      <c r="F595" t="s">
        <v>4734</v>
      </c>
      <c r="G595" t="str">
        <f t="shared" si="29"/>
        <v>1667146996</v>
      </c>
      <c r="H595" t="str">
        <f t="shared" si="30"/>
        <v>https://stream-mz.planetradio.co.uk/wave105.aac?</v>
      </c>
      <c r="I595" t="str">
        <f t="shared" si="31"/>
        <v>https://stream-mz.planetradio.co.uk/wave105.aac?aw_0_1st.skey=1667146996&amp;aw_0_1st.playerid=BMUK_ukrp</v>
      </c>
    </row>
    <row r="596" spans="1:9" hidden="1" x14ac:dyDescent="0.55000000000000004">
      <c r="A596">
        <v>591</v>
      </c>
      <c r="B596" t="s">
        <v>1320</v>
      </c>
      <c r="C596" t="s">
        <v>3093</v>
      </c>
      <c r="D596" t="s">
        <v>4735</v>
      </c>
      <c r="E596" t="s">
        <v>4736</v>
      </c>
      <c r="F596" t="s">
        <v>4737</v>
      </c>
      <c r="G596" t="str">
        <f t="shared" si="29"/>
        <v>1667146998</v>
      </c>
      <c r="H596" t="str">
        <f t="shared" si="30"/>
        <v>https://stream-mz.planetradio.co.uk/westfm.aac?</v>
      </c>
      <c r="I596" t="str">
        <f t="shared" si="31"/>
        <v>https://stream-mz.planetradio.co.uk/westfm.aac?aw_0_1st.skey=1667146998&amp;aw_0_1st.playerid=BMUK_ukrp</v>
      </c>
    </row>
    <row r="597" spans="1:9" hidden="1" x14ac:dyDescent="0.55000000000000004">
      <c r="A597">
        <v>592</v>
      </c>
      <c r="B597" t="s">
        <v>1631</v>
      </c>
      <c r="C597" t="s">
        <v>3093</v>
      </c>
      <c r="D597" t="s">
        <v>4738</v>
      </c>
      <c r="E597" t="s">
        <v>4739</v>
      </c>
      <c r="F597" t="s">
        <v>4740</v>
      </c>
      <c r="G597" t="str">
        <f t="shared" si="29"/>
        <v>1667147000</v>
      </c>
      <c r="H597" t="str">
        <f t="shared" si="30"/>
        <v>https://stream-mz.planetradio.co.uk/westsound.aac?</v>
      </c>
      <c r="I597" t="str">
        <f t="shared" si="31"/>
        <v>https://stream-mz.planetradio.co.uk/westsound.aac?aw_0_1st.skey=1667147000&amp;aw_0_1st.playerid=BMUK_ukrp</v>
      </c>
    </row>
    <row r="598" spans="1:9" hidden="1" x14ac:dyDescent="0.55000000000000004">
      <c r="A598">
        <v>593</v>
      </c>
      <c r="B598" t="s">
        <v>1631</v>
      </c>
      <c r="C598" t="s">
        <v>3093</v>
      </c>
      <c r="D598" t="s">
        <v>4741</v>
      </c>
      <c r="E598" t="s">
        <v>4742</v>
      </c>
      <c r="F598" t="s">
        <v>4743</v>
      </c>
      <c r="G598" t="str">
        <f t="shared" si="29"/>
        <v>1667147002</v>
      </c>
      <c r="H598" t="str">
        <f t="shared" si="30"/>
        <v>https://stream-mz.planetradio.co.uk/westsoundfm.aac?</v>
      </c>
      <c r="I598" t="str">
        <f t="shared" si="31"/>
        <v>https://stream-mz.planetradio.co.uk/westsoundfm.aac?aw_0_1st.skey=1667147002&amp;aw_0_1st.playerid=BMUK_ukrp</v>
      </c>
    </row>
    <row r="599" spans="1:9" hidden="1" x14ac:dyDescent="0.55000000000000004">
      <c r="A599">
        <v>1470</v>
      </c>
      <c r="B599" t="s">
        <v>4744</v>
      </c>
      <c r="C599" t="s">
        <v>3093</v>
      </c>
      <c r="D599" t="s">
        <v>4745</v>
      </c>
      <c r="E599" t="s">
        <v>4746</v>
      </c>
      <c r="F599" t="s">
        <v>4747</v>
      </c>
      <c r="G599" t="e">
        <f t="shared" si="29"/>
        <v>#VALUE!</v>
      </c>
      <c r="H599" t="str">
        <f t="shared" si="30"/>
        <v>http://winchest.radioca.st/stream?</v>
      </c>
      <c r="I599" t="e">
        <f t="shared" si="31"/>
        <v>#VALUE!</v>
      </c>
    </row>
    <row r="600" spans="1:9" hidden="1" x14ac:dyDescent="0.55000000000000004">
      <c r="A600">
        <v>1398</v>
      </c>
      <c r="B600" t="s">
        <v>4748</v>
      </c>
      <c r="C600" t="s">
        <v>3093</v>
      </c>
      <c r="D600" t="s">
        <v>4749</v>
      </c>
      <c r="E600" t="s">
        <v>4750</v>
      </c>
      <c r="F600" t="s">
        <v>4751</v>
      </c>
      <c r="G600" t="e">
        <f t="shared" si="29"/>
        <v>#VALUE!</v>
      </c>
      <c r="H600" t="str">
        <f t="shared" si="30"/>
        <v>https://wycsostream.radioca.st/stream;=?</v>
      </c>
      <c r="I600" t="e">
        <f t="shared" si="31"/>
        <v>#VALUE!</v>
      </c>
    </row>
    <row r="601" spans="1:9" hidden="1" x14ac:dyDescent="0.55000000000000004">
      <c r="A601">
        <v>414</v>
      </c>
      <c r="B601" t="s">
        <v>4752</v>
      </c>
      <c r="C601" t="s">
        <v>3093</v>
      </c>
      <c r="D601" t="s">
        <v>4753</v>
      </c>
      <c r="E601" t="s">
        <v>4754</v>
      </c>
      <c r="F601" t="s">
        <v>4755</v>
      </c>
      <c r="G601" t="e">
        <f t="shared" si="29"/>
        <v>#VALUE!</v>
      </c>
      <c r="H601" t="str">
        <f t="shared" si="30"/>
        <v>https://media-ice.musicradio.com/RealXSManchesterMP3?</v>
      </c>
      <c r="I601" t="e">
        <f t="shared" si="31"/>
        <v>#VALUE!</v>
      </c>
    </row>
    <row r="602" spans="1:9" hidden="1" x14ac:dyDescent="0.55000000000000004">
      <c r="A602">
        <v>1524</v>
      </c>
      <c r="B602" t="s">
        <v>1340</v>
      </c>
      <c r="C602" t="s">
        <v>3093</v>
      </c>
      <c r="D602" t="s">
        <v>4756</v>
      </c>
      <c r="E602" t="s">
        <v>4757</v>
      </c>
      <c r="F602" t="s">
        <v>4758</v>
      </c>
      <c r="G602" t="e">
        <f t="shared" si="29"/>
        <v>#VALUE!</v>
      </c>
      <c r="H602" t="str">
        <f t="shared" si="30"/>
        <v>https://sslproxy.hippynet.co.uk/yorkmix/stream?</v>
      </c>
      <c r="I602" t="e">
        <f t="shared" si="31"/>
        <v>#VALUE!</v>
      </c>
    </row>
    <row r="603" spans="1:9" hidden="1" x14ac:dyDescent="0.55000000000000004">
      <c r="A603">
        <v>1524</v>
      </c>
      <c r="B603" t="s">
        <v>1340</v>
      </c>
      <c r="C603" t="s">
        <v>3093</v>
      </c>
      <c r="D603" t="s">
        <v>4759</v>
      </c>
      <c r="E603" t="s">
        <v>4757</v>
      </c>
      <c r="F603" t="s">
        <v>4758</v>
      </c>
      <c r="G603" t="e">
        <f t="shared" si="29"/>
        <v>#VALUE!</v>
      </c>
      <c r="H603" t="str">
        <f t="shared" si="30"/>
        <v>https://sslproxy.hippynet.co.uk/yorkmix/stream?</v>
      </c>
      <c r="I603" t="e">
        <f t="shared" si="31"/>
        <v>#VALUE!</v>
      </c>
    </row>
    <row r="604" spans="1:9" hidden="1" x14ac:dyDescent="0.55000000000000004">
      <c r="A604">
        <v>0</v>
      </c>
      <c r="B604" t="s">
        <v>46</v>
      </c>
      <c r="C604" t="s">
        <v>3093</v>
      </c>
      <c r="D604" t="s">
        <v>4761</v>
      </c>
      <c r="G604" t="str">
        <f t="shared" si="29"/>
        <v>1667149563</v>
      </c>
      <c r="H604" t="str">
        <f t="shared" si="30"/>
        <v>https://stream-ar.planetradio.co.uk/absolute90shigh.aac?</v>
      </c>
      <c r="I604" t="str">
        <f t="shared" si="31"/>
        <v>https://stream-ar.planetradio.co.uk/absolute90shigh.aac?aw_0_1st.skey=1667149563&amp;aw_0_1st.playerid=BMUK_ukrp</v>
      </c>
    </row>
  </sheetData>
  <autoFilter ref="A1:G604" xr:uid="{B9615C02-65AE-4EE9-9823-C05B77E99718}">
    <filterColumn colId="1">
      <customFilters>
        <customFilter val="Hits Radio*"/>
      </customFilters>
    </filterColumn>
    <filterColumn colId="6">
      <filters>
        <filter val="1667145883"/>
        <filter val="1667145885"/>
        <filter val="1667145887"/>
        <filter val="1667145889"/>
        <filter val="1667145893"/>
        <filter val="1667145895"/>
        <filter val="1667145897"/>
        <filter val="1667145900"/>
        <filter val="1667145902"/>
        <filter val="1667146069"/>
        <filter val="1667146071"/>
        <filter val="1667146121"/>
        <filter val="1667146138"/>
        <filter val="1667146141"/>
        <filter val="1667146153"/>
        <filter val="1667146155"/>
        <filter val="1667146159"/>
        <filter val="1667146173"/>
        <filter val="1667146175"/>
        <filter val="1667146176"/>
        <filter val="1667146182"/>
        <filter val="1667146183"/>
        <filter val="1667146204"/>
        <filter val="1667146207"/>
        <filter val="1667146209"/>
        <filter val="1667146211"/>
        <filter val="1667146214"/>
        <filter val="1667146216"/>
        <filter val="1667146219"/>
        <filter val="1667146238"/>
        <filter val="1667146249"/>
        <filter val="1667146251"/>
        <filter val="1667146253"/>
        <filter val="1667146256"/>
        <filter val="1667146259"/>
        <filter val="1667146262"/>
        <filter val="1667146265"/>
        <filter val="1667146268"/>
        <filter val="1667146271"/>
        <filter val="1667146274"/>
        <filter val="1667146277"/>
        <filter val="1667146280"/>
        <filter val="1667146282"/>
        <filter val="1667146286"/>
        <filter val="1667146288"/>
        <filter val="1667146291"/>
        <filter val="1667146294"/>
        <filter val="1667146297"/>
        <filter val="1667146300"/>
        <filter val="1667146303"/>
        <filter val="1667146306"/>
        <filter val="1667146309"/>
        <filter val="1667146311"/>
        <filter val="1667146315"/>
        <filter val="1667146316"/>
        <filter val="1667146319"/>
        <filter val="1667146322"/>
        <filter val="1667146325"/>
        <filter val="1667146327"/>
        <filter val="1667146332"/>
        <filter val="1667146335"/>
        <filter val="1667146340"/>
        <filter val="1667146343"/>
        <filter val="1667146346"/>
        <filter val="1667146349"/>
        <filter val="1667146352"/>
        <filter val="1667146354"/>
        <filter val="1667146357"/>
        <filter val="1667146359"/>
        <filter val="1667146361"/>
        <filter val="1667146364"/>
        <filter val="1667146368"/>
        <filter val="1667146371"/>
        <filter val="1667146372"/>
        <filter val="1667146447"/>
        <filter val="1667146450"/>
        <filter val="1667146452"/>
        <filter val="1667146453"/>
        <filter val="1667146457"/>
        <filter val="1667146459"/>
        <filter val="1667146462"/>
        <filter val="1667146483"/>
        <filter val="1667146486"/>
        <filter val="1667146490"/>
        <filter val="1667146492"/>
        <filter val="1667146494"/>
        <filter val="1667146519"/>
        <filter val="1667146531"/>
        <filter val="1667146532"/>
        <filter val="1667146534"/>
        <filter val="1667146536"/>
        <filter val="1667146544"/>
        <filter val="1667146546"/>
        <filter val="1667146548"/>
        <filter val="1667146550"/>
        <filter val="1667146566"/>
        <filter val="1667146568"/>
        <filter val="1667146570"/>
        <filter val="1667146571"/>
        <filter val="1667146573"/>
        <filter val="1667146575"/>
        <filter val="1667146576"/>
        <filter val="1667146578"/>
        <filter val="1667146580"/>
        <filter val="1667146581"/>
        <filter val="1667146583"/>
        <filter val="1667146584"/>
        <filter val="1667146586"/>
        <filter val="1667146588"/>
        <filter val="1667146589"/>
        <filter val="1667146609"/>
        <filter val="1667146612"/>
        <filter val="1667146617"/>
        <filter val="1667146621"/>
        <filter val="1667146623"/>
        <filter val="1667146808"/>
        <filter val="1667146828"/>
        <filter val="1667146831"/>
        <filter val="1667146864"/>
        <filter val="1667146870"/>
        <filter val="1667146878"/>
        <filter val="1667146940"/>
        <filter val="1667146954"/>
        <filter val="1667146956"/>
        <filter val="1667146958"/>
        <filter val="1667146982"/>
        <filter val="1667146994"/>
        <filter val="1667146996"/>
        <filter val="1667146998"/>
        <filter val="1667147000"/>
        <filter val="1667147002"/>
        <filter val="1667149563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Export</vt:lpstr>
      <vt:lpstr>master</vt:lpstr>
      <vt:lpstr>stations</vt:lpstr>
      <vt:lpstr>logos</vt:lpstr>
      <vt:lpstr>master Bauer</vt:lpstr>
      <vt:lpstr>VLC Checker</vt:lpstr>
      <vt:lpstr>moode-metadata old</vt:lpstr>
      <vt:lpstr>bauer keys</vt:lpstr>
      <vt:lpstr>radioplayer_streams master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Whitehead</dc:creator>
  <cp:lastModifiedBy>Dave Whitehead</cp:lastModifiedBy>
  <dcterms:created xsi:type="dcterms:W3CDTF">2022-10-13T18:06:43Z</dcterms:created>
  <dcterms:modified xsi:type="dcterms:W3CDTF">2022-11-10T22:03:24Z</dcterms:modified>
</cp:coreProperties>
</file>